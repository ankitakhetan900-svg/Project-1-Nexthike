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d42d4758706e459/Documents/"/>
    </mc:Choice>
  </mc:AlternateContent>
  <xr:revisionPtr revIDLastSave="596" documentId="8_{6F12AA2E-4639-4143-B8B3-C7F6AF5B1A40}" xr6:coauthVersionLast="47" xr6:coauthVersionMax="47" xr10:uidLastSave="{F78B19D7-68E7-4A3C-BFDF-70565FB0CC8D}"/>
  <bookViews>
    <workbookView xWindow="-110" yWindow="-110" windowWidth="19420" windowHeight="10300" activeTab="4" xr2:uid="{00000000-000D-0000-FFFF-FFFF00000000}"/>
  </bookViews>
  <sheets>
    <sheet name="dataset_1" sheetId="1" r:id="rId1"/>
    <sheet name="dateset_2" sheetId="2" r:id="rId2"/>
    <sheet name="datset_3" sheetId="4" r:id="rId3"/>
    <sheet name="dataset 1+2" sheetId="5" r:id="rId4"/>
    <sheet name="final dataset" sheetId="11" r:id="rId5"/>
    <sheet name="Rider analysis" sheetId="12" r:id="rId6"/>
    <sheet name="Weater impact on rentals" sheetId="14" r:id="rId7"/>
    <sheet name="Ridership by day" sheetId="17" r:id="rId8"/>
    <sheet name="Reg Vs Casual riders" sheetId="18" r:id="rId9"/>
  </sheets>
  <definedNames>
    <definedName name="ExternalData_1" localSheetId="3" hidden="1">'dataset 1+2'!$A$1:$Q$611</definedName>
    <definedName name="ExternalData_2" localSheetId="4" hidden="1">'final dataset'!$A$1:$P$1001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1" l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Q224" i="11"/>
  <c r="Q225" i="11"/>
  <c r="Q226" i="11"/>
  <c r="Q227" i="11"/>
  <c r="Q228" i="11"/>
  <c r="Q229" i="11"/>
  <c r="Q230" i="11"/>
  <c r="Q231" i="11"/>
  <c r="Q232" i="11"/>
  <c r="Q233" i="11"/>
  <c r="Q234" i="11"/>
  <c r="Q235" i="11"/>
  <c r="Q236" i="11"/>
  <c r="Q237" i="11"/>
  <c r="Q238" i="11"/>
  <c r="Q239" i="11"/>
  <c r="Q240" i="11"/>
  <c r="Q241" i="11"/>
  <c r="Q242" i="11"/>
  <c r="Q243" i="11"/>
  <c r="Q244" i="11"/>
  <c r="Q245" i="11"/>
  <c r="Q246" i="11"/>
  <c r="Q247" i="11"/>
  <c r="Q248" i="11"/>
  <c r="Q249" i="11"/>
  <c r="Q250" i="11"/>
  <c r="Q251" i="11"/>
  <c r="Q252" i="11"/>
  <c r="Q253" i="11"/>
  <c r="Q254" i="11"/>
  <c r="Q255" i="11"/>
  <c r="Q256" i="11"/>
  <c r="Q257" i="11"/>
  <c r="Q258" i="11"/>
  <c r="Q259" i="11"/>
  <c r="Q260" i="11"/>
  <c r="Q261" i="11"/>
  <c r="Q262" i="11"/>
  <c r="Q263" i="11"/>
  <c r="Q264" i="11"/>
  <c r="Q265" i="11"/>
  <c r="Q266" i="11"/>
  <c r="Q267" i="11"/>
  <c r="Q268" i="11"/>
  <c r="Q269" i="11"/>
  <c r="Q270" i="11"/>
  <c r="Q271" i="11"/>
  <c r="Q272" i="11"/>
  <c r="Q273" i="11"/>
  <c r="Q274" i="11"/>
  <c r="Q275" i="11"/>
  <c r="Q276" i="11"/>
  <c r="Q277" i="11"/>
  <c r="Q278" i="11"/>
  <c r="Q279" i="11"/>
  <c r="Q280" i="11"/>
  <c r="Q281" i="11"/>
  <c r="Q282" i="11"/>
  <c r="Q283" i="11"/>
  <c r="Q284" i="11"/>
  <c r="Q285" i="11"/>
  <c r="Q286" i="11"/>
  <c r="Q287" i="11"/>
  <c r="Q288" i="11"/>
  <c r="Q289" i="11"/>
  <c r="Q290" i="11"/>
  <c r="Q291" i="11"/>
  <c r="Q292" i="11"/>
  <c r="Q293" i="11"/>
  <c r="Q294" i="11"/>
  <c r="Q295" i="11"/>
  <c r="Q296" i="11"/>
  <c r="Q297" i="11"/>
  <c r="Q298" i="11"/>
  <c r="Q299" i="11"/>
  <c r="Q300" i="11"/>
  <c r="Q301" i="11"/>
  <c r="Q302" i="11"/>
  <c r="Q303" i="11"/>
  <c r="Q304" i="11"/>
  <c r="Q305" i="11"/>
  <c r="Q306" i="11"/>
  <c r="Q307" i="11"/>
  <c r="Q308" i="11"/>
  <c r="Q309" i="11"/>
  <c r="Q310" i="11"/>
  <c r="Q311" i="11"/>
  <c r="Q312" i="11"/>
  <c r="Q313" i="11"/>
  <c r="Q314" i="11"/>
  <c r="Q315" i="11"/>
  <c r="Q316" i="11"/>
  <c r="Q317" i="11"/>
  <c r="Q318" i="11"/>
  <c r="Q319" i="11"/>
  <c r="Q320" i="11"/>
  <c r="Q321" i="11"/>
  <c r="Q322" i="11"/>
  <c r="Q323" i="11"/>
  <c r="Q324" i="11"/>
  <c r="Q325" i="11"/>
  <c r="Q326" i="11"/>
  <c r="Q327" i="11"/>
  <c r="Q328" i="11"/>
  <c r="Q329" i="11"/>
  <c r="Q330" i="11"/>
  <c r="Q331" i="11"/>
  <c r="Q332" i="11"/>
  <c r="Q333" i="11"/>
  <c r="Q334" i="11"/>
  <c r="Q335" i="11"/>
  <c r="Q336" i="11"/>
  <c r="Q337" i="11"/>
  <c r="Q338" i="11"/>
  <c r="Q339" i="11"/>
  <c r="Q340" i="11"/>
  <c r="Q341" i="11"/>
  <c r="Q342" i="11"/>
  <c r="Q343" i="11"/>
  <c r="Q344" i="11"/>
  <c r="Q345" i="11"/>
  <c r="Q346" i="11"/>
  <c r="Q347" i="11"/>
  <c r="Q348" i="11"/>
  <c r="Q349" i="11"/>
  <c r="Q350" i="11"/>
  <c r="Q351" i="11"/>
  <c r="Q352" i="11"/>
  <c r="Q353" i="11"/>
  <c r="Q354" i="11"/>
  <c r="Q355" i="11"/>
  <c r="Q356" i="11"/>
  <c r="Q357" i="11"/>
  <c r="Q358" i="11"/>
  <c r="Q359" i="11"/>
  <c r="Q360" i="11"/>
  <c r="Q361" i="11"/>
  <c r="Q362" i="11"/>
  <c r="Q363" i="11"/>
  <c r="Q364" i="11"/>
  <c r="Q365" i="11"/>
  <c r="Q366" i="11"/>
  <c r="Q367" i="11"/>
  <c r="Q368" i="11"/>
  <c r="Q369" i="11"/>
  <c r="Q370" i="11"/>
  <c r="Q371" i="11"/>
  <c r="Q372" i="11"/>
  <c r="Q373" i="11"/>
  <c r="Q374" i="11"/>
  <c r="Q375" i="11"/>
  <c r="Q376" i="11"/>
  <c r="Q377" i="11"/>
  <c r="Q378" i="11"/>
  <c r="Q379" i="11"/>
  <c r="Q380" i="11"/>
  <c r="Q381" i="11"/>
  <c r="Q382" i="11"/>
  <c r="Q383" i="11"/>
  <c r="Q384" i="11"/>
  <c r="Q385" i="11"/>
  <c r="Q386" i="11"/>
  <c r="Q387" i="11"/>
  <c r="Q388" i="11"/>
  <c r="Q389" i="11"/>
  <c r="Q390" i="11"/>
  <c r="Q391" i="11"/>
  <c r="Q392" i="11"/>
  <c r="Q393" i="11"/>
  <c r="Q394" i="11"/>
  <c r="Q395" i="11"/>
  <c r="Q396" i="11"/>
  <c r="Q397" i="11"/>
  <c r="Q398" i="11"/>
  <c r="Q399" i="11"/>
  <c r="Q400" i="11"/>
  <c r="Q401" i="11"/>
  <c r="Q402" i="11"/>
  <c r="Q403" i="11"/>
  <c r="Q404" i="11"/>
  <c r="Q405" i="11"/>
  <c r="Q406" i="11"/>
  <c r="Q407" i="11"/>
  <c r="Q408" i="11"/>
  <c r="Q409" i="11"/>
  <c r="Q410" i="11"/>
  <c r="Q411" i="11"/>
  <c r="Q412" i="11"/>
  <c r="Q413" i="11"/>
  <c r="Q414" i="11"/>
  <c r="Q415" i="11"/>
  <c r="Q416" i="11"/>
  <c r="Q417" i="11"/>
  <c r="Q418" i="11"/>
  <c r="Q419" i="11"/>
  <c r="Q420" i="11"/>
  <c r="Q421" i="11"/>
  <c r="Q422" i="11"/>
  <c r="Q423" i="11"/>
  <c r="Q424" i="11"/>
  <c r="Q425" i="11"/>
  <c r="Q426" i="11"/>
  <c r="Q427" i="11"/>
  <c r="Q428" i="11"/>
  <c r="Q429" i="11"/>
  <c r="Q430" i="11"/>
  <c r="Q431" i="11"/>
  <c r="Q432" i="11"/>
  <c r="Q433" i="11"/>
  <c r="Q434" i="11"/>
  <c r="Q435" i="11"/>
  <c r="Q436" i="11"/>
  <c r="Q437" i="11"/>
  <c r="Q438" i="11"/>
  <c r="Q439" i="11"/>
  <c r="Q440" i="11"/>
  <c r="Q441" i="11"/>
  <c r="Q442" i="11"/>
  <c r="Q443" i="11"/>
  <c r="Q444" i="11"/>
  <c r="Q445" i="11"/>
  <c r="Q446" i="11"/>
  <c r="Q447" i="11"/>
  <c r="Q448" i="11"/>
  <c r="Q449" i="11"/>
  <c r="Q450" i="11"/>
  <c r="Q451" i="11"/>
  <c r="Q452" i="11"/>
  <c r="Q453" i="11"/>
  <c r="Q454" i="11"/>
  <c r="Q455" i="11"/>
  <c r="Q456" i="11"/>
  <c r="Q457" i="11"/>
  <c r="Q458" i="11"/>
  <c r="Q459" i="11"/>
  <c r="Q460" i="11"/>
  <c r="Q461" i="11"/>
  <c r="Q462" i="11"/>
  <c r="Q463" i="11"/>
  <c r="Q464" i="11"/>
  <c r="Q465" i="11"/>
  <c r="Q466" i="11"/>
  <c r="Q467" i="11"/>
  <c r="Q468" i="11"/>
  <c r="Q469" i="11"/>
  <c r="Q470" i="11"/>
  <c r="Q471" i="11"/>
  <c r="Q472" i="11"/>
  <c r="Q473" i="11"/>
  <c r="Q474" i="11"/>
  <c r="Q475" i="11"/>
  <c r="Q476" i="11"/>
  <c r="Q477" i="11"/>
  <c r="Q478" i="11"/>
  <c r="Q479" i="11"/>
  <c r="Q480" i="11"/>
  <c r="Q481" i="11"/>
  <c r="Q482" i="11"/>
  <c r="Q483" i="11"/>
  <c r="Q484" i="11"/>
  <c r="Q485" i="11"/>
  <c r="Q486" i="11"/>
  <c r="Q487" i="11"/>
  <c r="Q488" i="11"/>
  <c r="Q489" i="11"/>
  <c r="Q490" i="11"/>
  <c r="Q491" i="11"/>
  <c r="Q492" i="11"/>
  <c r="Q493" i="11"/>
  <c r="Q494" i="11"/>
  <c r="Q495" i="11"/>
  <c r="Q496" i="11"/>
  <c r="Q497" i="11"/>
  <c r="Q498" i="11"/>
  <c r="Q499" i="11"/>
  <c r="Q500" i="11"/>
  <c r="Q501" i="11"/>
  <c r="Q502" i="11"/>
  <c r="Q503" i="11"/>
  <c r="Q504" i="11"/>
  <c r="Q505" i="11"/>
  <c r="Q506" i="11"/>
  <c r="Q507" i="11"/>
  <c r="Q508" i="11"/>
  <c r="Q509" i="11"/>
  <c r="Q510" i="11"/>
  <c r="Q511" i="11"/>
  <c r="Q512" i="11"/>
  <c r="Q513" i="11"/>
  <c r="Q514" i="11"/>
  <c r="Q515" i="11"/>
  <c r="Q516" i="11"/>
  <c r="Q517" i="11"/>
  <c r="Q518" i="11"/>
  <c r="Q519" i="11"/>
  <c r="Q520" i="11"/>
  <c r="Q521" i="11"/>
  <c r="Q522" i="11"/>
  <c r="Q523" i="11"/>
  <c r="Q524" i="11"/>
  <c r="Q525" i="11"/>
  <c r="Q526" i="11"/>
  <c r="Q527" i="11"/>
  <c r="Q528" i="11"/>
  <c r="Q529" i="11"/>
  <c r="Q530" i="11"/>
  <c r="Q531" i="11"/>
  <c r="Q532" i="11"/>
  <c r="Q533" i="11"/>
  <c r="Q534" i="11"/>
  <c r="Q535" i="11"/>
  <c r="Q536" i="11"/>
  <c r="Q537" i="11"/>
  <c r="Q538" i="11"/>
  <c r="Q539" i="11"/>
  <c r="Q540" i="11"/>
  <c r="Q541" i="11"/>
  <c r="Q542" i="11"/>
  <c r="Q543" i="11"/>
  <c r="Q544" i="11"/>
  <c r="Q545" i="11"/>
  <c r="Q546" i="11"/>
  <c r="Q547" i="11"/>
  <c r="Q548" i="11"/>
  <c r="Q549" i="11"/>
  <c r="Q550" i="11"/>
  <c r="Q551" i="11"/>
  <c r="Q552" i="11"/>
  <c r="Q553" i="11"/>
  <c r="Q554" i="11"/>
  <c r="Q555" i="11"/>
  <c r="Q556" i="11"/>
  <c r="Q557" i="11"/>
  <c r="Q558" i="11"/>
  <c r="Q559" i="11"/>
  <c r="Q560" i="11"/>
  <c r="Q561" i="11"/>
  <c r="Q562" i="11"/>
  <c r="Q563" i="11"/>
  <c r="Q564" i="11"/>
  <c r="Q565" i="11"/>
  <c r="Q566" i="11"/>
  <c r="Q567" i="11"/>
  <c r="Q568" i="11"/>
  <c r="Q569" i="11"/>
  <c r="Q570" i="11"/>
  <c r="Q571" i="11"/>
  <c r="Q572" i="11"/>
  <c r="Q573" i="11"/>
  <c r="Q574" i="11"/>
  <c r="Q575" i="11"/>
  <c r="Q576" i="11"/>
  <c r="Q577" i="11"/>
  <c r="Q578" i="11"/>
  <c r="Q579" i="11"/>
  <c r="Q580" i="11"/>
  <c r="Q581" i="11"/>
  <c r="Q582" i="11"/>
  <c r="Q583" i="11"/>
  <c r="Q584" i="11"/>
  <c r="Q585" i="11"/>
  <c r="Q586" i="11"/>
  <c r="Q587" i="11"/>
  <c r="Q588" i="11"/>
  <c r="Q589" i="11"/>
  <c r="Q590" i="11"/>
  <c r="Q591" i="11"/>
  <c r="Q592" i="11"/>
  <c r="Q593" i="11"/>
  <c r="Q594" i="11"/>
  <c r="Q595" i="11"/>
  <c r="Q596" i="11"/>
  <c r="Q597" i="11"/>
  <c r="Q598" i="11"/>
  <c r="Q599" i="11"/>
  <c r="Q600" i="11"/>
  <c r="Q601" i="11"/>
  <c r="Q602" i="11"/>
  <c r="Q603" i="11"/>
  <c r="Q604" i="11"/>
  <c r="Q605" i="11"/>
  <c r="Q606" i="11"/>
  <c r="Q607" i="11"/>
  <c r="Q608" i="11"/>
  <c r="Q609" i="11"/>
  <c r="Q610" i="11"/>
  <c r="Q611" i="11"/>
  <c r="Q612" i="11"/>
  <c r="Q613" i="11"/>
  <c r="Q614" i="11"/>
  <c r="Q615" i="11"/>
  <c r="Q616" i="11"/>
  <c r="Q617" i="11"/>
  <c r="Q618" i="11"/>
  <c r="Q619" i="11"/>
  <c r="Q620" i="11"/>
  <c r="Q621" i="11"/>
  <c r="Q622" i="11"/>
  <c r="Q623" i="11"/>
  <c r="Q624" i="11"/>
  <c r="Q625" i="11"/>
  <c r="Q626" i="11"/>
  <c r="Q627" i="11"/>
  <c r="Q628" i="11"/>
  <c r="Q629" i="11"/>
  <c r="Q630" i="11"/>
  <c r="Q631" i="11"/>
  <c r="Q632" i="11"/>
  <c r="Q633" i="11"/>
  <c r="Q634" i="11"/>
  <c r="Q635" i="11"/>
  <c r="Q636" i="11"/>
  <c r="Q637" i="11"/>
  <c r="Q638" i="11"/>
  <c r="Q639" i="11"/>
  <c r="Q640" i="11"/>
  <c r="Q641" i="11"/>
  <c r="Q642" i="11"/>
  <c r="Q643" i="11"/>
  <c r="Q644" i="11"/>
  <c r="Q645" i="11"/>
  <c r="Q646" i="11"/>
  <c r="Q647" i="11"/>
  <c r="Q648" i="11"/>
  <c r="Q649" i="11"/>
  <c r="Q650" i="11"/>
  <c r="Q651" i="11"/>
  <c r="Q652" i="11"/>
  <c r="Q653" i="11"/>
  <c r="Q654" i="11"/>
  <c r="Q655" i="11"/>
  <c r="Q656" i="11"/>
  <c r="Q657" i="11"/>
  <c r="Q658" i="11"/>
  <c r="Q659" i="11"/>
  <c r="Q660" i="11"/>
  <c r="Q661" i="11"/>
  <c r="Q662" i="11"/>
  <c r="Q663" i="11"/>
  <c r="Q664" i="11"/>
  <c r="Q665" i="11"/>
  <c r="Q666" i="11"/>
  <c r="Q667" i="11"/>
  <c r="Q668" i="11"/>
  <c r="Q669" i="11"/>
  <c r="Q670" i="11"/>
  <c r="Q671" i="11"/>
  <c r="Q672" i="11"/>
  <c r="Q673" i="11"/>
  <c r="Q674" i="11"/>
  <c r="Q675" i="11"/>
  <c r="Q676" i="11"/>
  <c r="Q677" i="11"/>
  <c r="Q678" i="11"/>
  <c r="Q679" i="11"/>
  <c r="Q680" i="11"/>
  <c r="Q681" i="11"/>
  <c r="Q682" i="11"/>
  <c r="Q683" i="11"/>
  <c r="Q684" i="11"/>
  <c r="Q685" i="11"/>
  <c r="Q686" i="11"/>
  <c r="Q687" i="11"/>
  <c r="Q688" i="11"/>
  <c r="Q689" i="11"/>
  <c r="Q690" i="11"/>
  <c r="Q691" i="11"/>
  <c r="Q692" i="11"/>
  <c r="Q693" i="11"/>
  <c r="Q694" i="11"/>
  <c r="Q695" i="11"/>
  <c r="Q696" i="11"/>
  <c r="Q697" i="11"/>
  <c r="Q698" i="11"/>
  <c r="Q699" i="11"/>
  <c r="Q700" i="11"/>
  <c r="Q701" i="11"/>
  <c r="Q702" i="11"/>
  <c r="Q703" i="11"/>
  <c r="Q704" i="11"/>
  <c r="Q705" i="11"/>
  <c r="Q706" i="11"/>
  <c r="Q707" i="11"/>
  <c r="Q708" i="11"/>
  <c r="Q709" i="11"/>
  <c r="Q710" i="11"/>
  <c r="Q711" i="11"/>
  <c r="Q712" i="11"/>
  <c r="Q713" i="11"/>
  <c r="Q714" i="11"/>
  <c r="Q715" i="11"/>
  <c r="Q716" i="11"/>
  <c r="Q717" i="11"/>
  <c r="Q718" i="11"/>
  <c r="Q719" i="11"/>
  <c r="Q720" i="11"/>
  <c r="Q721" i="11"/>
  <c r="Q722" i="11"/>
  <c r="Q723" i="11"/>
  <c r="Q724" i="11"/>
  <c r="Q725" i="11"/>
  <c r="Q726" i="11"/>
  <c r="Q727" i="11"/>
  <c r="Q728" i="11"/>
  <c r="Q729" i="11"/>
  <c r="Q730" i="11"/>
  <c r="Q731" i="11"/>
  <c r="Q732" i="11"/>
  <c r="Q733" i="11"/>
  <c r="Q734" i="11"/>
  <c r="Q735" i="11"/>
  <c r="Q736" i="11"/>
  <c r="Q737" i="11"/>
  <c r="Q738" i="11"/>
  <c r="Q739" i="11"/>
  <c r="Q740" i="11"/>
  <c r="Q741" i="11"/>
  <c r="Q742" i="11"/>
  <c r="Q743" i="11"/>
  <c r="Q744" i="11"/>
  <c r="Q745" i="11"/>
  <c r="Q746" i="11"/>
  <c r="Q747" i="11"/>
  <c r="Q748" i="11"/>
  <c r="Q749" i="11"/>
  <c r="Q750" i="11"/>
  <c r="Q751" i="11"/>
  <c r="Q752" i="11"/>
  <c r="Q753" i="11"/>
  <c r="Q754" i="11"/>
  <c r="Q755" i="11"/>
  <c r="Q756" i="11"/>
  <c r="Q757" i="11"/>
  <c r="Q758" i="11"/>
  <c r="Q759" i="11"/>
  <c r="Q760" i="11"/>
  <c r="Q761" i="11"/>
  <c r="Q762" i="11"/>
  <c r="Q763" i="11"/>
  <c r="Q764" i="11"/>
  <c r="Q765" i="11"/>
  <c r="Q766" i="11"/>
  <c r="Q767" i="11"/>
  <c r="Q768" i="11"/>
  <c r="Q769" i="11"/>
  <c r="Q770" i="11"/>
  <c r="Q771" i="11"/>
  <c r="Q772" i="11"/>
  <c r="Q773" i="11"/>
  <c r="Q774" i="11"/>
  <c r="Q775" i="11"/>
  <c r="Q776" i="11"/>
  <c r="Q777" i="11"/>
  <c r="Q778" i="11"/>
  <c r="Q779" i="11"/>
  <c r="Q780" i="11"/>
  <c r="Q781" i="11"/>
  <c r="Q782" i="11"/>
  <c r="Q783" i="11"/>
  <c r="Q784" i="11"/>
  <c r="Q785" i="11"/>
  <c r="Q786" i="11"/>
  <c r="Q787" i="11"/>
  <c r="Q788" i="11"/>
  <c r="Q789" i="11"/>
  <c r="Q790" i="11"/>
  <c r="Q791" i="11"/>
  <c r="Q792" i="11"/>
  <c r="Q793" i="11"/>
  <c r="Q794" i="11"/>
  <c r="Q795" i="11"/>
  <c r="Q796" i="11"/>
  <c r="Q797" i="11"/>
  <c r="Q798" i="11"/>
  <c r="Q799" i="11"/>
  <c r="Q800" i="11"/>
  <c r="Q801" i="11"/>
  <c r="Q802" i="11"/>
  <c r="Q803" i="11"/>
  <c r="Q804" i="11"/>
  <c r="Q805" i="11"/>
  <c r="Q806" i="11"/>
  <c r="Q807" i="11"/>
  <c r="Q808" i="11"/>
  <c r="Q809" i="11"/>
  <c r="Q810" i="11"/>
  <c r="Q811" i="11"/>
  <c r="Q812" i="11"/>
  <c r="Q813" i="11"/>
  <c r="Q814" i="11"/>
  <c r="Q815" i="11"/>
  <c r="Q816" i="11"/>
  <c r="Q817" i="11"/>
  <c r="Q818" i="11"/>
  <c r="Q819" i="11"/>
  <c r="Q820" i="11"/>
  <c r="Q821" i="11"/>
  <c r="Q822" i="11"/>
  <c r="Q823" i="11"/>
  <c r="Q824" i="11"/>
  <c r="Q825" i="11"/>
  <c r="Q826" i="11"/>
  <c r="Q827" i="11"/>
  <c r="Q828" i="11"/>
  <c r="Q829" i="11"/>
  <c r="Q830" i="11"/>
  <c r="Q831" i="11"/>
  <c r="Q832" i="11"/>
  <c r="Q833" i="11"/>
  <c r="Q834" i="11"/>
  <c r="Q835" i="11"/>
  <c r="Q836" i="11"/>
  <c r="Q837" i="11"/>
  <c r="Q838" i="11"/>
  <c r="Q839" i="11"/>
  <c r="Q840" i="11"/>
  <c r="Q841" i="11"/>
  <c r="Q842" i="11"/>
  <c r="Q843" i="11"/>
  <c r="Q844" i="11"/>
  <c r="Q845" i="11"/>
  <c r="Q846" i="11"/>
  <c r="Q847" i="11"/>
  <c r="Q848" i="11"/>
  <c r="Q849" i="11"/>
  <c r="Q850" i="11"/>
  <c r="Q851" i="11"/>
  <c r="Q852" i="11"/>
  <c r="Q853" i="11"/>
  <c r="Q854" i="11"/>
  <c r="Q855" i="11"/>
  <c r="Q856" i="11"/>
  <c r="Q857" i="11"/>
  <c r="Q858" i="11"/>
  <c r="Q859" i="11"/>
  <c r="Q860" i="11"/>
  <c r="Q861" i="11"/>
  <c r="Q862" i="11"/>
  <c r="Q863" i="11"/>
  <c r="Q864" i="11"/>
  <c r="Q865" i="11"/>
  <c r="Q866" i="11"/>
  <c r="Q867" i="11"/>
  <c r="Q868" i="11"/>
  <c r="Q869" i="11"/>
  <c r="Q870" i="11"/>
  <c r="Q871" i="11"/>
  <c r="Q872" i="11"/>
  <c r="Q873" i="11"/>
  <c r="Q874" i="11"/>
  <c r="Q875" i="11"/>
  <c r="Q876" i="11"/>
  <c r="Q877" i="11"/>
  <c r="Q878" i="11"/>
  <c r="Q879" i="11"/>
  <c r="Q880" i="11"/>
  <c r="Q881" i="11"/>
  <c r="Q882" i="11"/>
  <c r="Q883" i="11"/>
  <c r="Q884" i="11"/>
  <c r="Q885" i="11"/>
  <c r="Q886" i="11"/>
  <c r="Q887" i="11"/>
  <c r="Q888" i="11"/>
  <c r="Q889" i="11"/>
  <c r="Q890" i="11"/>
  <c r="Q891" i="11"/>
  <c r="Q892" i="11"/>
  <c r="Q893" i="11"/>
  <c r="Q894" i="11"/>
  <c r="Q895" i="11"/>
  <c r="Q896" i="11"/>
  <c r="Q897" i="11"/>
  <c r="Q898" i="11"/>
  <c r="Q899" i="11"/>
  <c r="Q900" i="11"/>
  <c r="Q901" i="11"/>
  <c r="Q902" i="11"/>
  <c r="Q903" i="11"/>
  <c r="Q904" i="11"/>
  <c r="Q905" i="11"/>
  <c r="Q906" i="11"/>
  <c r="Q907" i="11"/>
  <c r="Q908" i="11"/>
  <c r="Q909" i="11"/>
  <c r="Q910" i="11"/>
  <c r="Q911" i="11"/>
  <c r="Q912" i="11"/>
  <c r="Q913" i="11"/>
  <c r="Q914" i="11"/>
  <c r="Q915" i="11"/>
  <c r="Q916" i="11"/>
  <c r="Q917" i="11"/>
  <c r="Q918" i="11"/>
  <c r="Q919" i="11"/>
  <c r="Q920" i="11"/>
  <c r="Q921" i="11"/>
  <c r="Q922" i="11"/>
  <c r="Q923" i="11"/>
  <c r="Q924" i="11"/>
  <c r="Q925" i="11"/>
  <c r="Q926" i="11"/>
  <c r="Q927" i="11"/>
  <c r="Q928" i="11"/>
  <c r="Q929" i="11"/>
  <c r="Q930" i="11"/>
  <c r="Q931" i="11"/>
  <c r="Q932" i="11"/>
  <c r="Q933" i="11"/>
  <c r="Q934" i="11"/>
  <c r="Q935" i="11"/>
  <c r="Q936" i="11"/>
  <c r="Q937" i="11"/>
  <c r="Q938" i="11"/>
  <c r="Q939" i="11"/>
  <c r="Q940" i="11"/>
  <c r="Q941" i="11"/>
  <c r="Q942" i="11"/>
  <c r="Q943" i="11"/>
  <c r="Q944" i="11"/>
  <c r="Q945" i="11"/>
  <c r="Q946" i="11"/>
  <c r="Q947" i="11"/>
  <c r="Q948" i="11"/>
  <c r="Q949" i="11"/>
  <c r="Q950" i="11"/>
  <c r="Q951" i="11"/>
  <c r="Q952" i="11"/>
  <c r="Q953" i="11"/>
  <c r="Q954" i="11"/>
  <c r="Q955" i="11"/>
  <c r="Q956" i="11"/>
  <c r="Q957" i="11"/>
  <c r="Q958" i="11"/>
  <c r="Q959" i="11"/>
  <c r="Q960" i="11"/>
  <c r="Q961" i="11"/>
  <c r="Q962" i="11"/>
  <c r="Q963" i="11"/>
  <c r="Q964" i="11"/>
  <c r="Q965" i="11"/>
  <c r="Q966" i="11"/>
  <c r="Q967" i="11"/>
  <c r="Q968" i="11"/>
  <c r="Q969" i="11"/>
  <c r="Q970" i="11"/>
  <c r="Q971" i="11"/>
  <c r="Q972" i="11"/>
  <c r="Q973" i="11"/>
  <c r="Q974" i="11"/>
  <c r="Q975" i="11"/>
  <c r="Q976" i="11"/>
  <c r="Q977" i="11"/>
  <c r="Q978" i="11"/>
  <c r="Q979" i="11"/>
  <c r="Q980" i="11"/>
  <c r="Q981" i="11"/>
  <c r="Q982" i="11"/>
  <c r="Q983" i="11"/>
  <c r="Q984" i="11"/>
  <c r="Q985" i="11"/>
  <c r="Q986" i="11"/>
  <c r="Q987" i="11"/>
  <c r="Q988" i="11"/>
  <c r="Q989" i="11"/>
  <c r="Q990" i="11"/>
  <c r="Q991" i="11"/>
  <c r="Q992" i="11"/>
  <c r="Q993" i="11"/>
  <c r="Q994" i="11"/>
  <c r="Q995" i="11"/>
  <c r="Q996" i="11"/>
  <c r="Q997" i="11"/>
  <c r="Q998" i="11"/>
  <c r="Q999" i="11"/>
  <c r="Q1000" i="11"/>
  <c r="Q1001" i="11"/>
  <c r="R2" i="11"/>
  <c r="H4" i="18"/>
  <c r="H3" i="18"/>
  <c r="H2" i="2"/>
  <c r="B3" i="18"/>
  <c r="B2" i="18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39" i="11"/>
  <c r="X40" i="11"/>
  <c r="X41" i="11"/>
  <c r="X42" i="11"/>
  <c r="X43" i="11"/>
  <c r="X44" i="11"/>
  <c r="X45" i="11"/>
  <c r="X46" i="11"/>
  <c r="X47" i="11"/>
  <c r="X48" i="11"/>
  <c r="X49" i="11"/>
  <c r="X50" i="11"/>
  <c r="X51" i="11"/>
  <c r="X52" i="11"/>
  <c r="X53" i="11"/>
  <c r="X54" i="11"/>
  <c r="X55" i="11"/>
  <c r="X56" i="11"/>
  <c r="X57" i="11"/>
  <c r="X58" i="11"/>
  <c r="X59" i="11"/>
  <c r="X60" i="11"/>
  <c r="X61" i="11"/>
  <c r="X62" i="11"/>
  <c r="X63" i="11"/>
  <c r="X64" i="11"/>
  <c r="X65" i="11"/>
  <c r="X66" i="11"/>
  <c r="X67" i="11"/>
  <c r="X68" i="11"/>
  <c r="X69" i="11"/>
  <c r="X70" i="11"/>
  <c r="X71" i="11"/>
  <c r="X72" i="11"/>
  <c r="X73" i="11"/>
  <c r="X74" i="11"/>
  <c r="X75" i="11"/>
  <c r="X76" i="11"/>
  <c r="X77" i="11"/>
  <c r="X78" i="11"/>
  <c r="X79" i="11"/>
  <c r="X80" i="11"/>
  <c r="X81" i="11"/>
  <c r="X82" i="11"/>
  <c r="X83" i="11"/>
  <c r="X84" i="11"/>
  <c r="X85" i="11"/>
  <c r="X86" i="11"/>
  <c r="X87" i="11"/>
  <c r="X88" i="11"/>
  <c r="X89" i="11"/>
  <c r="X90" i="11"/>
  <c r="X91" i="11"/>
  <c r="X92" i="11"/>
  <c r="X93" i="11"/>
  <c r="X94" i="11"/>
  <c r="X95" i="11"/>
  <c r="X96" i="11"/>
  <c r="X97" i="11"/>
  <c r="X98" i="11"/>
  <c r="X99" i="11"/>
  <c r="X100" i="11"/>
  <c r="X101" i="11"/>
  <c r="X102" i="11"/>
  <c r="X103" i="11"/>
  <c r="X104" i="11"/>
  <c r="X105" i="11"/>
  <c r="X106" i="11"/>
  <c r="X107" i="11"/>
  <c r="X108" i="11"/>
  <c r="X109" i="11"/>
  <c r="X110" i="11"/>
  <c r="X111" i="11"/>
  <c r="X112" i="11"/>
  <c r="X113" i="11"/>
  <c r="X114" i="11"/>
  <c r="X115" i="11"/>
  <c r="X116" i="11"/>
  <c r="X117" i="11"/>
  <c r="X118" i="11"/>
  <c r="X119" i="11"/>
  <c r="X120" i="11"/>
  <c r="X121" i="11"/>
  <c r="X122" i="11"/>
  <c r="X123" i="11"/>
  <c r="X124" i="11"/>
  <c r="X125" i="11"/>
  <c r="X126" i="11"/>
  <c r="X127" i="11"/>
  <c r="X128" i="11"/>
  <c r="X129" i="11"/>
  <c r="X130" i="11"/>
  <c r="X131" i="11"/>
  <c r="X132" i="11"/>
  <c r="X133" i="11"/>
  <c r="X134" i="11"/>
  <c r="X135" i="11"/>
  <c r="X136" i="11"/>
  <c r="X137" i="11"/>
  <c r="X138" i="11"/>
  <c r="X139" i="11"/>
  <c r="X140" i="11"/>
  <c r="X141" i="11"/>
  <c r="X142" i="11"/>
  <c r="X143" i="11"/>
  <c r="X144" i="11"/>
  <c r="X145" i="11"/>
  <c r="X146" i="11"/>
  <c r="X147" i="11"/>
  <c r="X148" i="11"/>
  <c r="X149" i="11"/>
  <c r="X150" i="11"/>
  <c r="X151" i="11"/>
  <c r="X152" i="11"/>
  <c r="X153" i="11"/>
  <c r="X154" i="11"/>
  <c r="X155" i="11"/>
  <c r="X156" i="11"/>
  <c r="X157" i="11"/>
  <c r="X158" i="11"/>
  <c r="X159" i="11"/>
  <c r="X160" i="11"/>
  <c r="X161" i="11"/>
  <c r="X162" i="11"/>
  <c r="X163" i="11"/>
  <c r="X164" i="11"/>
  <c r="X165" i="11"/>
  <c r="X166" i="11"/>
  <c r="X167" i="11"/>
  <c r="X168" i="11"/>
  <c r="X169" i="11"/>
  <c r="X170" i="11"/>
  <c r="X171" i="11"/>
  <c r="X172" i="11"/>
  <c r="X173" i="11"/>
  <c r="X174" i="11"/>
  <c r="X175" i="11"/>
  <c r="X176" i="11"/>
  <c r="X177" i="11"/>
  <c r="X178" i="11"/>
  <c r="X179" i="11"/>
  <c r="X180" i="11"/>
  <c r="X181" i="11"/>
  <c r="X182" i="11"/>
  <c r="X183" i="11"/>
  <c r="X184" i="11"/>
  <c r="X185" i="11"/>
  <c r="X186" i="11"/>
  <c r="X187" i="11"/>
  <c r="X188" i="11"/>
  <c r="X189" i="11"/>
  <c r="X190" i="11"/>
  <c r="X191" i="11"/>
  <c r="X192" i="11"/>
  <c r="X193" i="11"/>
  <c r="X194" i="11"/>
  <c r="X195" i="11"/>
  <c r="X196" i="11"/>
  <c r="X197" i="11"/>
  <c r="X198" i="11"/>
  <c r="X199" i="11"/>
  <c r="X200" i="11"/>
  <c r="X201" i="11"/>
  <c r="X202" i="11"/>
  <c r="X203" i="11"/>
  <c r="X204" i="11"/>
  <c r="X205" i="11"/>
  <c r="X206" i="11"/>
  <c r="X207" i="11"/>
  <c r="X208" i="11"/>
  <c r="X209" i="11"/>
  <c r="X210" i="11"/>
  <c r="X211" i="11"/>
  <c r="X212" i="11"/>
  <c r="X213" i="11"/>
  <c r="X214" i="11"/>
  <c r="X215" i="11"/>
  <c r="X216" i="11"/>
  <c r="X217" i="11"/>
  <c r="X218" i="11"/>
  <c r="X219" i="11"/>
  <c r="X220" i="11"/>
  <c r="X221" i="11"/>
  <c r="X222" i="11"/>
  <c r="X223" i="11"/>
  <c r="X224" i="11"/>
  <c r="X225" i="11"/>
  <c r="X226" i="11"/>
  <c r="X227" i="11"/>
  <c r="X228" i="11"/>
  <c r="X229" i="11"/>
  <c r="X230" i="11"/>
  <c r="X231" i="11"/>
  <c r="X232" i="11"/>
  <c r="X233" i="11"/>
  <c r="X234" i="11"/>
  <c r="X235" i="11"/>
  <c r="X236" i="11"/>
  <c r="X237" i="11"/>
  <c r="X238" i="11"/>
  <c r="X239" i="11"/>
  <c r="X240" i="11"/>
  <c r="X241" i="11"/>
  <c r="X242" i="11"/>
  <c r="X243" i="11"/>
  <c r="X244" i="11"/>
  <c r="X245" i="11"/>
  <c r="X246" i="11"/>
  <c r="X247" i="11"/>
  <c r="X248" i="11"/>
  <c r="X249" i="11"/>
  <c r="X250" i="11"/>
  <c r="X251" i="11"/>
  <c r="X252" i="11"/>
  <c r="X253" i="11"/>
  <c r="X254" i="11"/>
  <c r="X255" i="11"/>
  <c r="X256" i="11"/>
  <c r="X257" i="11"/>
  <c r="X258" i="11"/>
  <c r="X259" i="11"/>
  <c r="X260" i="11"/>
  <c r="X261" i="11"/>
  <c r="X262" i="11"/>
  <c r="X263" i="11"/>
  <c r="X264" i="11"/>
  <c r="X265" i="11"/>
  <c r="X266" i="11"/>
  <c r="X267" i="11"/>
  <c r="X268" i="11"/>
  <c r="X269" i="11"/>
  <c r="X270" i="11"/>
  <c r="X271" i="11"/>
  <c r="X272" i="11"/>
  <c r="X273" i="11"/>
  <c r="X274" i="11"/>
  <c r="X275" i="11"/>
  <c r="X276" i="11"/>
  <c r="X277" i="11"/>
  <c r="X278" i="11"/>
  <c r="X279" i="11"/>
  <c r="X280" i="11"/>
  <c r="X281" i="11"/>
  <c r="X282" i="11"/>
  <c r="X283" i="11"/>
  <c r="X284" i="11"/>
  <c r="X285" i="11"/>
  <c r="X286" i="11"/>
  <c r="X287" i="11"/>
  <c r="X288" i="11"/>
  <c r="X289" i="11"/>
  <c r="X290" i="11"/>
  <c r="X291" i="11"/>
  <c r="X292" i="11"/>
  <c r="X293" i="11"/>
  <c r="X294" i="11"/>
  <c r="X295" i="11"/>
  <c r="X296" i="11"/>
  <c r="X297" i="11"/>
  <c r="X298" i="11"/>
  <c r="X299" i="11"/>
  <c r="X300" i="11"/>
  <c r="X301" i="11"/>
  <c r="X302" i="11"/>
  <c r="X303" i="11"/>
  <c r="X304" i="11"/>
  <c r="X305" i="11"/>
  <c r="X306" i="11"/>
  <c r="X307" i="11"/>
  <c r="X308" i="11"/>
  <c r="X309" i="11"/>
  <c r="X310" i="11"/>
  <c r="X311" i="11"/>
  <c r="X312" i="11"/>
  <c r="X313" i="11"/>
  <c r="X314" i="11"/>
  <c r="X315" i="11"/>
  <c r="X316" i="11"/>
  <c r="X317" i="11"/>
  <c r="X318" i="11"/>
  <c r="X319" i="11"/>
  <c r="X320" i="11"/>
  <c r="X321" i="11"/>
  <c r="X322" i="11"/>
  <c r="X323" i="11"/>
  <c r="X324" i="11"/>
  <c r="X325" i="11"/>
  <c r="X326" i="11"/>
  <c r="X327" i="11"/>
  <c r="X328" i="11"/>
  <c r="X329" i="11"/>
  <c r="X330" i="11"/>
  <c r="X331" i="11"/>
  <c r="X332" i="11"/>
  <c r="X333" i="11"/>
  <c r="X334" i="11"/>
  <c r="X335" i="11"/>
  <c r="X336" i="11"/>
  <c r="X337" i="11"/>
  <c r="X338" i="11"/>
  <c r="X339" i="11"/>
  <c r="X340" i="11"/>
  <c r="X341" i="11"/>
  <c r="X342" i="11"/>
  <c r="X343" i="11"/>
  <c r="X344" i="11"/>
  <c r="X345" i="11"/>
  <c r="X346" i="11"/>
  <c r="X347" i="11"/>
  <c r="X348" i="11"/>
  <c r="X349" i="11"/>
  <c r="X350" i="11"/>
  <c r="X351" i="11"/>
  <c r="X352" i="11"/>
  <c r="X353" i="11"/>
  <c r="X354" i="11"/>
  <c r="X355" i="11"/>
  <c r="X356" i="11"/>
  <c r="X357" i="11"/>
  <c r="X358" i="11"/>
  <c r="X359" i="11"/>
  <c r="X360" i="11"/>
  <c r="X361" i="11"/>
  <c r="X362" i="11"/>
  <c r="X363" i="11"/>
  <c r="X364" i="11"/>
  <c r="X365" i="11"/>
  <c r="X366" i="11"/>
  <c r="X367" i="11"/>
  <c r="X368" i="11"/>
  <c r="X369" i="11"/>
  <c r="X370" i="11"/>
  <c r="X371" i="11"/>
  <c r="X372" i="11"/>
  <c r="X373" i="11"/>
  <c r="X374" i="11"/>
  <c r="X375" i="11"/>
  <c r="X376" i="11"/>
  <c r="X377" i="11"/>
  <c r="X378" i="11"/>
  <c r="X379" i="11"/>
  <c r="X380" i="11"/>
  <c r="X381" i="11"/>
  <c r="X382" i="11"/>
  <c r="X383" i="11"/>
  <c r="X384" i="11"/>
  <c r="X385" i="11"/>
  <c r="X386" i="11"/>
  <c r="X387" i="11"/>
  <c r="X388" i="11"/>
  <c r="X389" i="11"/>
  <c r="X390" i="11"/>
  <c r="X391" i="11"/>
  <c r="X392" i="11"/>
  <c r="X393" i="11"/>
  <c r="X394" i="11"/>
  <c r="X395" i="11"/>
  <c r="X396" i="11"/>
  <c r="X397" i="11"/>
  <c r="X398" i="11"/>
  <c r="X399" i="11"/>
  <c r="X400" i="11"/>
  <c r="X401" i="11"/>
  <c r="X402" i="11"/>
  <c r="X403" i="11"/>
  <c r="X404" i="11"/>
  <c r="X405" i="11"/>
  <c r="X406" i="11"/>
  <c r="X407" i="11"/>
  <c r="X408" i="11"/>
  <c r="X409" i="11"/>
  <c r="X410" i="11"/>
  <c r="X411" i="11"/>
  <c r="X412" i="11"/>
  <c r="X413" i="11"/>
  <c r="X414" i="11"/>
  <c r="X415" i="11"/>
  <c r="X416" i="11"/>
  <c r="X417" i="11"/>
  <c r="X418" i="11"/>
  <c r="X419" i="11"/>
  <c r="X420" i="11"/>
  <c r="X421" i="11"/>
  <c r="X422" i="11"/>
  <c r="X423" i="11"/>
  <c r="X424" i="11"/>
  <c r="X425" i="11"/>
  <c r="X426" i="11"/>
  <c r="X427" i="11"/>
  <c r="X428" i="11"/>
  <c r="X429" i="11"/>
  <c r="X430" i="11"/>
  <c r="X431" i="11"/>
  <c r="X432" i="11"/>
  <c r="X433" i="11"/>
  <c r="X434" i="11"/>
  <c r="X435" i="11"/>
  <c r="X436" i="11"/>
  <c r="X437" i="11"/>
  <c r="X438" i="11"/>
  <c r="X439" i="11"/>
  <c r="X440" i="11"/>
  <c r="X441" i="11"/>
  <c r="X442" i="11"/>
  <c r="X443" i="11"/>
  <c r="X444" i="11"/>
  <c r="X445" i="11"/>
  <c r="X446" i="11"/>
  <c r="X447" i="11"/>
  <c r="X448" i="11"/>
  <c r="X449" i="11"/>
  <c r="X450" i="11"/>
  <c r="X451" i="11"/>
  <c r="X452" i="11"/>
  <c r="X453" i="11"/>
  <c r="X454" i="11"/>
  <c r="X455" i="11"/>
  <c r="X456" i="11"/>
  <c r="X457" i="11"/>
  <c r="X458" i="11"/>
  <c r="X459" i="11"/>
  <c r="X460" i="11"/>
  <c r="X461" i="11"/>
  <c r="X462" i="11"/>
  <c r="X463" i="11"/>
  <c r="X464" i="11"/>
  <c r="X465" i="11"/>
  <c r="X466" i="11"/>
  <c r="X467" i="11"/>
  <c r="X468" i="11"/>
  <c r="X469" i="11"/>
  <c r="X470" i="11"/>
  <c r="X471" i="11"/>
  <c r="X472" i="11"/>
  <c r="X473" i="11"/>
  <c r="X474" i="11"/>
  <c r="X475" i="11"/>
  <c r="X476" i="11"/>
  <c r="X477" i="11"/>
  <c r="X478" i="11"/>
  <c r="X479" i="11"/>
  <c r="X480" i="11"/>
  <c r="X481" i="11"/>
  <c r="X482" i="11"/>
  <c r="X483" i="11"/>
  <c r="X484" i="11"/>
  <c r="X485" i="11"/>
  <c r="X486" i="11"/>
  <c r="X487" i="11"/>
  <c r="X488" i="11"/>
  <c r="X489" i="11"/>
  <c r="X490" i="11"/>
  <c r="X491" i="11"/>
  <c r="X492" i="11"/>
  <c r="X493" i="11"/>
  <c r="X494" i="11"/>
  <c r="X495" i="11"/>
  <c r="X496" i="11"/>
  <c r="X497" i="11"/>
  <c r="X498" i="11"/>
  <c r="X499" i="11"/>
  <c r="X500" i="11"/>
  <c r="X501" i="11"/>
  <c r="X502" i="11"/>
  <c r="X503" i="11"/>
  <c r="X504" i="11"/>
  <c r="X505" i="11"/>
  <c r="X506" i="11"/>
  <c r="X507" i="11"/>
  <c r="X508" i="11"/>
  <c r="X509" i="11"/>
  <c r="X510" i="11"/>
  <c r="X511" i="11"/>
  <c r="X512" i="11"/>
  <c r="X513" i="11"/>
  <c r="X514" i="11"/>
  <c r="X515" i="11"/>
  <c r="X516" i="11"/>
  <c r="X517" i="11"/>
  <c r="X518" i="11"/>
  <c r="X519" i="11"/>
  <c r="X520" i="11"/>
  <c r="X521" i="11"/>
  <c r="X522" i="11"/>
  <c r="X523" i="11"/>
  <c r="X524" i="11"/>
  <c r="X525" i="11"/>
  <c r="X526" i="11"/>
  <c r="X527" i="11"/>
  <c r="X528" i="11"/>
  <c r="X529" i="11"/>
  <c r="X530" i="11"/>
  <c r="X531" i="11"/>
  <c r="X532" i="11"/>
  <c r="X533" i="11"/>
  <c r="X534" i="11"/>
  <c r="X535" i="11"/>
  <c r="X536" i="11"/>
  <c r="X537" i="11"/>
  <c r="X538" i="11"/>
  <c r="X539" i="11"/>
  <c r="X540" i="11"/>
  <c r="X541" i="11"/>
  <c r="X542" i="11"/>
  <c r="X543" i="11"/>
  <c r="X544" i="11"/>
  <c r="X545" i="11"/>
  <c r="X546" i="11"/>
  <c r="X547" i="11"/>
  <c r="X548" i="11"/>
  <c r="X549" i="11"/>
  <c r="X550" i="11"/>
  <c r="X551" i="11"/>
  <c r="X552" i="11"/>
  <c r="X553" i="11"/>
  <c r="X554" i="11"/>
  <c r="X555" i="11"/>
  <c r="X556" i="11"/>
  <c r="X557" i="11"/>
  <c r="X558" i="11"/>
  <c r="X559" i="11"/>
  <c r="X560" i="11"/>
  <c r="X561" i="11"/>
  <c r="X562" i="11"/>
  <c r="X563" i="11"/>
  <c r="X564" i="11"/>
  <c r="X565" i="11"/>
  <c r="X566" i="11"/>
  <c r="X567" i="11"/>
  <c r="X568" i="11"/>
  <c r="X569" i="11"/>
  <c r="X570" i="11"/>
  <c r="X571" i="11"/>
  <c r="X572" i="11"/>
  <c r="X573" i="11"/>
  <c r="X574" i="11"/>
  <c r="X575" i="11"/>
  <c r="X576" i="11"/>
  <c r="X577" i="11"/>
  <c r="X578" i="11"/>
  <c r="X579" i="11"/>
  <c r="X580" i="11"/>
  <c r="X581" i="11"/>
  <c r="X582" i="11"/>
  <c r="X583" i="11"/>
  <c r="X584" i="11"/>
  <c r="X585" i="11"/>
  <c r="X586" i="11"/>
  <c r="X587" i="11"/>
  <c r="X588" i="11"/>
  <c r="X589" i="11"/>
  <c r="X590" i="11"/>
  <c r="X591" i="11"/>
  <c r="X592" i="11"/>
  <c r="X593" i="11"/>
  <c r="X594" i="11"/>
  <c r="X595" i="11"/>
  <c r="X596" i="11"/>
  <c r="X597" i="11"/>
  <c r="X598" i="11"/>
  <c r="X599" i="11"/>
  <c r="X600" i="11"/>
  <c r="X601" i="11"/>
  <c r="X602" i="11"/>
  <c r="X603" i="11"/>
  <c r="X604" i="11"/>
  <c r="X605" i="11"/>
  <c r="X606" i="11"/>
  <c r="X607" i="11"/>
  <c r="X608" i="11"/>
  <c r="X609" i="11"/>
  <c r="X610" i="11"/>
  <c r="X611" i="11"/>
  <c r="X612" i="11"/>
  <c r="X613" i="11"/>
  <c r="X614" i="11"/>
  <c r="X615" i="11"/>
  <c r="X616" i="11"/>
  <c r="X617" i="11"/>
  <c r="X618" i="11"/>
  <c r="X619" i="11"/>
  <c r="X620" i="11"/>
  <c r="X621" i="11"/>
  <c r="X622" i="11"/>
  <c r="X623" i="11"/>
  <c r="X624" i="11"/>
  <c r="X625" i="11"/>
  <c r="X626" i="11"/>
  <c r="X627" i="11"/>
  <c r="X628" i="11"/>
  <c r="X629" i="11"/>
  <c r="X630" i="11"/>
  <c r="X631" i="11"/>
  <c r="X632" i="11"/>
  <c r="X633" i="11"/>
  <c r="X634" i="11"/>
  <c r="X635" i="11"/>
  <c r="X636" i="11"/>
  <c r="X637" i="11"/>
  <c r="X638" i="11"/>
  <c r="X639" i="11"/>
  <c r="X640" i="11"/>
  <c r="X641" i="11"/>
  <c r="X642" i="11"/>
  <c r="X643" i="11"/>
  <c r="X644" i="11"/>
  <c r="X645" i="11"/>
  <c r="X646" i="11"/>
  <c r="X647" i="11"/>
  <c r="X648" i="11"/>
  <c r="X649" i="11"/>
  <c r="X650" i="11"/>
  <c r="X651" i="11"/>
  <c r="X652" i="11"/>
  <c r="X653" i="11"/>
  <c r="X654" i="11"/>
  <c r="X655" i="11"/>
  <c r="X656" i="11"/>
  <c r="X657" i="11"/>
  <c r="X658" i="11"/>
  <c r="X659" i="11"/>
  <c r="X660" i="11"/>
  <c r="X661" i="11"/>
  <c r="X662" i="11"/>
  <c r="X663" i="11"/>
  <c r="X664" i="11"/>
  <c r="X665" i="11"/>
  <c r="X666" i="11"/>
  <c r="X667" i="11"/>
  <c r="X668" i="11"/>
  <c r="X669" i="11"/>
  <c r="X670" i="11"/>
  <c r="X671" i="11"/>
  <c r="X672" i="11"/>
  <c r="X673" i="11"/>
  <c r="X674" i="11"/>
  <c r="X675" i="11"/>
  <c r="X676" i="11"/>
  <c r="X677" i="11"/>
  <c r="X678" i="11"/>
  <c r="X679" i="11"/>
  <c r="X680" i="11"/>
  <c r="X681" i="11"/>
  <c r="X682" i="11"/>
  <c r="X683" i="11"/>
  <c r="X684" i="11"/>
  <c r="X685" i="11"/>
  <c r="X686" i="11"/>
  <c r="X687" i="11"/>
  <c r="X688" i="11"/>
  <c r="X689" i="11"/>
  <c r="X690" i="11"/>
  <c r="X691" i="11"/>
  <c r="X692" i="11"/>
  <c r="X693" i="11"/>
  <c r="X694" i="11"/>
  <c r="X695" i="11"/>
  <c r="X696" i="11"/>
  <c r="X697" i="11"/>
  <c r="X698" i="11"/>
  <c r="X699" i="11"/>
  <c r="X700" i="11"/>
  <c r="X701" i="11"/>
  <c r="X702" i="11"/>
  <c r="X703" i="11"/>
  <c r="X704" i="11"/>
  <c r="X705" i="11"/>
  <c r="X706" i="11"/>
  <c r="X707" i="11"/>
  <c r="X708" i="11"/>
  <c r="X709" i="11"/>
  <c r="X710" i="11"/>
  <c r="X711" i="11"/>
  <c r="X712" i="11"/>
  <c r="X713" i="11"/>
  <c r="X714" i="11"/>
  <c r="X715" i="11"/>
  <c r="X716" i="11"/>
  <c r="X717" i="11"/>
  <c r="X718" i="11"/>
  <c r="X719" i="11"/>
  <c r="X720" i="11"/>
  <c r="X721" i="11"/>
  <c r="X722" i="11"/>
  <c r="X723" i="11"/>
  <c r="X724" i="11"/>
  <c r="X725" i="11"/>
  <c r="X726" i="11"/>
  <c r="X727" i="11"/>
  <c r="X728" i="11"/>
  <c r="X729" i="11"/>
  <c r="X730" i="11"/>
  <c r="X731" i="11"/>
  <c r="X732" i="11"/>
  <c r="X733" i="11"/>
  <c r="X734" i="11"/>
  <c r="X735" i="11"/>
  <c r="X736" i="11"/>
  <c r="X737" i="11"/>
  <c r="X738" i="11"/>
  <c r="X739" i="11"/>
  <c r="X740" i="11"/>
  <c r="X741" i="11"/>
  <c r="X742" i="11"/>
  <c r="X743" i="11"/>
  <c r="X744" i="11"/>
  <c r="X745" i="11"/>
  <c r="X746" i="11"/>
  <c r="X747" i="11"/>
  <c r="X748" i="11"/>
  <c r="X749" i="11"/>
  <c r="X750" i="11"/>
  <c r="X751" i="11"/>
  <c r="X752" i="11"/>
  <c r="X753" i="11"/>
  <c r="X754" i="11"/>
  <c r="X755" i="11"/>
  <c r="X756" i="11"/>
  <c r="X757" i="11"/>
  <c r="X758" i="11"/>
  <c r="X759" i="11"/>
  <c r="X760" i="11"/>
  <c r="X761" i="11"/>
  <c r="X762" i="11"/>
  <c r="X763" i="11"/>
  <c r="X764" i="11"/>
  <c r="X765" i="11"/>
  <c r="X766" i="11"/>
  <c r="X767" i="11"/>
  <c r="X768" i="11"/>
  <c r="X769" i="11"/>
  <c r="X770" i="11"/>
  <c r="X771" i="11"/>
  <c r="X772" i="11"/>
  <c r="X773" i="11"/>
  <c r="X774" i="11"/>
  <c r="X775" i="11"/>
  <c r="X776" i="11"/>
  <c r="X777" i="11"/>
  <c r="X778" i="11"/>
  <c r="X779" i="11"/>
  <c r="X780" i="11"/>
  <c r="X781" i="11"/>
  <c r="X782" i="11"/>
  <c r="X783" i="11"/>
  <c r="X784" i="11"/>
  <c r="X785" i="11"/>
  <c r="X786" i="11"/>
  <c r="X787" i="11"/>
  <c r="X788" i="11"/>
  <c r="X789" i="11"/>
  <c r="X790" i="11"/>
  <c r="X791" i="11"/>
  <c r="X792" i="11"/>
  <c r="X793" i="11"/>
  <c r="X794" i="11"/>
  <c r="X795" i="11"/>
  <c r="X796" i="11"/>
  <c r="X797" i="11"/>
  <c r="X798" i="11"/>
  <c r="X799" i="11"/>
  <c r="X800" i="11"/>
  <c r="X801" i="11"/>
  <c r="X802" i="11"/>
  <c r="X803" i="11"/>
  <c r="X804" i="11"/>
  <c r="X805" i="11"/>
  <c r="X806" i="11"/>
  <c r="X807" i="11"/>
  <c r="X808" i="11"/>
  <c r="X809" i="11"/>
  <c r="X810" i="11"/>
  <c r="X811" i="11"/>
  <c r="X812" i="11"/>
  <c r="X813" i="11"/>
  <c r="X814" i="11"/>
  <c r="X815" i="11"/>
  <c r="X816" i="11"/>
  <c r="X817" i="11"/>
  <c r="X818" i="11"/>
  <c r="X819" i="11"/>
  <c r="X820" i="11"/>
  <c r="X821" i="11"/>
  <c r="X822" i="11"/>
  <c r="X823" i="11"/>
  <c r="X824" i="11"/>
  <c r="X825" i="11"/>
  <c r="X826" i="11"/>
  <c r="X827" i="11"/>
  <c r="X828" i="11"/>
  <c r="X829" i="11"/>
  <c r="X830" i="11"/>
  <c r="X831" i="11"/>
  <c r="X832" i="11"/>
  <c r="X833" i="11"/>
  <c r="X834" i="11"/>
  <c r="X835" i="11"/>
  <c r="X836" i="11"/>
  <c r="X837" i="11"/>
  <c r="X838" i="11"/>
  <c r="X839" i="11"/>
  <c r="X840" i="11"/>
  <c r="X841" i="11"/>
  <c r="X842" i="11"/>
  <c r="X843" i="11"/>
  <c r="X844" i="11"/>
  <c r="X845" i="11"/>
  <c r="X846" i="11"/>
  <c r="X847" i="11"/>
  <c r="X848" i="11"/>
  <c r="X849" i="11"/>
  <c r="X850" i="11"/>
  <c r="X851" i="11"/>
  <c r="X852" i="11"/>
  <c r="X853" i="11"/>
  <c r="X854" i="11"/>
  <c r="X855" i="11"/>
  <c r="X856" i="11"/>
  <c r="X857" i="11"/>
  <c r="X858" i="11"/>
  <c r="X859" i="11"/>
  <c r="X860" i="11"/>
  <c r="X861" i="11"/>
  <c r="X862" i="11"/>
  <c r="X863" i="11"/>
  <c r="X864" i="11"/>
  <c r="X865" i="11"/>
  <c r="X866" i="11"/>
  <c r="X867" i="11"/>
  <c r="X868" i="11"/>
  <c r="X869" i="11"/>
  <c r="X870" i="11"/>
  <c r="X871" i="11"/>
  <c r="X872" i="11"/>
  <c r="X873" i="11"/>
  <c r="X874" i="11"/>
  <c r="X875" i="11"/>
  <c r="X876" i="11"/>
  <c r="X877" i="11"/>
  <c r="X878" i="11"/>
  <c r="X879" i="11"/>
  <c r="X880" i="11"/>
  <c r="X881" i="11"/>
  <c r="X882" i="11"/>
  <c r="X883" i="11"/>
  <c r="X884" i="11"/>
  <c r="X885" i="11"/>
  <c r="X886" i="11"/>
  <c r="X887" i="11"/>
  <c r="X888" i="11"/>
  <c r="X889" i="11"/>
  <c r="X890" i="11"/>
  <c r="X891" i="11"/>
  <c r="X892" i="11"/>
  <c r="X893" i="11"/>
  <c r="X894" i="11"/>
  <c r="X895" i="11"/>
  <c r="X896" i="11"/>
  <c r="X897" i="11"/>
  <c r="X898" i="11"/>
  <c r="X899" i="11"/>
  <c r="X900" i="11"/>
  <c r="X901" i="11"/>
  <c r="X902" i="11"/>
  <c r="X903" i="11"/>
  <c r="X904" i="11"/>
  <c r="X905" i="11"/>
  <c r="X906" i="11"/>
  <c r="X907" i="11"/>
  <c r="X908" i="11"/>
  <c r="X909" i="11"/>
  <c r="X910" i="11"/>
  <c r="X911" i="11"/>
  <c r="X912" i="11"/>
  <c r="X913" i="11"/>
  <c r="X914" i="11"/>
  <c r="X915" i="11"/>
  <c r="X916" i="11"/>
  <c r="X917" i="11"/>
  <c r="X918" i="11"/>
  <c r="X919" i="11"/>
  <c r="X920" i="11"/>
  <c r="X921" i="11"/>
  <c r="X922" i="11"/>
  <c r="X923" i="11"/>
  <c r="X924" i="11"/>
  <c r="X925" i="11"/>
  <c r="X926" i="11"/>
  <c r="X927" i="11"/>
  <c r="X928" i="11"/>
  <c r="X929" i="11"/>
  <c r="X930" i="11"/>
  <c r="X931" i="11"/>
  <c r="X932" i="11"/>
  <c r="X933" i="11"/>
  <c r="X934" i="11"/>
  <c r="X935" i="11"/>
  <c r="X936" i="11"/>
  <c r="X937" i="11"/>
  <c r="X938" i="11"/>
  <c r="X939" i="11"/>
  <c r="X940" i="11"/>
  <c r="X941" i="11"/>
  <c r="X942" i="11"/>
  <c r="X943" i="11"/>
  <c r="X944" i="11"/>
  <c r="X945" i="11"/>
  <c r="X946" i="11"/>
  <c r="X947" i="11"/>
  <c r="X948" i="11"/>
  <c r="X949" i="11"/>
  <c r="X950" i="11"/>
  <c r="X951" i="11"/>
  <c r="X952" i="11"/>
  <c r="X953" i="11"/>
  <c r="X954" i="11"/>
  <c r="X955" i="11"/>
  <c r="X956" i="11"/>
  <c r="X957" i="11"/>
  <c r="X958" i="11"/>
  <c r="X959" i="11"/>
  <c r="X960" i="11"/>
  <c r="X961" i="11"/>
  <c r="X962" i="11"/>
  <c r="X963" i="11"/>
  <c r="X964" i="11"/>
  <c r="X965" i="11"/>
  <c r="X966" i="11"/>
  <c r="X967" i="11"/>
  <c r="X968" i="11"/>
  <c r="X969" i="11"/>
  <c r="X970" i="11"/>
  <c r="X971" i="11"/>
  <c r="X972" i="11"/>
  <c r="X973" i="11"/>
  <c r="X974" i="11"/>
  <c r="X975" i="11"/>
  <c r="X976" i="11"/>
  <c r="X977" i="11"/>
  <c r="X978" i="11"/>
  <c r="X979" i="11"/>
  <c r="X980" i="11"/>
  <c r="X981" i="11"/>
  <c r="X982" i="11"/>
  <c r="X983" i="11"/>
  <c r="X984" i="11"/>
  <c r="X985" i="11"/>
  <c r="X986" i="11"/>
  <c r="X987" i="11"/>
  <c r="X988" i="11"/>
  <c r="X989" i="11"/>
  <c r="X990" i="11"/>
  <c r="X991" i="11"/>
  <c r="X992" i="11"/>
  <c r="X993" i="11"/>
  <c r="X994" i="11"/>
  <c r="X995" i="11"/>
  <c r="X996" i="11"/>
  <c r="X997" i="11"/>
  <c r="X998" i="11"/>
  <c r="X999" i="11"/>
  <c r="X1000" i="11"/>
  <c r="X1001" i="11"/>
  <c r="X2" i="11"/>
  <c r="W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W34" i="11"/>
  <c r="W35" i="11"/>
  <c r="W36" i="11"/>
  <c r="W37" i="11"/>
  <c r="W38" i="11"/>
  <c r="W39" i="11"/>
  <c r="W40" i="11"/>
  <c r="W41" i="11"/>
  <c r="W42" i="11"/>
  <c r="W43" i="11"/>
  <c r="W44" i="11"/>
  <c r="W45" i="11"/>
  <c r="W46" i="11"/>
  <c r="W47" i="11"/>
  <c r="W48" i="11"/>
  <c r="W49" i="11"/>
  <c r="W50" i="11"/>
  <c r="W51" i="11"/>
  <c r="W52" i="11"/>
  <c r="W53" i="11"/>
  <c r="W54" i="11"/>
  <c r="W55" i="11"/>
  <c r="W56" i="11"/>
  <c r="W57" i="11"/>
  <c r="W58" i="11"/>
  <c r="W59" i="11"/>
  <c r="W60" i="11"/>
  <c r="W61" i="11"/>
  <c r="W62" i="11"/>
  <c r="W63" i="11"/>
  <c r="W64" i="11"/>
  <c r="W65" i="11"/>
  <c r="W66" i="11"/>
  <c r="W67" i="11"/>
  <c r="W68" i="11"/>
  <c r="W69" i="11"/>
  <c r="W70" i="11"/>
  <c r="W71" i="11"/>
  <c r="W72" i="11"/>
  <c r="W73" i="11"/>
  <c r="W74" i="11"/>
  <c r="W75" i="11"/>
  <c r="W76" i="11"/>
  <c r="W77" i="11"/>
  <c r="W78" i="11"/>
  <c r="W79" i="11"/>
  <c r="W80" i="11"/>
  <c r="W81" i="11"/>
  <c r="W82" i="11"/>
  <c r="W83" i="11"/>
  <c r="W84" i="11"/>
  <c r="W85" i="11"/>
  <c r="W86" i="11"/>
  <c r="W87" i="11"/>
  <c r="W88" i="11"/>
  <c r="W89" i="11"/>
  <c r="W90" i="11"/>
  <c r="W91" i="11"/>
  <c r="W92" i="11"/>
  <c r="W93" i="11"/>
  <c r="W94" i="11"/>
  <c r="W95" i="11"/>
  <c r="W96" i="11"/>
  <c r="W97" i="11"/>
  <c r="W98" i="11"/>
  <c r="W99" i="11"/>
  <c r="W100" i="11"/>
  <c r="W101" i="11"/>
  <c r="W102" i="11"/>
  <c r="W103" i="11"/>
  <c r="W104" i="11"/>
  <c r="W105" i="11"/>
  <c r="W106" i="11"/>
  <c r="W107" i="11"/>
  <c r="W108" i="11"/>
  <c r="W109" i="11"/>
  <c r="W110" i="11"/>
  <c r="W111" i="11"/>
  <c r="W112" i="11"/>
  <c r="W113" i="11"/>
  <c r="W114" i="11"/>
  <c r="W115" i="11"/>
  <c r="W116" i="11"/>
  <c r="W117" i="11"/>
  <c r="W118" i="11"/>
  <c r="W119" i="11"/>
  <c r="W120" i="11"/>
  <c r="W121" i="11"/>
  <c r="W122" i="11"/>
  <c r="W123" i="11"/>
  <c r="W124" i="11"/>
  <c r="W125" i="11"/>
  <c r="W126" i="11"/>
  <c r="W127" i="11"/>
  <c r="W128" i="11"/>
  <c r="W129" i="11"/>
  <c r="W130" i="11"/>
  <c r="W131" i="11"/>
  <c r="W132" i="11"/>
  <c r="W133" i="11"/>
  <c r="W134" i="11"/>
  <c r="W135" i="11"/>
  <c r="W136" i="11"/>
  <c r="W137" i="11"/>
  <c r="W138" i="11"/>
  <c r="W139" i="11"/>
  <c r="W140" i="11"/>
  <c r="W141" i="11"/>
  <c r="W142" i="11"/>
  <c r="W143" i="11"/>
  <c r="W144" i="11"/>
  <c r="W145" i="11"/>
  <c r="W146" i="11"/>
  <c r="W147" i="11"/>
  <c r="W148" i="11"/>
  <c r="W149" i="11"/>
  <c r="W150" i="11"/>
  <c r="W151" i="11"/>
  <c r="W152" i="11"/>
  <c r="W153" i="11"/>
  <c r="W154" i="11"/>
  <c r="W155" i="11"/>
  <c r="W156" i="11"/>
  <c r="W157" i="11"/>
  <c r="W158" i="11"/>
  <c r="W159" i="11"/>
  <c r="W160" i="11"/>
  <c r="W161" i="11"/>
  <c r="W162" i="11"/>
  <c r="W163" i="11"/>
  <c r="W164" i="11"/>
  <c r="W165" i="11"/>
  <c r="W166" i="11"/>
  <c r="W167" i="11"/>
  <c r="W168" i="11"/>
  <c r="W169" i="11"/>
  <c r="W170" i="11"/>
  <c r="W171" i="11"/>
  <c r="W172" i="11"/>
  <c r="W173" i="11"/>
  <c r="W174" i="11"/>
  <c r="W175" i="11"/>
  <c r="W176" i="11"/>
  <c r="W177" i="11"/>
  <c r="W178" i="11"/>
  <c r="W179" i="11"/>
  <c r="W180" i="11"/>
  <c r="W181" i="11"/>
  <c r="W182" i="11"/>
  <c r="W183" i="11"/>
  <c r="W184" i="11"/>
  <c r="W185" i="11"/>
  <c r="W186" i="11"/>
  <c r="W187" i="11"/>
  <c r="W188" i="11"/>
  <c r="W189" i="11"/>
  <c r="W190" i="11"/>
  <c r="W191" i="11"/>
  <c r="W192" i="11"/>
  <c r="W193" i="11"/>
  <c r="W194" i="11"/>
  <c r="W195" i="11"/>
  <c r="W196" i="11"/>
  <c r="W197" i="11"/>
  <c r="W198" i="11"/>
  <c r="W199" i="11"/>
  <c r="W200" i="11"/>
  <c r="W201" i="11"/>
  <c r="W202" i="11"/>
  <c r="W203" i="11"/>
  <c r="W204" i="11"/>
  <c r="W205" i="11"/>
  <c r="W206" i="11"/>
  <c r="W207" i="11"/>
  <c r="W208" i="11"/>
  <c r="W209" i="11"/>
  <c r="W210" i="11"/>
  <c r="W211" i="11"/>
  <c r="W212" i="11"/>
  <c r="W213" i="11"/>
  <c r="W214" i="11"/>
  <c r="W215" i="11"/>
  <c r="W216" i="11"/>
  <c r="W217" i="11"/>
  <c r="W218" i="11"/>
  <c r="W219" i="11"/>
  <c r="W220" i="11"/>
  <c r="W221" i="11"/>
  <c r="W222" i="11"/>
  <c r="W223" i="11"/>
  <c r="W224" i="11"/>
  <c r="W225" i="11"/>
  <c r="W226" i="11"/>
  <c r="W227" i="11"/>
  <c r="W228" i="11"/>
  <c r="W229" i="11"/>
  <c r="W230" i="11"/>
  <c r="W231" i="11"/>
  <c r="W232" i="11"/>
  <c r="W233" i="11"/>
  <c r="W234" i="11"/>
  <c r="W235" i="11"/>
  <c r="W236" i="11"/>
  <c r="W237" i="11"/>
  <c r="W238" i="11"/>
  <c r="W239" i="11"/>
  <c r="W240" i="11"/>
  <c r="W241" i="11"/>
  <c r="W242" i="11"/>
  <c r="W243" i="11"/>
  <c r="W244" i="11"/>
  <c r="W245" i="11"/>
  <c r="W246" i="11"/>
  <c r="W247" i="11"/>
  <c r="W248" i="11"/>
  <c r="W249" i="11"/>
  <c r="W250" i="11"/>
  <c r="W251" i="11"/>
  <c r="W252" i="11"/>
  <c r="W253" i="11"/>
  <c r="W254" i="11"/>
  <c r="W255" i="11"/>
  <c r="W256" i="11"/>
  <c r="W257" i="11"/>
  <c r="W258" i="11"/>
  <c r="W259" i="11"/>
  <c r="W260" i="11"/>
  <c r="W261" i="11"/>
  <c r="W262" i="11"/>
  <c r="W263" i="11"/>
  <c r="W264" i="11"/>
  <c r="W265" i="11"/>
  <c r="W266" i="11"/>
  <c r="W267" i="11"/>
  <c r="W268" i="11"/>
  <c r="W269" i="11"/>
  <c r="W270" i="11"/>
  <c r="W271" i="11"/>
  <c r="W272" i="11"/>
  <c r="W273" i="11"/>
  <c r="W274" i="11"/>
  <c r="W275" i="11"/>
  <c r="W276" i="11"/>
  <c r="W277" i="11"/>
  <c r="W278" i="11"/>
  <c r="W279" i="11"/>
  <c r="W280" i="11"/>
  <c r="W281" i="11"/>
  <c r="W282" i="11"/>
  <c r="W283" i="11"/>
  <c r="W284" i="11"/>
  <c r="W285" i="11"/>
  <c r="W286" i="11"/>
  <c r="W287" i="11"/>
  <c r="W288" i="11"/>
  <c r="W289" i="11"/>
  <c r="W290" i="11"/>
  <c r="W291" i="11"/>
  <c r="W292" i="11"/>
  <c r="W293" i="11"/>
  <c r="W294" i="11"/>
  <c r="W295" i="11"/>
  <c r="W296" i="11"/>
  <c r="W297" i="11"/>
  <c r="W298" i="11"/>
  <c r="W299" i="11"/>
  <c r="W300" i="11"/>
  <c r="W301" i="11"/>
  <c r="W302" i="11"/>
  <c r="W303" i="11"/>
  <c r="W304" i="11"/>
  <c r="W305" i="11"/>
  <c r="W306" i="11"/>
  <c r="W307" i="11"/>
  <c r="W308" i="11"/>
  <c r="W309" i="11"/>
  <c r="W310" i="11"/>
  <c r="W311" i="11"/>
  <c r="W312" i="11"/>
  <c r="W313" i="11"/>
  <c r="W314" i="11"/>
  <c r="W315" i="11"/>
  <c r="W316" i="11"/>
  <c r="W317" i="11"/>
  <c r="W318" i="11"/>
  <c r="W319" i="11"/>
  <c r="W320" i="11"/>
  <c r="W321" i="11"/>
  <c r="W322" i="11"/>
  <c r="W323" i="11"/>
  <c r="W324" i="11"/>
  <c r="W325" i="11"/>
  <c r="W326" i="11"/>
  <c r="W327" i="11"/>
  <c r="W328" i="11"/>
  <c r="W329" i="11"/>
  <c r="W330" i="11"/>
  <c r="W331" i="11"/>
  <c r="W332" i="11"/>
  <c r="W333" i="11"/>
  <c r="W334" i="11"/>
  <c r="W335" i="11"/>
  <c r="W336" i="11"/>
  <c r="W337" i="11"/>
  <c r="W338" i="11"/>
  <c r="W339" i="11"/>
  <c r="W340" i="11"/>
  <c r="W341" i="11"/>
  <c r="W342" i="11"/>
  <c r="W343" i="11"/>
  <c r="W344" i="11"/>
  <c r="W345" i="11"/>
  <c r="W346" i="11"/>
  <c r="W347" i="11"/>
  <c r="W348" i="11"/>
  <c r="W349" i="11"/>
  <c r="W350" i="11"/>
  <c r="W351" i="11"/>
  <c r="W352" i="11"/>
  <c r="W353" i="11"/>
  <c r="W354" i="11"/>
  <c r="W355" i="11"/>
  <c r="W356" i="11"/>
  <c r="W357" i="11"/>
  <c r="W358" i="11"/>
  <c r="W359" i="11"/>
  <c r="W360" i="11"/>
  <c r="W361" i="11"/>
  <c r="W362" i="11"/>
  <c r="W363" i="11"/>
  <c r="W364" i="11"/>
  <c r="W365" i="11"/>
  <c r="W366" i="11"/>
  <c r="W367" i="11"/>
  <c r="W368" i="11"/>
  <c r="W369" i="11"/>
  <c r="W370" i="11"/>
  <c r="W371" i="11"/>
  <c r="W372" i="11"/>
  <c r="W373" i="11"/>
  <c r="W374" i="11"/>
  <c r="W375" i="11"/>
  <c r="W376" i="11"/>
  <c r="W377" i="11"/>
  <c r="W378" i="11"/>
  <c r="W379" i="11"/>
  <c r="W380" i="11"/>
  <c r="W381" i="11"/>
  <c r="W382" i="11"/>
  <c r="W383" i="11"/>
  <c r="W384" i="11"/>
  <c r="W385" i="11"/>
  <c r="W386" i="11"/>
  <c r="W387" i="11"/>
  <c r="W388" i="11"/>
  <c r="W389" i="11"/>
  <c r="W390" i="11"/>
  <c r="W391" i="11"/>
  <c r="W392" i="11"/>
  <c r="W393" i="11"/>
  <c r="W394" i="11"/>
  <c r="W395" i="11"/>
  <c r="W396" i="11"/>
  <c r="W397" i="11"/>
  <c r="W398" i="11"/>
  <c r="W399" i="11"/>
  <c r="W400" i="11"/>
  <c r="W401" i="11"/>
  <c r="W402" i="11"/>
  <c r="W403" i="11"/>
  <c r="W404" i="11"/>
  <c r="W405" i="11"/>
  <c r="W406" i="11"/>
  <c r="W407" i="11"/>
  <c r="W408" i="11"/>
  <c r="W409" i="11"/>
  <c r="W410" i="11"/>
  <c r="W411" i="11"/>
  <c r="W412" i="11"/>
  <c r="W413" i="11"/>
  <c r="W414" i="11"/>
  <c r="W415" i="11"/>
  <c r="W416" i="11"/>
  <c r="W417" i="11"/>
  <c r="W418" i="11"/>
  <c r="W419" i="11"/>
  <c r="W420" i="11"/>
  <c r="W421" i="11"/>
  <c r="W422" i="11"/>
  <c r="W423" i="11"/>
  <c r="W424" i="11"/>
  <c r="W425" i="11"/>
  <c r="W426" i="11"/>
  <c r="W427" i="11"/>
  <c r="W428" i="11"/>
  <c r="W429" i="11"/>
  <c r="W430" i="11"/>
  <c r="W431" i="11"/>
  <c r="W432" i="11"/>
  <c r="W433" i="11"/>
  <c r="W434" i="11"/>
  <c r="W435" i="11"/>
  <c r="W436" i="11"/>
  <c r="W437" i="11"/>
  <c r="W438" i="11"/>
  <c r="W439" i="11"/>
  <c r="W440" i="11"/>
  <c r="W441" i="11"/>
  <c r="W442" i="11"/>
  <c r="W443" i="11"/>
  <c r="W444" i="11"/>
  <c r="W445" i="11"/>
  <c r="W446" i="11"/>
  <c r="W447" i="11"/>
  <c r="W448" i="11"/>
  <c r="W449" i="11"/>
  <c r="W450" i="11"/>
  <c r="W451" i="11"/>
  <c r="W452" i="11"/>
  <c r="W453" i="11"/>
  <c r="W454" i="11"/>
  <c r="W455" i="11"/>
  <c r="W456" i="11"/>
  <c r="W457" i="11"/>
  <c r="W458" i="11"/>
  <c r="W459" i="11"/>
  <c r="W460" i="11"/>
  <c r="W461" i="11"/>
  <c r="W462" i="11"/>
  <c r="W463" i="11"/>
  <c r="W464" i="11"/>
  <c r="W465" i="11"/>
  <c r="W466" i="11"/>
  <c r="W467" i="11"/>
  <c r="W468" i="11"/>
  <c r="W469" i="11"/>
  <c r="W470" i="11"/>
  <c r="W471" i="11"/>
  <c r="W472" i="11"/>
  <c r="W473" i="11"/>
  <c r="W474" i="11"/>
  <c r="W475" i="11"/>
  <c r="W476" i="11"/>
  <c r="W477" i="11"/>
  <c r="W478" i="11"/>
  <c r="W479" i="11"/>
  <c r="W480" i="11"/>
  <c r="W481" i="11"/>
  <c r="W482" i="11"/>
  <c r="W483" i="11"/>
  <c r="W484" i="11"/>
  <c r="W485" i="11"/>
  <c r="W486" i="11"/>
  <c r="W487" i="11"/>
  <c r="W488" i="11"/>
  <c r="W489" i="11"/>
  <c r="W490" i="11"/>
  <c r="W491" i="11"/>
  <c r="W492" i="11"/>
  <c r="W493" i="11"/>
  <c r="W494" i="11"/>
  <c r="W495" i="11"/>
  <c r="W496" i="11"/>
  <c r="W497" i="11"/>
  <c r="W498" i="11"/>
  <c r="W499" i="11"/>
  <c r="W500" i="11"/>
  <c r="W501" i="11"/>
  <c r="W502" i="11"/>
  <c r="W503" i="11"/>
  <c r="W504" i="11"/>
  <c r="W505" i="11"/>
  <c r="W506" i="11"/>
  <c r="W507" i="11"/>
  <c r="W508" i="11"/>
  <c r="W509" i="11"/>
  <c r="W510" i="11"/>
  <c r="W511" i="11"/>
  <c r="W512" i="11"/>
  <c r="W513" i="11"/>
  <c r="W514" i="11"/>
  <c r="W515" i="11"/>
  <c r="W516" i="11"/>
  <c r="W517" i="11"/>
  <c r="W518" i="11"/>
  <c r="W519" i="11"/>
  <c r="W520" i="11"/>
  <c r="W521" i="11"/>
  <c r="W522" i="11"/>
  <c r="W523" i="11"/>
  <c r="W524" i="11"/>
  <c r="W525" i="11"/>
  <c r="W526" i="11"/>
  <c r="W527" i="11"/>
  <c r="W528" i="11"/>
  <c r="W529" i="11"/>
  <c r="W530" i="11"/>
  <c r="W531" i="11"/>
  <c r="W532" i="11"/>
  <c r="W533" i="11"/>
  <c r="W534" i="11"/>
  <c r="W535" i="11"/>
  <c r="W536" i="11"/>
  <c r="W537" i="11"/>
  <c r="W538" i="11"/>
  <c r="W539" i="11"/>
  <c r="W540" i="11"/>
  <c r="W541" i="11"/>
  <c r="W542" i="11"/>
  <c r="W543" i="11"/>
  <c r="W544" i="11"/>
  <c r="W545" i="11"/>
  <c r="W546" i="11"/>
  <c r="W547" i="11"/>
  <c r="W548" i="11"/>
  <c r="W549" i="11"/>
  <c r="W550" i="11"/>
  <c r="W551" i="11"/>
  <c r="W552" i="11"/>
  <c r="W553" i="11"/>
  <c r="W554" i="11"/>
  <c r="W555" i="11"/>
  <c r="W556" i="11"/>
  <c r="W557" i="11"/>
  <c r="W558" i="11"/>
  <c r="W559" i="11"/>
  <c r="W560" i="11"/>
  <c r="W561" i="11"/>
  <c r="W562" i="11"/>
  <c r="W563" i="11"/>
  <c r="W564" i="11"/>
  <c r="W565" i="11"/>
  <c r="W566" i="11"/>
  <c r="W567" i="11"/>
  <c r="W568" i="11"/>
  <c r="W569" i="11"/>
  <c r="W570" i="11"/>
  <c r="W571" i="11"/>
  <c r="W572" i="11"/>
  <c r="W573" i="11"/>
  <c r="W574" i="11"/>
  <c r="W575" i="11"/>
  <c r="W576" i="11"/>
  <c r="W577" i="11"/>
  <c r="W578" i="11"/>
  <c r="W579" i="11"/>
  <c r="W580" i="11"/>
  <c r="W581" i="11"/>
  <c r="W582" i="11"/>
  <c r="W583" i="11"/>
  <c r="W584" i="11"/>
  <c r="W585" i="11"/>
  <c r="W586" i="11"/>
  <c r="W587" i="11"/>
  <c r="W588" i="11"/>
  <c r="W589" i="11"/>
  <c r="W590" i="11"/>
  <c r="W591" i="11"/>
  <c r="W592" i="11"/>
  <c r="W593" i="11"/>
  <c r="W594" i="11"/>
  <c r="W595" i="11"/>
  <c r="W596" i="11"/>
  <c r="W597" i="11"/>
  <c r="W598" i="11"/>
  <c r="W599" i="11"/>
  <c r="W600" i="11"/>
  <c r="W601" i="11"/>
  <c r="W602" i="11"/>
  <c r="W603" i="11"/>
  <c r="W604" i="11"/>
  <c r="W605" i="11"/>
  <c r="W606" i="11"/>
  <c r="W607" i="11"/>
  <c r="W608" i="11"/>
  <c r="W609" i="11"/>
  <c r="W610" i="11"/>
  <c r="W611" i="11"/>
  <c r="W612" i="11"/>
  <c r="W613" i="11"/>
  <c r="W614" i="11"/>
  <c r="W615" i="11"/>
  <c r="W616" i="11"/>
  <c r="W617" i="11"/>
  <c r="W618" i="11"/>
  <c r="W619" i="11"/>
  <c r="W620" i="11"/>
  <c r="W621" i="11"/>
  <c r="W622" i="11"/>
  <c r="W623" i="11"/>
  <c r="W624" i="11"/>
  <c r="W625" i="11"/>
  <c r="W626" i="11"/>
  <c r="W627" i="11"/>
  <c r="W628" i="11"/>
  <c r="W629" i="11"/>
  <c r="W630" i="11"/>
  <c r="W631" i="11"/>
  <c r="W632" i="11"/>
  <c r="W633" i="11"/>
  <c r="W634" i="11"/>
  <c r="W635" i="11"/>
  <c r="W636" i="11"/>
  <c r="W637" i="11"/>
  <c r="W638" i="11"/>
  <c r="W639" i="11"/>
  <c r="W640" i="11"/>
  <c r="W641" i="11"/>
  <c r="W642" i="11"/>
  <c r="W643" i="11"/>
  <c r="W644" i="11"/>
  <c r="W645" i="11"/>
  <c r="W646" i="11"/>
  <c r="W647" i="11"/>
  <c r="W648" i="11"/>
  <c r="W649" i="11"/>
  <c r="W650" i="11"/>
  <c r="W651" i="11"/>
  <c r="W652" i="11"/>
  <c r="W653" i="11"/>
  <c r="W654" i="11"/>
  <c r="W655" i="11"/>
  <c r="W656" i="11"/>
  <c r="W657" i="11"/>
  <c r="W658" i="11"/>
  <c r="W659" i="11"/>
  <c r="W660" i="11"/>
  <c r="W661" i="11"/>
  <c r="W662" i="11"/>
  <c r="W663" i="11"/>
  <c r="W664" i="11"/>
  <c r="W665" i="11"/>
  <c r="W666" i="11"/>
  <c r="W667" i="11"/>
  <c r="W668" i="11"/>
  <c r="W669" i="11"/>
  <c r="W670" i="11"/>
  <c r="W671" i="11"/>
  <c r="W672" i="11"/>
  <c r="W673" i="11"/>
  <c r="W674" i="11"/>
  <c r="W675" i="11"/>
  <c r="W676" i="11"/>
  <c r="W677" i="11"/>
  <c r="W678" i="11"/>
  <c r="W679" i="11"/>
  <c r="W680" i="11"/>
  <c r="W681" i="11"/>
  <c r="W682" i="11"/>
  <c r="W683" i="11"/>
  <c r="W684" i="11"/>
  <c r="W685" i="11"/>
  <c r="W686" i="11"/>
  <c r="W687" i="11"/>
  <c r="W688" i="11"/>
  <c r="W689" i="11"/>
  <c r="W690" i="11"/>
  <c r="W691" i="11"/>
  <c r="W692" i="11"/>
  <c r="W693" i="11"/>
  <c r="W694" i="11"/>
  <c r="W695" i="11"/>
  <c r="W696" i="11"/>
  <c r="W697" i="11"/>
  <c r="W698" i="11"/>
  <c r="W699" i="11"/>
  <c r="W700" i="11"/>
  <c r="W701" i="11"/>
  <c r="W702" i="11"/>
  <c r="W703" i="11"/>
  <c r="W704" i="11"/>
  <c r="W705" i="11"/>
  <c r="W706" i="11"/>
  <c r="W707" i="11"/>
  <c r="W708" i="11"/>
  <c r="W709" i="11"/>
  <c r="W710" i="11"/>
  <c r="W711" i="11"/>
  <c r="W712" i="11"/>
  <c r="W713" i="11"/>
  <c r="W714" i="11"/>
  <c r="W715" i="11"/>
  <c r="W716" i="11"/>
  <c r="W717" i="11"/>
  <c r="W718" i="11"/>
  <c r="W719" i="11"/>
  <c r="W720" i="11"/>
  <c r="W721" i="11"/>
  <c r="W722" i="11"/>
  <c r="W723" i="11"/>
  <c r="W724" i="11"/>
  <c r="W725" i="11"/>
  <c r="W726" i="11"/>
  <c r="W727" i="11"/>
  <c r="W728" i="11"/>
  <c r="W729" i="11"/>
  <c r="W730" i="11"/>
  <c r="W731" i="11"/>
  <c r="W732" i="11"/>
  <c r="W733" i="11"/>
  <c r="W734" i="11"/>
  <c r="W735" i="11"/>
  <c r="W736" i="11"/>
  <c r="W737" i="11"/>
  <c r="W738" i="11"/>
  <c r="W739" i="11"/>
  <c r="W740" i="11"/>
  <c r="W741" i="11"/>
  <c r="W742" i="11"/>
  <c r="W743" i="11"/>
  <c r="W744" i="11"/>
  <c r="W745" i="11"/>
  <c r="W746" i="11"/>
  <c r="W747" i="11"/>
  <c r="W748" i="11"/>
  <c r="W749" i="11"/>
  <c r="W750" i="11"/>
  <c r="W751" i="11"/>
  <c r="W752" i="11"/>
  <c r="W753" i="11"/>
  <c r="W754" i="11"/>
  <c r="W755" i="11"/>
  <c r="W756" i="11"/>
  <c r="W757" i="11"/>
  <c r="W758" i="11"/>
  <c r="W759" i="11"/>
  <c r="W760" i="11"/>
  <c r="W761" i="11"/>
  <c r="W762" i="11"/>
  <c r="W763" i="11"/>
  <c r="W764" i="11"/>
  <c r="W765" i="11"/>
  <c r="W766" i="11"/>
  <c r="W767" i="11"/>
  <c r="W768" i="11"/>
  <c r="W769" i="11"/>
  <c r="W770" i="11"/>
  <c r="W771" i="11"/>
  <c r="W772" i="11"/>
  <c r="W773" i="11"/>
  <c r="W774" i="11"/>
  <c r="W775" i="11"/>
  <c r="W776" i="11"/>
  <c r="W777" i="11"/>
  <c r="W778" i="11"/>
  <c r="W779" i="11"/>
  <c r="W780" i="11"/>
  <c r="W781" i="11"/>
  <c r="W782" i="11"/>
  <c r="W783" i="11"/>
  <c r="W784" i="11"/>
  <c r="W785" i="11"/>
  <c r="W786" i="11"/>
  <c r="W787" i="11"/>
  <c r="W788" i="11"/>
  <c r="W789" i="11"/>
  <c r="W790" i="11"/>
  <c r="W791" i="11"/>
  <c r="W792" i="11"/>
  <c r="W793" i="11"/>
  <c r="W794" i="11"/>
  <c r="W795" i="11"/>
  <c r="W796" i="11"/>
  <c r="W797" i="11"/>
  <c r="W798" i="11"/>
  <c r="W799" i="11"/>
  <c r="W800" i="11"/>
  <c r="W801" i="11"/>
  <c r="W802" i="11"/>
  <c r="W803" i="11"/>
  <c r="W804" i="11"/>
  <c r="W805" i="11"/>
  <c r="W806" i="11"/>
  <c r="W807" i="11"/>
  <c r="W808" i="11"/>
  <c r="W809" i="11"/>
  <c r="W810" i="11"/>
  <c r="W811" i="11"/>
  <c r="W812" i="11"/>
  <c r="W813" i="11"/>
  <c r="W814" i="11"/>
  <c r="W815" i="11"/>
  <c r="W816" i="11"/>
  <c r="W817" i="11"/>
  <c r="W818" i="11"/>
  <c r="W819" i="11"/>
  <c r="W820" i="11"/>
  <c r="W821" i="11"/>
  <c r="W822" i="11"/>
  <c r="W823" i="11"/>
  <c r="W824" i="11"/>
  <c r="W825" i="11"/>
  <c r="W826" i="11"/>
  <c r="W827" i="11"/>
  <c r="W828" i="11"/>
  <c r="W829" i="11"/>
  <c r="W830" i="11"/>
  <c r="W831" i="11"/>
  <c r="W832" i="11"/>
  <c r="W833" i="11"/>
  <c r="W834" i="11"/>
  <c r="W835" i="11"/>
  <c r="W836" i="11"/>
  <c r="W837" i="11"/>
  <c r="W838" i="11"/>
  <c r="W839" i="11"/>
  <c r="W840" i="11"/>
  <c r="W841" i="11"/>
  <c r="W842" i="11"/>
  <c r="W843" i="11"/>
  <c r="W844" i="11"/>
  <c r="W845" i="11"/>
  <c r="W846" i="11"/>
  <c r="W847" i="11"/>
  <c r="W848" i="11"/>
  <c r="W849" i="11"/>
  <c r="W850" i="11"/>
  <c r="W851" i="11"/>
  <c r="W852" i="11"/>
  <c r="W853" i="11"/>
  <c r="W854" i="11"/>
  <c r="W855" i="11"/>
  <c r="W856" i="11"/>
  <c r="W857" i="11"/>
  <c r="W858" i="11"/>
  <c r="W859" i="11"/>
  <c r="W860" i="11"/>
  <c r="W861" i="11"/>
  <c r="W862" i="11"/>
  <c r="W863" i="11"/>
  <c r="W864" i="11"/>
  <c r="W865" i="11"/>
  <c r="W866" i="11"/>
  <c r="W867" i="11"/>
  <c r="W868" i="11"/>
  <c r="W869" i="11"/>
  <c r="W870" i="11"/>
  <c r="W871" i="11"/>
  <c r="W872" i="11"/>
  <c r="W873" i="11"/>
  <c r="W874" i="11"/>
  <c r="W875" i="11"/>
  <c r="W876" i="11"/>
  <c r="W877" i="11"/>
  <c r="W878" i="11"/>
  <c r="W879" i="11"/>
  <c r="W880" i="11"/>
  <c r="W881" i="11"/>
  <c r="W882" i="11"/>
  <c r="W883" i="11"/>
  <c r="W884" i="11"/>
  <c r="W885" i="11"/>
  <c r="W886" i="11"/>
  <c r="W887" i="11"/>
  <c r="W888" i="11"/>
  <c r="W889" i="11"/>
  <c r="W890" i="11"/>
  <c r="W891" i="11"/>
  <c r="W892" i="11"/>
  <c r="W893" i="11"/>
  <c r="W894" i="11"/>
  <c r="W895" i="11"/>
  <c r="W896" i="11"/>
  <c r="W897" i="11"/>
  <c r="W898" i="11"/>
  <c r="W899" i="11"/>
  <c r="W900" i="11"/>
  <c r="W901" i="11"/>
  <c r="W902" i="11"/>
  <c r="W903" i="11"/>
  <c r="W904" i="11"/>
  <c r="W905" i="11"/>
  <c r="W906" i="11"/>
  <c r="W907" i="11"/>
  <c r="W908" i="11"/>
  <c r="W909" i="11"/>
  <c r="W910" i="11"/>
  <c r="W911" i="11"/>
  <c r="W912" i="11"/>
  <c r="W913" i="11"/>
  <c r="W914" i="11"/>
  <c r="W915" i="11"/>
  <c r="W916" i="11"/>
  <c r="W917" i="11"/>
  <c r="W918" i="11"/>
  <c r="W919" i="11"/>
  <c r="W920" i="11"/>
  <c r="W921" i="11"/>
  <c r="W922" i="11"/>
  <c r="W923" i="11"/>
  <c r="W924" i="11"/>
  <c r="W925" i="11"/>
  <c r="W926" i="11"/>
  <c r="W927" i="11"/>
  <c r="W928" i="11"/>
  <c r="W929" i="11"/>
  <c r="W930" i="11"/>
  <c r="W931" i="11"/>
  <c r="W932" i="11"/>
  <c r="W933" i="11"/>
  <c r="W934" i="11"/>
  <c r="W935" i="11"/>
  <c r="W936" i="11"/>
  <c r="W937" i="11"/>
  <c r="W938" i="11"/>
  <c r="W939" i="11"/>
  <c r="W940" i="11"/>
  <c r="W941" i="11"/>
  <c r="W942" i="11"/>
  <c r="W943" i="11"/>
  <c r="W944" i="11"/>
  <c r="W945" i="11"/>
  <c r="W946" i="11"/>
  <c r="W947" i="11"/>
  <c r="W948" i="11"/>
  <c r="W949" i="11"/>
  <c r="W950" i="11"/>
  <c r="W951" i="11"/>
  <c r="W952" i="11"/>
  <c r="W953" i="11"/>
  <c r="W954" i="11"/>
  <c r="W955" i="11"/>
  <c r="W956" i="11"/>
  <c r="W957" i="11"/>
  <c r="W958" i="11"/>
  <c r="W959" i="11"/>
  <c r="W960" i="11"/>
  <c r="W961" i="11"/>
  <c r="W962" i="11"/>
  <c r="W963" i="11"/>
  <c r="W964" i="11"/>
  <c r="W965" i="11"/>
  <c r="W966" i="11"/>
  <c r="W967" i="11"/>
  <c r="W968" i="11"/>
  <c r="W969" i="11"/>
  <c r="W970" i="11"/>
  <c r="W971" i="11"/>
  <c r="W972" i="11"/>
  <c r="W973" i="11"/>
  <c r="W974" i="11"/>
  <c r="W975" i="11"/>
  <c r="W976" i="11"/>
  <c r="W977" i="11"/>
  <c r="W978" i="11"/>
  <c r="W979" i="11"/>
  <c r="W980" i="11"/>
  <c r="W981" i="11"/>
  <c r="W982" i="11"/>
  <c r="W983" i="11"/>
  <c r="W984" i="11"/>
  <c r="W985" i="11"/>
  <c r="W986" i="11"/>
  <c r="W987" i="11"/>
  <c r="W988" i="11"/>
  <c r="W989" i="11"/>
  <c r="W990" i="11"/>
  <c r="W991" i="11"/>
  <c r="W992" i="11"/>
  <c r="W993" i="11"/>
  <c r="W994" i="11"/>
  <c r="W995" i="11"/>
  <c r="W996" i="11"/>
  <c r="W997" i="11"/>
  <c r="W998" i="11"/>
  <c r="W999" i="11"/>
  <c r="W1000" i="11"/>
  <c r="W1001" i="11"/>
  <c r="V613" i="11"/>
  <c r="V614" i="11"/>
  <c r="V615" i="11"/>
  <c r="V616" i="11"/>
  <c r="V617" i="11"/>
  <c r="V618" i="11"/>
  <c r="V619" i="11"/>
  <c r="V620" i="11"/>
  <c r="V621" i="11"/>
  <c r="V622" i="11"/>
  <c r="V623" i="11"/>
  <c r="V624" i="11"/>
  <c r="V625" i="11"/>
  <c r="V626" i="11"/>
  <c r="V627" i="11"/>
  <c r="V628" i="11"/>
  <c r="V629" i="11"/>
  <c r="V630" i="11"/>
  <c r="V631" i="11"/>
  <c r="V632" i="11"/>
  <c r="V633" i="11"/>
  <c r="V634" i="11"/>
  <c r="V635" i="11"/>
  <c r="V636" i="11"/>
  <c r="V637" i="11"/>
  <c r="V638" i="11"/>
  <c r="V639" i="11"/>
  <c r="V640" i="11"/>
  <c r="V641" i="11"/>
  <c r="V642" i="11"/>
  <c r="V643" i="11"/>
  <c r="V644" i="11"/>
  <c r="V645" i="11"/>
  <c r="V646" i="11"/>
  <c r="V647" i="11"/>
  <c r="V648" i="11"/>
  <c r="V649" i="11"/>
  <c r="V650" i="11"/>
  <c r="V651" i="11"/>
  <c r="V652" i="11"/>
  <c r="V653" i="11"/>
  <c r="V654" i="11"/>
  <c r="V655" i="11"/>
  <c r="V656" i="11"/>
  <c r="V657" i="11"/>
  <c r="V658" i="11"/>
  <c r="V659" i="11"/>
  <c r="V660" i="11"/>
  <c r="V661" i="11"/>
  <c r="V662" i="11"/>
  <c r="V663" i="11"/>
  <c r="V664" i="11"/>
  <c r="V665" i="11"/>
  <c r="V666" i="11"/>
  <c r="V667" i="11"/>
  <c r="V668" i="11"/>
  <c r="V669" i="11"/>
  <c r="V670" i="11"/>
  <c r="V671" i="11"/>
  <c r="V672" i="11"/>
  <c r="V673" i="11"/>
  <c r="V674" i="11"/>
  <c r="V675" i="11"/>
  <c r="V676" i="11"/>
  <c r="V677" i="11"/>
  <c r="V678" i="11"/>
  <c r="V679" i="11"/>
  <c r="V680" i="11"/>
  <c r="V681" i="11"/>
  <c r="V682" i="11"/>
  <c r="V683" i="11"/>
  <c r="V684" i="11"/>
  <c r="V685" i="11"/>
  <c r="V686" i="11"/>
  <c r="V687" i="11"/>
  <c r="V688" i="11"/>
  <c r="V689" i="11"/>
  <c r="V690" i="11"/>
  <c r="V691" i="11"/>
  <c r="V692" i="11"/>
  <c r="V693" i="11"/>
  <c r="V694" i="11"/>
  <c r="V695" i="11"/>
  <c r="V696" i="11"/>
  <c r="V697" i="11"/>
  <c r="V698" i="11"/>
  <c r="V699" i="11"/>
  <c r="V700" i="11"/>
  <c r="V701" i="11"/>
  <c r="V702" i="11"/>
  <c r="V703" i="11"/>
  <c r="V704" i="11"/>
  <c r="V705" i="11"/>
  <c r="V706" i="11"/>
  <c r="V707" i="11"/>
  <c r="V708" i="11"/>
  <c r="V709" i="11"/>
  <c r="V710" i="11"/>
  <c r="V711" i="11"/>
  <c r="V712" i="11"/>
  <c r="V713" i="11"/>
  <c r="V714" i="11"/>
  <c r="V715" i="11"/>
  <c r="V716" i="11"/>
  <c r="V717" i="11"/>
  <c r="V718" i="11"/>
  <c r="V719" i="11"/>
  <c r="V720" i="11"/>
  <c r="V721" i="11"/>
  <c r="V722" i="11"/>
  <c r="V723" i="11"/>
  <c r="V724" i="11"/>
  <c r="V725" i="11"/>
  <c r="V726" i="11"/>
  <c r="V727" i="11"/>
  <c r="V728" i="11"/>
  <c r="V729" i="11"/>
  <c r="V730" i="11"/>
  <c r="V731" i="11"/>
  <c r="V732" i="11"/>
  <c r="V733" i="11"/>
  <c r="V734" i="11"/>
  <c r="V735" i="11"/>
  <c r="V736" i="11"/>
  <c r="V737" i="11"/>
  <c r="V738" i="11"/>
  <c r="V739" i="11"/>
  <c r="V740" i="11"/>
  <c r="V741" i="11"/>
  <c r="V742" i="11"/>
  <c r="V743" i="11"/>
  <c r="V744" i="11"/>
  <c r="V745" i="11"/>
  <c r="V746" i="11"/>
  <c r="V747" i="11"/>
  <c r="V748" i="11"/>
  <c r="V749" i="11"/>
  <c r="V750" i="11"/>
  <c r="V751" i="11"/>
  <c r="V752" i="11"/>
  <c r="V753" i="11"/>
  <c r="V754" i="11"/>
  <c r="V755" i="11"/>
  <c r="V756" i="11"/>
  <c r="V757" i="11"/>
  <c r="V758" i="11"/>
  <c r="V759" i="11"/>
  <c r="V760" i="11"/>
  <c r="V761" i="11"/>
  <c r="V762" i="11"/>
  <c r="V763" i="11"/>
  <c r="V764" i="11"/>
  <c r="V765" i="11"/>
  <c r="V766" i="11"/>
  <c r="V767" i="11"/>
  <c r="V768" i="11"/>
  <c r="V769" i="11"/>
  <c r="V770" i="11"/>
  <c r="V771" i="11"/>
  <c r="V772" i="11"/>
  <c r="V773" i="11"/>
  <c r="V774" i="11"/>
  <c r="V775" i="11"/>
  <c r="V776" i="11"/>
  <c r="V777" i="11"/>
  <c r="V778" i="11"/>
  <c r="V779" i="11"/>
  <c r="V780" i="11"/>
  <c r="V781" i="11"/>
  <c r="V782" i="11"/>
  <c r="V783" i="11"/>
  <c r="V784" i="11"/>
  <c r="V785" i="11"/>
  <c r="V786" i="11"/>
  <c r="V787" i="11"/>
  <c r="V788" i="11"/>
  <c r="V789" i="11"/>
  <c r="V790" i="11"/>
  <c r="V791" i="11"/>
  <c r="V792" i="11"/>
  <c r="V793" i="11"/>
  <c r="V794" i="11"/>
  <c r="V795" i="11"/>
  <c r="V796" i="11"/>
  <c r="V797" i="11"/>
  <c r="V798" i="11"/>
  <c r="V799" i="11"/>
  <c r="V800" i="11"/>
  <c r="V801" i="11"/>
  <c r="V802" i="11"/>
  <c r="V803" i="11"/>
  <c r="V804" i="11"/>
  <c r="V805" i="11"/>
  <c r="V806" i="11"/>
  <c r="V807" i="11"/>
  <c r="V808" i="11"/>
  <c r="V809" i="11"/>
  <c r="V810" i="11"/>
  <c r="V811" i="11"/>
  <c r="V812" i="11"/>
  <c r="V813" i="11"/>
  <c r="V814" i="11"/>
  <c r="V815" i="11"/>
  <c r="V816" i="11"/>
  <c r="V817" i="11"/>
  <c r="V818" i="11"/>
  <c r="V819" i="11"/>
  <c r="V820" i="11"/>
  <c r="V821" i="11"/>
  <c r="V822" i="11"/>
  <c r="V823" i="11"/>
  <c r="V824" i="11"/>
  <c r="V825" i="11"/>
  <c r="V826" i="11"/>
  <c r="V827" i="11"/>
  <c r="V828" i="11"/>
  <c r="V829" i="11"/>
  <c r="V830" i="11"/>
  <c r="V831" i="11"/>
  <c r="V832" i="11"/>
  <c r="V833" i="11"/>
  <c r="V834" i="11"/>
  <c r="V835" i="11"/>
  <c r="V836" i="11"/>
  <c r="V837" i="11"/>
  <c r="V838" i="11"/>
  <c r="V839" i="11"/>
  <c r="V840" i="11"/>
  <c r="V841" i="11"/>
  <c r="V842" i="11"/>
  <c r="V843" i="11"/>
  <c r="V844" i="11"/>
  <c r="V845" i="11"/>
  <c r="V846" i="11"/>
  <c r="V847" i="11"/>
  <c r="V848" i="11"/>
  <c r="V849" i="11"/>
  <c r="V850" i="11"/>
  <c r="V851" i="11"/>
  <c r="V852" i="11"/>
  <c r="V853" i="11"/>
  <c r="V854" i="11"/>
  <c r="V855" i="11"/>
  <c r="V856" i="11"/>
  <c r="V857" i="11"/>
  <c r="V858" i="11"/>
  <c r="V859" i="11"/>
  <c r="V860" i="11"/>
  <c r="V861" i="11"/>
  <c r="V862" i="11"/>
  <c r="V863" i="11"/>
  <c r="V864" i="11"/>
  <c r="V865" i="11"/>
  <c r="V866" i="11"/>
  <c r="V867" i="11"/>
  <c r="V868" i="11"/>
  <c r="V869" i="11"/>
  <c r="V870" i="11"/>
  <c r="V871" i="11"/>
  <c r="V872" i="11"/>
  <c r="V873" i="11"/>
  <c r="V874" i="11"/>
  <c r="V875" i="11"/>
  <c r="V876" i="11"/>
  <c r="V877" i="11"/>
  <c r="V878" i="11"/>
  <c r="V879" i="11"/>
  <c r="V880" i="11"/>
  <c r="V881" i="11"/>
  <c r="V882" i="11"/>
  <c r="V883" i="11"/>
  <c r="V884" i="11"/>
  <c r="V885" i="11"/>
  <c r="V886" i="11"/>
  <c r="V887" i="11"/>
  <c r="V888" i="11"/>
  <c r="V889" i="11"/>
  <c r="V890" i="11"/>
  <c r="V891" i="11"/>
  <c r="V892" i="11"/>
  <c r="V893" i="11"/>
  <c r="V894" i="11"/>
  <c r="V895" i="11"/>
  <c r="V896" i="11"/>
  <c r="V897" i="11"/>
  <c r="V898" i="11"/>
  <c r="V899" i="11"/>
  <c r="V900" i="11"/>
  <c r="V901" i="11"/>
  <c r="V902" i="11"/>
  <c r="V903" i="11"/>
  <c r="V904" i="11"/>
  <c r="V905" i="11"/>
  <c r="V906" i="11"/>
  <c r="V907" i="11"/>
  <c r="V908" i="11"/>
  <c r="V909" i="11"/>
  <c r="V910" i="11"/>
  <c r="V911" i="11"/>
  <c r="V912" i="11"/>
  <c r="V913" i="11"/>
  <c r="V914" i="11"/>
  <c r="V915" i="11"/>
  <c r="V916" i="11"/>
  <c r="V917" i="11"/>
  <c r="V918" i="11"/>
  <c r="V919" i="11"/>
  <c r="V920" i="11"/>
  <c r="V921" i="11"/>
  <c r="V922" i="11"/>
  <c r="V923" i="11"/>
  <c r="V924" i="11"/>
  <c r="V925" i="11"/>
  <c r="V926" i="11"/>
  <c r="V927" i="11"/>
  <c r="V928" i="11"/>
  <c r="V929" i="11"/>
  <c r="V930" i="11"/>
  <c r="V931" i="11"/>
  <c r="V932" i="11"/>
  <c r="V933" i="11"/>
  <c r="V934" i="11"/>
  <c r="V935" i="11"/>
  <c r="V936" i="11"/>
  <c r="V937" i="11"/>
  <c r="V938" i="11"/>
  <c r="V939" i="11"/>
  <c r="V940" i="11"/>
  <c r="V941" i="11"/>
  <c r="V942" i="11"/>
  <c r="V943" i="11"/>
  <c r="V944" i="11"/>
  <c r="V945" i="11"/>
  <c r="V946" i="11"/>
  <c r="V947" i="11"/>
  <c r="V948" i="11"/>
  <c r="V949" i="11"/>
  <c r="V950" i="11"/>
  <c r="V951" i="11"/>
  <c r="V952" i="11"/>
  <c r="V953" i="11"/>
  <c r="V954" i="11"/>
  <c r="V955" i="11"/>
  <c r="V956" i="11"/>
  <c r="V957" i="11"/>
  <c r="V958" i="11"/>
  <c r="V959" i="11"/>
  <c r="V960" i="11"/>
  <c r="V961" i="11"/>
  <c r="V962" i="11"/>
  <c r="V963" i="11"/>
  <c r="V964" i="11"/>
  <c r="V965" i="11"/>
  <c r="V966" i="11"/>
  <c r="V967" i="11"/>
  <c r="V968" i="11"/>
  <c r="V969" i="11"/>
  <c r="V970" i="11"/>
  <c r="V971" i="11"/>
  <c r="V972" i="11"/>
  <c r="V973" i="11"/>
  <c r="V974" i="11"/>
  <c r="V975" i="11"/>
  <c r="V976" i="11"/>
  <c r="V977" i="11"/>
  <c r="V978" i="11"/>
  <c r="V979" i="11"/>
  <c r="V980" i="11"/>
  <c r="V981" i="11"/>
  <c r="V982" i="11"/>
  <c r="V983" i="11"/>
  <c r="V984" i="11"/>
  <c r="V985" i="11"/>
  <c r="V986" i="11"/>
  <c r="V987" i="11"/>
  <c r="V988" i="11"/>
  <c r="V989" i="11"/>
  <c r="V990" i="11"/>
  <c r="V991" i="11"/>
  <c r="V992" i="11"/>
  <c r="V993" i="11"/>
  <c r="V994" i="11"/>
  <c r="V995" i="11"/>
  <c r="V996" i="11"/>
  <c r="V997" i="11"/>
  <c r="V998" i="11"/>
  <c r="V999" i="11"/>
  <c r="V1000" i="11"/>
  <c r="V1001" i="11"/>
  <c r="V612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0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5" i="11"/>
  <c r="V166" i="11"/>
  <c r="V167" i="11"/>
  <c r="V168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V197" i="11"/>
  <c r="V198" i="11"/>
  <c r="V199" i="11"/>
  <c r="V200" i="11"/>
  <c r="V201" i="11"/>
  <c r="V202" i="11"/>
  <c r="V203" i="11"/>
  <c r="V204" i="11"/>
  <c r="V205" i="11"/>
  <c r="V206" i="11"/>
  <c r="V207" i="11"/>
  <c r="V208" i="11"/>
  <c r="V209" i="11"/>
  <c r="V210" i="11"/>
  <c r="V211" i="11"/>
  <c r="V212" i="11"/>
  <c r="V213" i="11"/>
  <c r="V214" i="11"/>
  <c r="V215" i="11"/>
  <c r="V216" i="11"/>
  <c r="V217" i="11"/>
  <c r="V218" i="11"/>
  <c r="V219" i="11"/>
  <c r="V220" i="11"/>
  <c r="V221" i="11"/>
  <c r="V222" i="11"/>
  <c r="V223" i="11"/>
  <c r="V224" i="11"/>
  <c r="V225" i="11"/>
  <c r="V226" i="11"/>
  <c r="V227" i="11"/>
  <c r="V228" i="11"/>
  <c r="V229" i="11"/>
  <c r="V230" i="11"/>
  <c r="V231" i="11"/>
  <c r="V232" i="11"/>
  <c r="V233" i="11"/>
  <c r="V234" i="11"/>
  <c r="V235" i="11"/>
  <c r="V236" i="11"/>
  <c r="V237" i="11"/>
  <c r="V238" i="11"/>
  <c r="V239" i="11"/>
  <c r="V240" i="11"/>
  <c r="V241" i="11"/>
  <c r="V242" i="11"/>
  <c r="V243" i="11"/>
  <c r="V244" i="11"/>
  <c r="V245" i="11"/>
  <c r="V246" i="11"/>
  <c r="V247" i="11"/>
  <c r="V248" i="11"/>
  <c r="V249" i="11"/>
  <c r="V250" i="11"/>
  <c r="V251" i="11"/>
  <c r="V252" i="11"/>
  <c r="V253" i="11"/>
  <c r="V254" i="11"/>
  <c r="V255" i="11"/>
  <c r="V256" i="11"/>
  <c r="V257" i="11"/>
  <c r="V258" i="11"/>
  <c r="V259" i="11"/>
  <c r="V260" i="11"/>
  <c r="V261" i="11"/>
  <c r="V262" i="11"/>
  <c r="V263" i="11"/>
  <c r="V264" i="11"/>
  <c r="V265" i="11"/>
  <c r="V266" i="11"/>
  <c r="V267" i="11"/>
  <c r="V268" i="11"/>
  <c r="V269" i="11"/>
  <c r="V270" i="11"/>
  <c r="V271" i="11"/>
  <c r="V272" i="11"/>
  <c r="V273" i="11"/>
  <c r="V274" i="11"/>
  <c r="V275" i="11"/>
  <c r="V276" i="11"/>
  <c r="V277" i="11"/>
  <c r="V278" i="11"/>
  <c r="V279" i="11"/>
  <c r="V280" i="11"/>
  <c r="V281" i="11"/>
  <c r="V282" i="11"/>
  <c r="V283" i="11"/>
  <c r="V284" i="11"/>
  <c r="V285" i="11"/>
  <c r="V286" i="11"/>
  <c r="V287" i="11"/>
  <c r="V288" i="11"/>
  <c r="V289" i="11"/>
  <c r="V290" i="11"/>
  <c r="V291" i="11"/>
  <c r="V292" i="11"/>
  <c r="V293" i="11"/>
  <c r="V294" i="11"/>
  <c r="V295" i="11"/>
  <c r="V296" i="11"/>
  <c r="V297" i="11"/>
  <c r="V298" i="11"/>
  <c r="V299" i="11"/>
  <c r="V300" i="11"/>
  <c r="V301" i="11"/>
  <c r="V302" i="11"/>
  <c r="V303" i="11"/>
  <c r="V304" i="11"/>
  <c r="V305" i="11"/>
  <c r="V306" i="11"/>
  <c r="V307" i="11"/>
  <c r="V308" i="11"/>
  <c r="V309" i="11"/>
  <c r="V310" i="11"/>
  <c r="V311" i="11"/>
  <c r="V312" i="11"/>
  <c r="V313" i="11"/>
  <c r="V314" i="11"/>
  <c r="V315" i="11"/>
  <c r="V316" i="11"/>
  <c r="V317" i="11"/>
  <c r="V318" i="11"/>
  <c r="V319" i="11"/>
  <c r="V320" i="11"/>
  <c r="V321" i="11"/>
  <c r="V322" i="11"/>
  <c r="V323" i="11"/>
  <c r="V324" i="11"/>
  <c r="V325" i="11"/>
  <c r="V326" i="11"/>
  <c r="V327" i="11"/>
  <c r="V328" i="11"/>
  <c r="V329" i="11"/>
  <c r="V330" i="11"/>
  <c r="V331" i="11"/>
  <c r="V332" i="11"/>
  <c r="V333" i="11"/>
  <c r="V334" i="11"/>
  <c r="V335" i="11"/>
  <c r="V336" i="11"/>
  <c r="V337" i="11"/>
  <c r="V338" i="11"/>
  <c r="V339" i="11"/>
  <c r="V340" i="11"/>
  <c r="V341" i="11"/>
  <c r="V342" i="11"/>
  <c r="V343" i="11"/>
  <c r="V344" i="11"/>
  <c r="V345" i="11"/>
  <c r="V346" i="11"/>
  <c r="V347" i="11"/>
  <c r="V348" i="11"/>
  <c r="V349" i="11"/>
  <c r="V350" i="11"/>
  <c r="V351" i="11"/>
  <c r="V352" i="11"/>
  <c r="V353" i="11"/>
  <c r="V354" i="11"/>
  <c r="V355" i="11"/>
  <c r="V356" i="11"/>
  <c r="V357" i="11"/>
  <c r="V358" i="11"/>
  <c r="V359" i="11"/>
  <c r="V360" i="11"/>
  <c r="V361" i="11"/>
  <c r="V362" i="11"/>
  <c r="V363" i="11"/>
  <c r="V364" i="11"/>
  <c r="V365" i="11"/>
  <c r="V366" i="11"/>
  <c r="V367" i="11"/>
  <c r="V368" i="11"/>
  <c r="V369" i="11"/>
  <c r="V370" i="11"/>
  <c r="V371" i="11"/>
  <c r="V372" i="11"/>
  <c r="V373" i="11"/>
  <c r="V374" i="11"/>
  <c r="V375" i="11"/>
  <c r="V376" i="11"/>
  <c r="V377" i="11"/>
  <c r="V378" i="11"/>
  <c r="V379" i="11"/>
  <c r="V380" i="11"/>
  <c r="V381" i="11"/>
  <c r="V382" i="11"/>
  <c r="V383" i="11"/>
  <c r="V384" i="11"/>
  <c r="V385" i="11"/>
  <c r="V386" i="11"/>
  <c r="V387" i="11"/>
  <c r="V388" i="11"/>
  <c r="V389" i="11"/>
  <c r="V390" i="11"/>
  <c r="V391" i="11"/>
  <c r="V392" i="11"/>
  <c r="V393" i="11"/>
  <c r="V394" i="11"/>
  <c r="V395" i="11"/>
  <c r="V396" i="11"/>
  <c r="V397" i="11"/>
  <c r="V398" i="11"/>
  <c r="V399" i="11"/>
  <c r="V400" i="11"/>
  <c r="V401" i="11"/>
  <c r="V402" i="11"/>
  <c r="V403" i="11"/>
  <c r="V404" i="11"/>
  <c r="V405" i="11"/>
  <c r="V406" i="11"/>
  <c r="V407" i="11"/>
  <c r="V408" i="11"/>
  <c r="V409" i="11"/>
  <c r="V410" i="11"/>
  <c r="V411" i="11"/>
  <c r="V412" i="11"/>
  <c r="V413" i="11"/>
  <c r="V414" i="11"/>
  <c r="V415" i="11"/>
  <c r="V416" i="11"/>
  <c r="V417" i="11"/>
  <c r="V418" i="11"/>
  <c r="V419" i="11"/>
  <c r="V420" i="11"/>
  <c r="V421" i="11"/>
  <c r="V422" i="11"/>
  <c r="V423" i="11"/>
  <c r="V424" i="11"/>
  <c r="V425" i="11"/>
  <c r="V426" i="11"/>
  <c r="V427" i="11"/>
  <c r="V428" i="11"/>
  <c r="V429" i="11"/>
  <c r="V430" i="11"/>
  <c r="V431" i="11"/>
  <c r="V432" i="11"/>
  <c r="V433" i="11"/>
  <c r="V434" i="11"/>
  <c r="V435" i="11"/>
  <c r="V436" i="11"/>
  <c r="V437" i="11"/>
  <c r="V438" i="11"/>
  <c r="V439" i="11"/>
  <c r="V440" i="11"/>
  <c r="V441" i="11"/>
  <c r="V442" i="11"/>
  <c r="V443" i="11"/>
  <c r="V444" i="11"/>
  <c r="V445" i="11"/>
  <c r="V446" i="11"/>
  <c r="V447" i="11"/>
  <c r="V448" i="11"/>
  <c r="V449" i="11"/>
  <c r="V450" i="11"/>
  <c r="V451" i="11"/>
  <c r="V452" i="11"/>
  <c r="V453" i="11"/>
  <c r="V454" i="11"/>
  <c r="V455" i="11"/>
  <c r="V456" i="11"/>
  <c r="V457" i="11"/>
  <c r="V458" i="11"/>
  <c r="V459" i="11"/>
  <c r="V460" i="11"/>
  <c r="V461" i="11"/>
  <c r="V462" i="11"/>
  <c r="V463" i="11"/>
  <c r="V464" i="11"/>
  <c r="V465" i="11"/>
  <c r="V466" i="11"/>
  <c r="V467" i="11"/>
  <c r="V468" i="11"/>
  <c r="V469" i="11"/>
  <c r="V470" i="11"/>
  <c r="V471" i="11"/>
  <c r="V472" i="11"/>
  <c r="V473" i="11"/>
  <c r="V474" i="11"/>
  <c r="V475" i="11"/>
  <c r="V476" i="11"/>
  <c r="V477" i="11"/>
  <c r="V478" i="11"/>
  <c r="V479" i="11"/>
  <c r="V480" i="11"/>
  <c r="V481" i="11"/>
  <c r="V482" i="11"/>
  <c r="V483" i="11"/>
  <c r="V484" i="11"/>
  <c r="V485" i="11"/>
  <c r="V486" i="11"/>
  <c r="V487" i="11"/>
  <c r="V488" i="11"/>
  <c r="V489" i="11"/>
  <c r="V490" i="11"/>
  <c r="V491" i="11"/>
  <c r="V492" i="11"/>
  <c r="V493" i="11"/>
  <c r="V494" i="11"/>
  <c r="V495" i="11"/>
  <c r="V496" i="11"/>
  <c r="V497" i="11"/>
  <c r="V498" i="11"/>
  <c r="V499" i="11"/>
  <c r="V500" i="11"/>
  <c r="V501" i="11"/>
  <c r="V502" i="11"/>
  <c r="V503" i="11"/>
  <c r="V504" i="11"/>
  <c r="V505" i="11"/>
  <c r="V506" i="11"/>
  <c r="V507" i="11"/>
  <c r="V508" i="11"/>
  <c r="V509" i="11"/>
  <c r="V510" i="11"/>
  <c r="V511" i="11"/>
  <c r="V512" i="11"/>
  <c r="V513" i="11"/>
  <c r="V514" i="11"/>
  <c r="V515" i="11"/>
  <c r="V516" i="11"/>
  <c r="V517" i="11"/>
  <c r="V518" i="11"/>
  <c r="V519" i="11"/>
  <c r="V520" i="11"/>
  <c r="V521" i="11"/>
  <c r="V522" i="11"/>
  <c r="V523" i="11"/>
  <c r="V524" i="11"/>
  <c r="V525" i="11"/>
  <c r="V526" i="11"/>
  <c r="V527" i="11"/>
  <c r="V528" i="11"/>
  <c r="V529" i="11"/>
  <c r="V530" i="11"/>
  <c r="V531" i="11"/>
  <c r="V532" i="11"/>
  <c r="V533" i="11"/>
  <c r="V534" i="11"/>
  <c r="V535" i="11"/>
  <c r="V536" i="11"/>
  <c r="V537" i="11"/>
  <c r="V538" i="11"/>
  <c r="V539" i="11"/>
  <c r="V540" i="11"/>
  <c r="V541" i="11"/>
  <c r="V542" i="11"/>
  <c r="V543" i="11"/>
  <c r="V544" i="11"/>
  <c r="V545" i="11"/>
  <c r="V546" i="11"/>
  <c r="V547" i="11"/>
  <c r="V548" i="11"/>
  <c r="V549" i="11"/>
  <c r="V550" i="11"/>
  <c r="V551" i="11"/>
  <c r="V552" i="11"/>
  <c r="V553" i="11"/>
  <c r="V554" i="11"/>
  <c r="V555" i="11"/>
  <c r="V556" i="11"/>
  <c r="V557" i="11"/>
  <c r="V558" i="11"/>
  <c r="V559" i="11"/>
  <c r="V560" i="11"/>
  <c r="V561" i="11"/>
  <c r="V562" i="11"/>
  <c r="V563" i="11"/>
  <c r="V564" i="11"/>
  <c r="V565" i="11"/>
  <c r="V566" i="11"/>
  <c r="V567" i="11"/>
  <c r="V568" i="11"/>
  <c r="V569" i="11"/>
  <c r="V570" i="11"/>
  <c r="V571" i="11"/>
  <c r="V572" i="11"/>
  <c r="V573" i="11"/>
  <c r="V574" i="11"/>
  <c r="V575" i="11"/>
  <c r="V576" i="11"/>
  <c r="V577" i="11"/>
  <c r="V578" i="11"/>
  <c r="V579" i="11"/>
  <c r="V580" i="11"/>
  <c r="V581" i="11"/>
  <c r="V582" i="11"/>
  <c r="V583" i="11"/>
  <c r="V584" i="11"/>
  <c r="V585" i="11"/>
  <c r="V586" i="11"/>
  <c r="V587" i="11"/>
  <c r="V588" i="11"/>
  <c r="V589" i="11"/>
  <c r="V590" i="11"/>
  <c r="V591" i="11"/>
  <c r="V592" i="11"/>
  <c r="V593" i="11"/>
  <c r="V594" i="11"/>
  <c r="V595" i="11"/>
  <c r="V596" i="11"/>
  <c r="V597" i="11"/>
  <c r="V598" i="11"/>
  <c r="V599" i="11"/>
  <c r="V600" i="11"/>
  <c r="V601" i="11"/>
  <c r="V602" i="11"/>
  <c r="V603" i="11"/>
  <c r="V604" i="11"/>
  <c r="V605" i="11"/>
  <c r="V606" i="11"/>
  <c r="V607" i="11"/>
  <c r="V608" i="11"/>
  <c r="V609" i="11"/>
  <c r="V610" i="11"/>
  <c r="V611" i="11"/>
  <c r="V3" i="11"/>
  <c r="V4" i="11"/>
  <c r="V2" i="11"/>
  <c r="U613" i="11"/>
  <c r="U614" i="11"/>
  <c r="U615" i="11"/>
  <c r="U616" i="11"/>
  <c r="U617" i="11"/>
  <c r="U618" i="11"/>
  <c r="U619" i="11"/>
  <c r="U620" i="11"/>
  <c r="U621" i="11"/>
  <c r="U622" i="11"/>
  <c r="U623" i="11"/>
  <c r="U624" i="11"/>
  <c r="U625" i="11"/>
  <c r="U626" i="11"/>
  <c r="U627" i="11"/>
  <c r="U628" i="11"/>
  <c r="U629" i="11"/>
  <c r="U630" i="11"/>
  <c r="U631" i="11"/>
  <c r="U632" i="11"/>
  <c r="U633" i="11"/>
  <c r="U634" i="11"/>
  <c r="U635" i="11"/>
  <c r="U636" i="11"/>
  <c r="U637" i="11"/>
  <c r="U638" i="11"/>
  <c r="U639" i="11"/>
  <c r="U640" i="11"/>
  <c r="U641" i="11"/>
  <c r="U642" i="11"/>
  <c r="U643" i="11"/>
  <c r="U644" i="11"/>
  <c r="U645" i="11"/>
  <c r="U646" i="11"/>
  <c r="U647" i="11"/>
  <c r="U648" i="11"/>
  <c r="U649" i="11"/>
  <c r="U650" i="11"/>
  <c r="U651" i="11"/>
  <c r="U652" i="11"/>
  <c r="U653" i="11"/>
  <c r="U654" i="11"/>
  <c r="U655" i="11"/>
  <c r="U656" i="11"/>
  <c r="U657" i="11"/>
  <c r="U658" i="11"/>
  <c r="U659" i="11"/>
  <c r="U660" i="11"/>
  <c r="U661" i="11"/>
  <c r="U662" i="11"/>
  <c r="U663" i="11"/>
  <c r="U664" i="11"/>
  <c r="U665" i="11"/>
  <c r="U666" i="11"/>
  <c r="U667" i="11"/>
  <c r="U668" i="11"/>
  <c r="U669" i="11"/>
  <c r="U670" i="11"/>
  <c r="U671" i="11"/>
  <c r="U672" i="11"/>
  <c r="U673" i="11"/>
  <c r="U674" i="11"/>
  <c r="U675" i="11"/>
  <c r="U676" i="11"/>
  <c r="U677" i="11"/>
  <c r="U678" i="11"/>
  <c r="U679" i="11"/>
  <c r="U680" i="11"/>
  <c r="U681" i="11"/>
  <c r="U682" i="11"/>
  <c r="U683" i="11"/>
  <c r="U684" i="11"/>
  <c r="U685" i="11"/>
  <c r="U686" i="11"/>
  <c r="U687" i="11"/>
  <c r="U688" i="11"/>
  <c r="U689" i="11"/>
  <c r="U690" i="11"/>
  <c r="U691" i="11"/>
  <c r="U692" i="11"/>
  <c r="U693" i="11"/>
  <c r="U694" i="11"/>
  <c r="U695" i="11"/>
  <c r="U696" i="11"/>
  <c r="U697" i="11"/>
  <c r="U698" i="11"/>
  <c r="U699" i="11"/>
  <c r="U700" i="11"/>
  <c r="U701" i="11"/>
  <c r="U702" i="11"/>
  <c r="U703" i="11"/>
  <c r="U704" i="11"/>
  <c r="U705" i="11"/>
  <c r="U706" i="11"/>
  <c r="U707" i="11"/>
  <c r="U708" i="11"/>
  <c r="U709" i="11"/>
  <c r="U710" i="11"/>
  <c r="U711" i="11"/>
  <c r="U712" i="11"/>
  <c r="U713" i="11"/>
  <c r="U714" i="11"/>
  <c r="U715" i="11"/>
  <c r="U716" i="11"/>
  <c r="U717" i="11"/>
  <c r="U718" i="11"/>
  <c r="U719" i="11"/>
  <c r="U720" i="11"/>
  <c r="U721" i="11"/>
  <c r="U722" i="11"/>
  <c r="U723" i="11"/>
  <c r="U724" i="11"/>
  <c r="U725" i="11"/>
  <c r="U726" i="11"/>
  <c r="U727" i="11"/>
  <c r="U728" i="11"/>
  <c r="U729" i="11"/>
  <c r="U730" i="11"/>
  <c r="U731" i="11"/>
  <c r="U732" i="11"/>
  <c r="U733" i="11"/>
  <c r="U734" i="11"/>
  <c r="U735" i="11"/>
  <c r="U736" i="11"/>
  <c r="U737" i="11"/>
  <c r="U738" i="11"/>
  <c r="U739" i="11"/>
  <c r="U740" i="11"/>
  <c r="U741" i="11"/>
  <c r="U742" i="11"/>
  <c r="U743" i="11"/>
  <c r="U744" i="11"/>
  <c r="U745" i="11"/>
  <c r="U746" i="11"/>
  <c r="U747" i="11"/>
  <c r="U748" i="11"/>
  <c r="U749" i="11"/>
  <c r="U750" i="11"/>
  <c r="U751" i="11"/>
  <c r="U752" i="11"/>
  <c r="U753" i="11"/>
  <c r="U754" i="11"/>
  <c r="U755" i="11"/>
  <c r="U756" i="11"/>
  <c r="U757" i="11"/>
  <c r="U758" i="11"/>
  <c r="U759" i="11"/>
  <c r="U760" i="11"/>
  <c r="U761" i="11"/>
  <c r="U762" i="11"/>
  <c r="U763" i="11"/>
  <c r="U764" i="11"/>
  <c r="U765" i="11"/>
  <c r="U766" i="11"/>
  <c r="U767" i="11"/>
  <c r="U768" i="11"/>
  <c r="U769" i="11"/>
  <c r="U770" i="11"/>
  <c r="U771" i="11"/>
  <c r="U772" i="11"/>
  <c r="U773" i="11"/>
  <c r="U774" i="11"/>
  <c r="U775" i="11"/>
  <c r="U776" i="11"/>
  <c r="U777" i="11"/>
  <c r="U778" i="11"/>
  <c r="U779" i="11"/>
  <c r="U780" i="11"/>
  <c r="U781" i="11"/>
  <c r="U782" i="11"/>
  <c r="U783" i="11"/>
  <c r="U784" i="11"/>
  <c r="U785" i="11"/>
  <c r="U786" i="11"/>
  <c r="U787" i="11"/>
  <c r="U788" i="11"/>
  <c r="U789" i="11"/>
  <c r="U790" i="11"/>
  <c r="U791" i="11"/>
  <c r="U792" i="11"/>
  <c r="U793" i="11"/>
  <c r="U794" i="11"/>
  <c r="U795" i="11"/>
  <c r="U796" i="11"/>
  <c r="U797" i="11"/>
  <c r="U798" i="11"/>
  <c r="U799" i="11"/>
  <c r="U800" i="11"/>
  <c r="U801" i="11"/>
  <c r="U802" i="11"/>
  <c r="U803" i="11"/>
  <c r="U804" i="11"/>
  <c r="U805" i="11"/>
  <c r="U806" i="11"/>
  <c r="U807" i="11"/>
  <c r="U808" i="11"/>
  <c r="U809" i="11"/>
  <c r="U810" i="11"/>
  <c r="U811" i="11"/>
  <c r="U812" i="11"/>
  <c r="U813" i="11"/>
  <c r="U814" i="11"/>
  <c r="U815" i="11"/>
  <c r="U816" i="11"/>
  <c r="U817" i="11"/>
  <c r="U818" i="11"/>
  <c r="U819" i="11"/>
  <c r="U820" i="11"/>
  <c r="U821" i="11"/>
  <c r="U822" i="11"/>
  <c r="U823" i="11"/>
  <c r="U824" i="11"/>
  <c r="U825" i="11"/>
  <c r="U826" i="11"/>
  <c r="U827" i="11"/>
  <c r="U828" i="11"/>
  <c r="U829" i="11"/>
  <c r="U830" i="11"/>
  <c r="U831" i="11"/>
  <c r="U832" i="11"/>
  <c r="U833" i="11"/>
  <c r="U834" i="11"/>
  <c r="U835" i="11"/>
  <c r="U836" i="11"/>
  <c r="U837" i="11"/>
  <c r="U838" i="11"/>
  <c r="U839" i="11"/>
  <c r="U840" i="11"/>
  <c r="U841" i="11"/>
  <c r="U842" i="11"/>
  <c r="U843" i="11"/>
  <c r="U844" i="11"/>
  <c r="U845" i="11"/>
  <c r="U846" i="11"/>
  <c r="U847" i="11"/>
  <c r="U848" i="11"/>
  <c r="U849" i="11"/>
  <c r="U850" i="11"/>
  <c r="U851" i="11"/>
  <c r="U852" i="11"/>
  <c r="U853" i="11"/>
  <c r="U854" i="11"/>
  <c r="U855" i="11"/>
  <c r="U856" i="11"/>
  <c r="U857" i="11"/>
  <c r="U858" i="11"/>
  <c r="U859" i="11"/>
  <c r="U860" i="11"/>
  <c r="U861" i="11"/>
  <c r="U862" i="11"/>
  <c r="U863" i="11"/>
  <c r="U864" i="11"/>
  <c r="U865" i="11"/>
  <c r="U866" i="11"/>
  <c r="U867" i="11"/>
  <c r="U868" i="11"/>
  <c r="U869" i="11"/>
  <c r="U870" i="11"/>
  <c r="U871" i="11"/>
  <c r="U872" i="11"/>
  <c r="U873" i="11"/>
  <c r="U874" i="11"/>
  <c r="U875" i="11"/>
  <c r="U876" i="11"/>
  <c r="U877" i="11"/>
  <c r="U878" i="11"/>
  <c r="U879" i="11"/>
  <c r="U880" i="11"/>
  <c r="U881" i="11"/>
  <c r="U882" i="11"/>
  <c r="U883" i="11"/>
  <c r="U884" i="11"/>
  <c r="U885" i="11"/>
  <c r="U886" i="11"/>
  <c r="U887" i="11"/>
  <c r="U888" i="11"/>
  <c r="U889" i="11"/>
  <c r="U890" i="11"/>
  <c r="U891" i="11"/>
  <c r="U892" i="11"/>
  <c r="U893" i="11"/>
  <c r="U894" i="11"/>
  <c r="U895" i="11"/>
  <c r="U896" i="11"/>
  <c r="U897" i="11"/>
  <c r="U898" i="11"/>
  <c r="U899" i="11"/>
  <c r="U900" i="11"/>
  <c r="U901" i="11"/>
  <c r="U902" i="11"/>
  <c r="U903" i="11"/>
  <c r="U904" i="11"/>
  <c r="U905" i="11"/>
  <c r="U906" i="11"/>
  <c r="U907" i="11"/>
  <c r="U908" i="11"/>
  <c r="U909" i="11"/>
  <c r="U910" i="11"/>
  <c r="U911" i="11"/>
  <c r="U912" i="11"/>
  <c r="U913" i="11"/>
  <c r="U914" i="11"/>
  <c r="U915" i="11"/>
  <c r="U916" i="11"/>
  <c r="U917" i="11"/>
  <c r="U918" i="11"/>
  <c r="U919" i="11"/>
  <c r="U920" i="11"/>
  <c r="U921" i="11"/>
  <c r="U922" i="11"/>
  <c r="U923" i="11"/>
  <c r="U924" i="11"/>
  <c r="U925" i="11"/>
  <c r="U926" i="11"/>
  <c r="U927" i="11"/>
  <c r="U928" i="11"/>
  <c r="U929" i="11"/>
  <c r="U930" i="11"/>
  <c r="U931" i="11"/>
  <c r="U932" i="11"/>
  <c r="U933" i="11"/>
  <c r="U934" i="11"/>
  <c r="U935" i="11"/>
  <c r="U936" i="11"/>
  <c r="U937" i="11"/>
  <c r="U938" i="11"/>
  <c r="U939" i="11"/>
  <c r="U940" i="11"/>
  <c r="U941" i="11"/>
  <c r="U942" i="11"/>
  <c r="U943" i="11"/>
  <c r="U944" i="11"/>
  <c r="U945" i="11"/>
  <c r="U946" i="11"/>
  <c r="U947" i="11"/>
  <c r="U948" i="11"/>
  <c r="U949" i="11"/>
  <c r="U950" i="11"/>
  <c r="U951" i="11"/>
  <c r="U952" i="11"/>
  <c r="U953" i="11"/>
  <c r="U954" i="11"/>
  <c r="U955" i="11"/>
  <c r="U956" i="11"/>
  <c r="U957" i="11"/>
  <c r="U958" i="11"/>
  <c r="U959" i="11"/>
  <c r="U960" i="11"/>
  <c r="U961" i="11"/>
  <c r="U962" i="11"/>
  <c r="U963" i="11"/>
  <c r="U964" i="11"/>
  <c r="U965" i="11"/>
  <c r="U966" i="11"/>
  <c r="U967" i="11"/>
  <c r="U968" i="11"/>
  <c r="U969" i="11"/>
  <c r="U970" i="11"/>
  <c r="U971" i="11"/>
  <c r="U972" i="11"/>
  <c r="U973" i="11"/>
  <c r="U974" i="11"/>
  <c r="U975" i="11"/>
  <c r="U976" i="11"/>
  <c r="U977" i="11"/>
  <c r="U978" i="11"/>
  <c r="U979" i="11"/>
  <c r="U980" i="11"/>
  <c r="U981" i="11"/>
  <c r="U982" i="11"/>
  <c r="U983" i="11"/>
  <c r="U984" i="11"/>
  <c r="U985" i="11"/>
  <c r="U986" i="11"/>
  <c r="U987" i="11"/>
  <c r="U988" i="11"/>
  <c r="U989" i="11"/>
  <c r="U990" i="11"/>
  <c r="U991" i="11"/>
  <c r="U992" i="11"/>
  <c r="U993" i="11"/>
  <c r="U994" i="11"/>
  <c r="U995" i="11"/>
  <c r="U996" i="11"/>
  <c r="U997" i="11"/>
  <c r="U998" i="11"/>
  <c r="U999" i="11"/>
  <c r="U1000" i="11"/>
  <c r="U1001" i="11"/>
  <c r="U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U72" i="11"/>
  <c r="U73" i="11"/>
  <c r="U74" i="11"/>
  <c r="U75" i="11"/>
  <c r="U76" i="11"/>
  <c r="U77" i="11"/>
  <c r="U78" i="11"/>
  <c r="U79" i="11"/>
  <c r="U80" i="11"/>
  <c r="U81" i="11"/>
  <c r="U82" i="11"/>
  <c r="U83" i="11"/>
  <c r="U84" i="11"/>
  <c r="U85" i="11"/>
  <c r="U86" i="11"/>
  <c r="U87" i="11"/>
  <c r="U88" i="11"/>
  <c r="U89" i="11"/>
  <c r="U90" i="11"/>
  <c r="U91" i="11"/>
  <c r="U92" i="11"/>
  <c r="U93" i="11"/>
  <c r="U94" i="11"/>
  <c r="U95" i="11"/>
  <c r="U96" i="11"/>
  <c r="U97" i="11"/>
  <c r="U98" i="11"/>
  <c r="U99" i="11"/>
  <c r="U100" i="11"/>
  <c r="U101" i="11"/>
  <c r="U102" i="11"/>
  <c r="U103" i="11"/>
  <c r="U104" i="11"/>
  <c r="U105" i="11"/>
  <c r="U106" i="11"/>
  <c r="U107" i="11"/>
  <c r="U108" i="11"/>
  <c r="U109" i="11"/>
  <c r="U110" i="11"/>
  <c r="U111" i="11"/>
  <c r="U112" i="11"/>
  <c r="U113" i="11"/>
  <c r="U114" i="11"/>
  <c r="U115" i="11"/>
  <c r="U116" i="11"/>
  <c r="U117" i="11"/>
  <c r="U118" i="11"/>
  <c r="U119" i="11"/>
  <c r="U120" i="11"/>
  <c r="U121" i="11"/>
  <c r="U122" i="11"/>
  <c r="U123" i="11"/>
  <c r="U124" i="11"/>
  <c r="U125" i="11"/>
  <c r="U126" i="11"/>
  <c r="U127" i="11"/>
  <c r="U128" i="11"/>
  <c r="U129" i="11"/>
  <c r="U130" i="11"/>
  <c r="U131" i="11"/>
  <c r="U132" i="11"/>
  <c r="U133" i="11"/>
  <c r="U134" i="11"/>
  <c r="U135" i="11"/>
  <c r="U136" i="11"/>
  <c r="U137" i="11"/>
  <c r="U138" i="11"/>
  <c r="U139" i="11"/>
  <c r="U140" i="11"/>
  <c r="U141" i="11"/>
  <c r="U142" i="11"/>
  <c r="U143" i="11"/>
  <c r="U144" i="11"/>
  <c r="U145" i="11"/>
  <c r="U146" i="11"/>
  <c r="U147" i="11"/>
  <c r="U148" i="11"/>
  <c r="U149" i="11"/>
  <c r="U150" i="11"/>
  <c r="U151" i="11"/>
  <c r="U152" i="11"/>
  <c r="U153" i="11"/>
  <c r="U154" i="11"/>
  <c r="U155" i="11"/>
  <c r="U156" i="11"/>
  <c r="U157" i="11"/>
  <c r="U158" i="11"/>
  <c r="U159" i="11"/>
  <c r="U160" i="11"/>
  <c r="U161" i="11"/>
  <c r="U162" i="11"/>
  <c r="U163" i="11"/>
  <c r="U164" i="11"/>
  <c r="U165" i="11"/>
  <c r="U166" i="11"/>
  <c r="U167" i="11"/>
  <c r="U168" i="11"/>
  <c r="U169" i="11"/>
  <c r="U170" i="11"/>
  <c r="U171" i="11"/>
  <c r="U172" i="11"/>
  <c r="U173" i="11"/>
  <c r="U174" i="11"/>
  <c r="U175" i="11"/>
  <c r="U176" i="11"/>
  <c r="U177" i="11"/>
  <c r="U178" i="11"/>
  <c r="U179" i="11"/>
  <c r="U180" i="11"/>
  <c r="U181" i="11"/>
  <c r="U182" i="11"/>
  <c r="U183" i="11"/>
  <c r="U184" i="11"/>
  <c r="U185" i="11"/>
  <c r="U186" i="11"/>
  <c r="U187" i="11"/>
  <c r="U188" i="11"/>
  <c r="U189" i="11"/>
  <c r="U190" i="11"/>
  <c r="U191" i="11"/>
  <c r="U192" i="11"/>
  <c r="U193" i="11"/>
  <c r="U194" i="11"/>
  <c r="U195" i="11"/>
  <c r="U196" i="11"/>
  <c r="U197" i="11"/>
  <c r="U198" i="11"/>
  <c r="U199" i="11"/>
  <c r="U200" i="11"/>
  <c r="U201" i="11"/>
  <c r="U202" i="11"/>
  <c r="U203" i="11"/>
  <c r="U204" i="11"/>
  <c r="U205" i="11"/>
  <c r="U206" i="11"/>
  <c r="U207" i="11"/>
  <c r="U208" i="11"/>
  <c r="U209" i="11"/>
  <c r="U210" i="11"/>
  <c r="U211" i="11"/>
  <c r="U212" i="11"/>
  <c r="U213" i="11"/>
  <c r="U214" i="11"/>
  <c r="U215" i="11"/>
  <c r="U216" i="11"/>
  <c r="U217" i="11"/>
  <c r="U218" i="11"/>
  <c r="U219" i="11"/>
  <c r="U220" i="11"/>
  <c r="U221" i="11"/>
  <c r="U222" i="11"/>
  <c r="U223" i="11"/>
  <c r="U224" i="11"/>
  <c r="U225" i="11"/>
  <c r="U226" i="11"/>
  <c r="U227" i="11"/>
  <c r="U228" i="11"/>
  <c r="U229" i="11"/>
  <c r="U230" i="11"/>
  <c r="U231" i="11"/>
  <c r="U232" i="11"/>
  <c r="U233" i="11"/>
  <c r="U234" i="11"/>
  <c r="U235" i="11"/>
  <c r="U236" i="11"/>
  <c r="U237" i="11"/>
  <c r="U238" i="11"/>
  <c r="U239" i="11"/>
  <c r="U240" i="11"/>
  <c r="U241" i="11"/>
  <c r="U242" i="11"/>
  <c r="U243" i="11"/>
  <c r="U244" i="11"/>
  <c r="U245" i="11"/>
  <c r="U246" i="11"/>
  <c r="U247" i="11"/>
  <c r="U248" i="11"/>
  <c r="U249" i="11"/>
  <c r="U250" i="11"/>
  <c r="U251" i="11"/>
  <c r="U252" i="11"/>
  <c r="U253" i="11"/>
  <c r="U254" i="11"/>
  <c r="U255" i="11"/>
  <c r="U256" i="11"/>
  <c r="U257" i="11"/>
  <c r="U258" i="11"/>
  <c r="U259" i="11"/>
  <c r="U260" i="11"/>
  <c r="U261" i="11"/>
  <c r="U262" i="11"/>
  <c r="U263" i="11"/>
  <c r="U264" i="11"/>
  <c r="U265" i="11"/>
  <c r="U266" i="11"/>
  <c r="U267" i="11"/>
  <c r="U268" i="11"/>
  <c r="U269" i="11"/>
  <c r="U270" i="11"/>
  <c r="U271" i="11"/>
  <c r="U272" i="11"/>
  <c r="U273" i="11"/>
  <c r="U274" i="11"/>
  <c r="U275" i="11"/>
  <c r="U276" i="11"/>
  <c r="U277" i="11"/>
  <c r="U278" i="11"/>
  <c r="U279" i="11"/>
  <c r="U280" i="11"/>
  <c r="U281" i="11"/>
  <c r="U282" i="11"/>
  <c r="U283" i="11"/>
  <c r="U284" i="11"/>
  <c r="U285" i="11"/>
  <c r="U286" i="11"/>
  <c r="U287" i="11"/>
  <c r="U288" i="11"/>
  <c r="U289" i="11"/>
  <c r="U290" i="11"/>
  <c r="U291" i="11"/>
  <c r="U292" i="11"/>
  <c r="U293" i="11"/>
  <c r="U294" i="11"/>
  <c r="U295" i="11"/>
  <c r="U296" i="11"/>
  <c r="U297" i="11"/>
  <c r="U298" i="11"/>
  <c r="U299" i="11"/>
  <c r="U300" i="11"/>
  <c r="U301" i="11"/>
  <c r="U302" i="11"/>
  <c r="U303" i="11"/>
  <c r="U304" i="11"/>
  <c r="U305" i="11"/>
  <c r="U306" i="11"/>
  <c r="U307" i="11"/>
  <c r="U308" i="11"/>
  <c r="U309" i="11"/>
  <c r="U310" i="11"/>
  <c r="U311" i="11"/>
  <c r="U312" i="11"/>
  <c r="U313" i="11"/>
  <c r="U314" i="11"/>
  <c r="U315" i="11"/>
  <c r="U316" i="11"/>
  <c r="U317" i="11"/>
  <c r="U318" i="11"/>
  <c r="U319" i="11"/>
  <c r="U320" i="11"/>
  <c r="U321" i="11"/>
  <c r="U322" i="11"/>
  <c r="U323" i="11"/>
  <c r="U324" i="11"/>
  <c r="U325" i="11"/>
  <c r="U326" i="11"/>
  <c r="U327" i="11"/>
  <c r="U328" i="11"/>
  <c r="U329" i="11"/>
  <c r="U330" i="11"/>
  <c r="U331" i="11"/>
  <c r="U332" i="11"/>
  <c r="U333" i="11"/>
  <c r="U334" i="11"/>
  <c r="U335" i="11"/>
  <c r="U336" i="11"/>
  <c r="U337" i="11"/>
  <c r="U338" i="11"/>
  <c r="U339" i="11"/>
  <c r="U340" i="11"/>
  <c r="U341" i="11"/>
  <c r="U342" i="11"/>
  <c r="U343" i="11"/>
  <c r="U344" i="11"/>
  <c r="U345" i="11"/>
  <c r="U346" i="11"/>
  <c r="U347" i="11"/>
  <c r="U348" i="11"/>
  <c r="U349" i="11"/>
  <c r="U350" i="11"/>
  <c r="U351" i="11"/>
  <c r="U352" i="11"/>
  <c r="U353" i="11"/>
  <c r="U354" i="11"/>
  <c r="U355" i="11"/>
  <c r="U356" i="11"/>
  <c r="U357" i="11"/>
  <c r="U358" i="11"/>
  <c r="U359" i="11"/>
  <c r="U360" i="11"/>
  <c r="U361" i="11"/>
  <c r="U362" i="11"/>
  <c r="U363" i="11"/>
  <c r="U364" i="11"/>
  <c r="U365" i="11"/>
  <c r="U366" i="11"/>
  <c r="U367" i="11"/>
  <c r="U368" i="11"/>
  <c r="U369" i="11"/>
  <c r="U370" i="11"/>
  <c r="U371" i="11"/>
  <c r="U372" i="11"/>
  <c r="U373" i="11"/>
  <c r="U374" i="11"/>
  <c r="U375" i="11"/>
  <c r="U376" i="11"/>
  <c r="U377" i="11"/>
  <c r="U378" i="11"/>
  <c r="U379" i="11"/>
  <c r="U380" i="11"/>
  <c r="U381" i="11"/>
  <c r="U382" i="11"/>
  <c r="U383" i="11"/>
  <c r="U384" i="11"/>
  <c r="U385" i="11"/>
  <c r="U386" i="11"/>
  <c r="U387" i="11"/>
  <c r="U388" i="11"/>
  <c r="U389" i="11"/>
  <c r="U390" i="11"/>
  <c r="U391" i="11"/>
  <c r="U392" i="11"/>
  <c r="U393" i="11"/>
  <c r="U394" i="11"/>
  <c r="U395" i="11"/>
  <c r="U396" i="11"/>
  <c r="U397" i="11"/>
  <c r="U398" i="11"/>
  <c r="U399" i="11"/>
  <c r="U400" i="11"/>
  <c r="U401" i="11"/>
  <c r="U402" i="11"/>
  <c r="U403" i="11"/>
  <c r="U404" i="11"/>
  <c r="U405" i="11"/>
  <c r="U406" i="11"/>
  <c r="U407" i="11"/>
  <c r="U408" i="11"/>
  <c r="U409" i="11"/>
  <c r="U410" i="11"/>
  <c r="U411" i="11"/>
  <c r="U412" i="11"/>
  <c r="U413" i="11"/>
  <c r="U414" i="11"/>
  <c r="U415" i="11"/>
  <c r="U416" i="11"/>
  <c r="U417" i="11"/>
  <c r="U418" i="11"/>
  <c r="U419" i="11"/>
  <c r="U420" i="11"/>
  <c r="U421" i="11"/>
  <c r="U422" i="11"/>
  <c r="U423" i="11"/>
  <c r="U424" i="11"/>
  <c r="U425" i="11"/>
  <c r="U426" i="11"/>
  <c r="U427" i="11"/>
  <c r="U428" i="11"/>
  <c r="U429" i="11"/>
  <c r="U430" i="11"/>
  <c r="U431" i="11"/>
  <c r="U432" i="11"/>
  <c r="U433" i="11"/>
  <c r="U434" i="11"/>
  <c r="U435" i="11"/>
  <c r="U436" i="11"/>
  <c r="U437" i="11"/>
  <c r="U438" i="11"/>
  <c r="U439" i="11"/>
  <c r="U440" i="11"/>
  <c r="U441" i="11"/>
  <c r="U442" i="11"/>
  <c r="U443" i="11"/>
  <c r="U444" i="11"/>
  <c r="U445" i="11"/>
  <c r="U446" i="11"/>
  <c r="U447" i="11"/>
  <c r="U448" i="11"/>
  <c r="U449" i="11"/>
  <c r="U450" i="11"/>
  <c r="U451" i="11"/>
  <c r="U452" i="11"/>
  <c r="U453" i="11"/>
  <c r="U454" i="11"/>
  <c r="U455" i="11"/>
  <c r="U456" i="11"/>
  <c r="U457" i="11"/>
  <c r="U458" i="11"/>
  <c r="U459" i="11"/>
  <c r="U460" i="11"/>
  <c r="U461" i="11"/>
  <c r="U462" i="11"/>
  <c r="U463" i="11"/>
  <c r="U464" i="11"/>
  <c r="U465" i="11"/>
  <c r="U466" i="11"/>
  <c r="U467" i="11"/>
  <c r="U468" i="11"/>
  <c r="U469" i="11"/>
  <c r="U470" i="11"/>
  <c r="U471" i="11"/>
  <c r="U472" i="11"/>
  <c r="U473" i="11"/>
  <c r="U474" i="11"/>
  <c r="U475" i="11"/>
  <c r="U476" i="11"/>
  <c r="U477" i="11"/>
  <c r="U478" i="11"/>
  <c r="U479" i="11"/>
  <c r="U480" i="11"/>
  <c r="U481" i="11"/>
  <c r="U482" i="11"/>
  <c r="U483" i="11"/>
  <c r="U484" i="11"/>
  <c r="U485" i="11"/>
  <c r="U486" i="11"/>
  <c r="U487" i="11"/>
  <c r="U488" i="11"/>
  <c r="U489" i="11"/>
  <c r="U490" i="11"/>
  <c r="U491" i="11"/>
  <c r="U492" i="11"/>
  <c r="U493" i="11"/>
  <c r="U494" i="11"/>
  <c r="U495" i="11"/>
  <c r="U496" i="11"/>
  <c r="U497" i="11"/>
  <c r="U498" i="11"/>
  <c r="U499" i="11"/>
  <c r="U500" i="11"/>
  <c r="U501" i="11"/>
  <c r="U502" i="11"/>
  <c r="U503" i="11"/>
  <c r="U504" i="11"/>
  <c r="U505" i="11"/>
  <c r="U506" i="11"/>
  <c r="U507" i="11"/>
  <c r="U508" i="11"/>
  <c r="U509" i="11"/>
  <c r="U510" i="11"/>
  <c r="U511" i="11"/>
  <c r="U512" i="11"/>
  <c r="U513" i="11"/>
  <c r="U514" i="11"/>
  <c r="U515" i="11"/>
  <c r="U516" i="11"/>
  <c r="U517" i="11"/>
  <c r="U518" i="11"/>
  <c r="U519" i="11"/>
  <c r="U520" i="11"/>
  <c r="U521" i="11"/>
  <c r="U522" i="11"/>
  <c r="U523" i="11"/>
  <c r="U524" i="11"/>
  <c r="U525" i="11"/>
  <c r="U526" i="11"/>
  <c r="U527" i="11"/>
  <c r="U528" i="11"/>
  <c r="U529" i="11"/>
  <c r="U530" i="11"/>
  <c r="U531" i="11"/>
  <c r="U532" i="11"/>
  <c r="U533" i="11"/>
  <c r="U534" i="11"/>
  <c r="U535" i="11"/>
  <c r="U536" i="11"/>
  <c r="U537" i="11"/>
  <c r="U538" i="11"/>
  <c r="U539" i="11"/>
  <c r="U540" i="11"/>
  <c r="U541" i="11"/>
  <c r="U542" i="11"/>
  <c r="U543" i="11"/>
  <c r="U544" i="11"/>
  <c r="U545" i="11"/>
  <c r="U546" i="11"/>
  <c r="U547" i="11"/>
  <c r="U548" i="11"/>
  <c r="U549" i="11"/>
  <c r="U550" i="11"/>
  <c r="U551" i="11"/>
  <c r="U552" i="11"/>
  <c r="U553" i="11"/>
  <c r="U554" i="11"/>
  <c r="U555" i="11"/>
  <c r="U556" i="11"/>
  <c r="U557" i="11"/>
  <c r="U558" i="11"/>
  <c r="U559" i="11"/>
  <c r="U560" i="11"/>
  <c r="U561" i="11"/>
  <c r="U562" i="11"/>
  <c r="U563" i="11"/>
  <c r="U564" i="11"/>
  <c r="U565" i="11"/>
  <c r="U566" i="11"/>
  <c r="U567" i="11"/>
  <c r="U568" i="11"/>
  <c r="U569" i="11"/>
  <c r="U570" i="11"/>
  <c r="U571" i="11"/>
  <c r="U572" i="11"/>
  <c r="U573" i="11"/>
  <c r="U574" i="11"/>
  <c r="U575" i="11"/>
  <c r="U576" i="11"/>
  <c r="U577" i="11"/>
  <c r="U578" i="11"/>
  <c r="U579" i="11"/>
  <c r="U580" i="11"/>
  <c r="U581" i="11"/>
  <c r="U582" i="11"/>
  <c r="U583" i="11"/>
  <c r="U584" i="11"/>
  <c r="U585" i="11"/>
  <c r="U586" i="11"/>
  <c r="U587" i="11"/>
  <c r="U588" i="11"/>
  <c r="U589" i="11"/>
  <c r="U590" i="11"/>
  <c r="U591" i="11"/>
  <c r="U592" i="11"/>
  <c r="U593" i="11"/>
  <c r="U594" i="11"/>
  <c r="U595" i="11"/>
  <c r="U596" i="11"/>
  <c r="U597" i="11"/>
  <c r="U598" i="11"/>
  <c r="U599" i="11"/>
  <c r="U600" i="11"/>
  <c r="U601" i="11"/>
  <c r="U602" i="11"/>
  <c r="U603" i="11"/>
  <c r="U604" i="11"/>
  <c r="U605" i="11"/>
  <c r="U606" i="11"/>
  <c r="U607" i="11"/>
  <c r="U608" i="11"/>
  <c r="U609" i="11"/>
  <c r="U610" i="11"/>
  <c r="U611" i="11"/>
  <c r="U612" i="11"/>
  <c r="S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S67" i="11"/>
  <c r="S68" i="11"/>
  <c r="S69" i="11"/>
  <c r="S70" i="11"/>
  <c r="S71" i="11"/>
  <c r="S72" i="11"/>
  <c r="S73" i="11"/>
  <c r="S74" i="11"/>
  <c r="S75" i="11"/>
  <c r="S76" i="11"/>
  <c r="S77" i="11"/>
  <c r="S78" i="11"/>
  <c r="S79" i="11"/>
  <c r="S80" i="11"/>
  <c r="S81" i="11"/>
  <c r="S82" i="11"/>
  <c r="S83" i="11"/>
  <c r="S84" i="11"/>
  <c r="S85" i="11"/>
  <c r="S86" i="11"/>
  <c r="S87" i="11"/>
  <c r="S88" i="11"/>
  <c r="S89" i="11"/>
  <c r="S90" i="11"/>
  <c r="S91" i="11"/>
  <c r="S92" i="11"/>
  <c r="S93" i="11"/>
  <c r="S94" i="11"/>
  <c r="S95" i="11"/>
  <c r="S96" i="11"/>
  <c r="S97" i="11"/>
  <c r="S98" i="11"/>
  <c r="S99" i="11"/>
  <c r="S100" i="11"/>
  <c r="S101" i="11"/>
  <c r="S102" i="11"/>
  <c r="S103" i="11"/>
  <c r="S104" i="11"/>
  <c r="S105" i="11"/>
  <c r="S106" i="11"/>
  <c r="S107" i="11"/>
  <c r="S108" i="11"/>
  <c r="S109" i="11"/>
  <c r="S110" i="11"/>
  <c r="S111" i="11"/>
  <c r="S112" i="11"/>
  <c r="S113" i="11"/>
  <c r="S114" i="11"/>
  <c r="S115" i="11"/>
  <c r="S116" i="11"/>
  <c r="S117" i="11"/>
  <c r="S118" i="11"/>
  <c r="S119" i="11"/>
  <c r="S120" i="11"/>
  <c r="S121" i="11"/>
  <c r="S122" i="11"/>
  <c r="S123" i="11"/>
  <c r="S124" i="11"/>
  <c r="S125" i="11"/>
  <c r="S126" i="11"/>
  <c r="S127" i="11"/>
  <c r="S128" i="11"/>
  <c r="S129" i="11"/>
  <c r="S130" i="11"/>
  <c r="S131" i="11"/>
  <c r="S132" i="11"/>
  <c r="S133" i="11"/>
  <c r="S134" i="11"/>
  <c r="S135" i="11"/>
  <c r="S136" i="11"/>
  <c r="S137" i="11"/>
  <c r="S138" i="11"/>
  <c r="S139" i="11"/>
  <c r="S140" i="11"/>
  <c r="S141" i="11"/>
  <c r="S142" i="11"/>
  <c r="S143" i="11"/>
  <c r="S144" i="11"/>
  <c r="S145" i="11"/>
  <c r="S146" i="11"/>
  <c r="S147" i="11"/>
  <c r="S148" i="11"/>
  <c r="S149" i="11"/>
  <c r="S150" i="11"/>
  <c r="S151" i="11"/>
  <c r="S152" i="11"/>
  <c r="S153" i="11"/>
  <c r="S154" i="11"/>
  <c r="S155" i="11"/>
  <c r="S156" i="11"/>
  <c r="S157" i="11"/>
  <c r="S158" i="11"/>
  <c r="S159" i="11"/>
  <c r="S160" i="11"/>
  <c r="S161" i="11"/>
  <c r="S162" i="11"/>
  <c r="S163" i="11"/>
  <c r="S164" i="11"/>
  <c r="S165" i="11"/>
  <c r="S166" i="11"/>
  <c r="S167" i="11"/>
  <c r="S168" i="11"/>
  <c r="S169" i="11"/>
  <c r="S170" i="11"/>
  <c r="S171" i="11"/>
  <c r="S172" i="11"/>
  <c r="S173" i="11"/>
  <c r="S174" i="11"/>
  <c r="S175" i="11"/>
  <c r="S176" i="11"/>
  <c r="S177" i="11"/>
  <c r="S178" i="11"/>
  <c r="S179" i="11"/>
  <c r="S180" i="11"/>
  <c r="S181" i="11"/>
  <c r="S182" i="11"/>
  <c r="S183" i="11"/>
  <c r="S184" i="11"/>
  <c r="S185" i="11"/>
  <c r="S186" i="11"/>
  <c r="S187" i="11"/>
  <c r="S188" i="11"/>
  <c r="S189" i="11"/>
  <c r="S190" i="11"/>
  <c r="S191" i="11"/>
  <c r="S192" i="11"/>
  <c r="S193" i="11"/>
  <c r="S194" i="11"/>
  <c r="S195" i="11"/>
  <c r="S196" i="11"/>
  <c r="S197" i="11"/>
  <c r="S198" i="11"/>
  <c r="S199" i="11"/>
  <c r="S200" i="11"/>
  <c r="S201" i="11"/>
  <c r="S202" i="11"/>
  <c r="S203" i="11"/>
  <c r="S204" i="11"/>
  <c r="S205" i="11"/>
  <c r="S206" i="11"/>
  <c r="S207" i="11"/>
  <c r="S208" i="11"/>
  <c r="S209" i="11"/>
  <c r="S210" i="11"/>
  <c r="S211" i="11"/>
  <c r="S212" i="11"/>
  <c r="S213" i="11"/>
  <c r="S214" i="11"/>
  <c r="S215" i="11"/>
  <c r="S216" i="11"/>
  <c r="S217" i="11"/>
  <c r="S218" i="11"/>
  <c r="S219" i="11"/>
  <c r="S220" i="11"/>
  <c r="S221" i="11"/>
  <c r="S222" i="11"/>
  <c r="S223" i="11"/>
  <c r="S224" i="11"/>
  <c r="S225" i="11"/>
  <c r="S226" i="11"/>
  <c r="S227" i="11"/>
  <c r="S228" i="11"/>
  <c r="S229" i="11"/>
  <c r="S230" i="11"/>
  <c r="S231" i="11"/>
  <c r="S232" i="11"/>
  <c r="S233" i="11"/>
  <c r="S234" i="11"/>
  <c r="S235" i="11"/>
  <c r="S236" i="11"/>
  <c r="S237" i="11"/>
  <c r="S238" i="11"/>
  <c r="S239" i="11"/>
  <c r="S240" i="11"/>
  <c r="S241" i="11"/>
  <c r="S242" i="11"/>
  <c r="S243" i="11"/>
  <c r="S244" i="11"/>
  <c r="S245" i="11"/>
  <c r="S246" i="11"/>
  <c r="S247" i="11"/>
  <c r="S248" i="11"/>
  <c r="S249" i="11"/>
  <c r="S250" i="11"/>
  <c r="S251" i="11"/>
  <c r="S252" i="11"/>
  <c r="S253" i="11"/>
  <c r="S254" i="11"/>
  <c r="S255" i="11"/>
  <c r="S256" i="11"/>
  <c r="S257" i="11"/>
  <c r="S258" i="11"/>
  <c r="S259" i="11"/>
  <c r="S260" i="11"/>
  <c r="S261" i="11"/>
  <c r="S262" i="11"/>
  <c r="S263" i="11"/>
  <c r="S264" i="11"/>
  <c r="S265" i="11"/>
  <c r="S266" i="11"/>
  <c r="S267" i="11"/>
  <c r="S268" i="11"/>
  <c r="S269" i="11"/>
  <c r="S270" i="11"/>
  <c r="S271" i="11"/>
  <c r="S272" i="11"/>
  <c r="S273" i="11"/>
  <c r="S274" i="11"/>
  <c r="S275" i="11"/>
  <c r="S276" i="11"/>
  <c r="S277" i="11"/>
  <c r="S278" i="11"/>
  <c r="S279" i="11"/>
  <c r="S280" i="11"/>
  <c r="S281" i="11"/>
  <c r="S282" i="11"/>
  <c r="S283" i="11"/>
  <c r="S284" i="11"/>
  <c r="S285" i="11"/>
  <c r="S286" i="11"/>
  <c r="S287" i="11"/>
  <c r="S288" i="11"/>
  <c r="S289" i="11"/>
  <c r="S290" i="11"/>
  <c r="S291" i="11"/>
  <c r="S292" i="11"/>
  <c r="S293" i="11"/>
  <c r="S294" i="11"/>
  <c r="S295" i="11"/>
  <c r="S296" i="11"/>
  <c r="S297" i="11"/>
  <c r="S298" i="11"/>
  <c r="S299" i="11"/>
  <c r="S300" i="11"/>
  <c r="S301" i="11"/>
  <c r="S302" i="11"/>
  <c r="S303" i="11"/>
  <c r="S304" i="11"/>
  <c r="S305" i="11"/>
  <c r="S306" i="11"/>
  <c r="S307" i="11"/>
  <c r="S308" i="11"/>
  <c r="S309" i="11"/>
  <c r="S310" i="11"/>
  <c r="S311" i="11"/>
  <c r="S312" i="11"/>
  <c r="S313" i="11"/>
  <c r="S314" i="11"/>
  <c r="S315" i="11"/>
  <c r="S316" i="11"/>
  <c r="S317" i="11"/>
  <c r="S318" i="11"/>
  <c r="S319" i="11"/>
  <c r="S320" i="11"/>
  <c r="S321" i="11"/>
  <c r="S322" i="11"/>
  <c r="S323" i="11"/>
  <c r="S324" i="11"/>
  <c r="S325" i="11"/>
  <c r="S326" i="11"/>
  <c r="S327" i="11"/>
  <c r="S328" i="11"/>
  <c r="S329" i="11"/>
  <c r="S330" i="11"/>
  <c r="S331" i="11"/>
  <c r="S332" i="11"/>
  <c r="S333" i="11"/>
  <c r="S334" i="11"/>
  <c r="S335" i="11"/>
  <c r="S336" i="11"/>
  <c r="S337" i="11"/>
  <c r="S338" i="11"/>
  <c r="S339" i="11"/>
  <c r="S340" i="11"/>
  <c r="S341" i="11"/>
  <c r="S342" i="11"/>
  <c r="S343" i="11"/>
  <c r="S344" i="11"/>
  <c r="S345" i="11"/>
  <c r="S346" i="11"/>
  <c r="S347" i="11"/>
  <c r="S348" i="11"/>
  <c r="S349" i="11"/>
  <c r="S350" i="11"/>
  <c r="S351" i="11"/>
  <c r="S352" i="11"/>
  <c r="S353" i="11"/>
  <c r="S354" i="11"/>
  <c r="S355" i="11"/>
  <c r="S356" i="11"/>
  <c r="S357" i="11"/>
  <c r="S358" i="11"/>
  <c r="S359" i="11"/>
  <c r="S360" i="11"/>
  <c r="S361" i="11"/>
  <c r="S362" i="11"/>
  <c r="S363" i="11"/>
  <c r="S364" i="11"/>
  <c r="S365" i="11"/>
  <c r="S366" i="11"/>
  <c r="S367" i="11"/>
  <c r="S368" i="11"/>
  <c r="S369" i="11"/>
  <c r="S370" i="11"/>
  <c r="S371" i="11"/>
  <c r="S372" i="11"/>
  <c r="S373" i="11"/>
  <c r="S374" i="11"/>
  <c r="S375" i="11"/>
  <c r="S376" i="11"/>
  <c r="S377" i="11"/>
  <c r="S378" i="11"/>
  <c r="S379" i="11"/>
  <c r="S380" i="11"/>
  <c r="S381" i="11"/>
  <c r="S382" i="11"/>
  <c r="S383" i="11"/>
  <c r="S384" i="11"/>
  <c r="S385" i="11"/>
  <c r="S386" i="11"/>
  <c r="S387" i="11"/>
  <c r="S388" i="11"/>
  <c r="S389" i="11"/>
  <c r="S390" i="11"/>
  <c r="S391" i="11"/>
  <c r="S392" i="11"/>
  <c r="S393" i="11"/>
  <c r="S394" i="11"/>
  <c r="S395" i="11"/>
  <c r="S396" i="11"/>
  <c r="S397" i="11"/>
  <c r="S398" i="11"/>
  <c r="S399" i="11"/>
  <c r="S400" i="11"/>
  <c r="S401" i="11"/>
  <c r="S402" i="11"/>
  <c r="S403" i="11"/>
  <c r="S404" i="11"/>
  <c r="S405" i="11"/>
  <c r="S406" i="11"/>
  <c r="S407" i="11"/>
  <c r="S408" i="11"/>
  <c r="S409" i="11"/>
  <c r="S410" i="11"/>
  <c r="S411" i="11"/>
  <c r="S412" i="11"/>
  <c r="S413" i="11"/>
  <c r="S414" i="11"/>
  <c r="S415" i="11"/>
  <c r="S416" i="11"/>
  <c r="S417" i="11"/>
  <c r="S418" i="11"/>
  <c r="S419" i="11"/>
  <c r="S420" i="11"/>
  <c r="S421" i="11"/>
  <c r="S422" i="11"/>
  <c r="S423" i="11"/>
  <c r="S424" i="11"/>
  <c r="S425" i="11"/>
  <c r="S426" i="11"/>
  <c r="S427" i="11"/>
  <c r="S428" i="11"/>
  <c r="S429" i="11"/>
  <c r="S430" i="11"/>
  <c r="S431" i="11"/>
  <c r="S432" i="11"/>
  <c r="S433" i="11"/>
  <c r="S434" i="11"/>
  <c r="S435" i="11"/>
  <c r="S436" i="11"/>
  <c r="S437" i="11"/>
  <c r="S438" i="11"/>
  <c r="S439" i="11"/>
  <c r="S440" i="11"/>
  <c r="S441" i="11"/>
  <c r="S442" i="11"/>
  <c r="S443" i="11"/>
  <c r="S444" i="11"/>
  <c r="S445" i="11"/>
  <c r="S446" i="11"/>
  <c r="S447" i="11"/>
  <c r="S448" i="11"/>
  <c r="S449" i="11"/>
  <c r="S450" i="11"/>
  <c r="S451" i="11"/>
  <c r="S452" i="11"/>
  <c r="S453" i="11"/>
  <c r="S454" i="11"/>
  <c r="S455" i="11"/>
  <c r="S456" i="11"/>
  <c r="S457" i="11"/>
  <c r="S458" i="11"/>
  <c r="S459" i="11"/>
  <c r="S460" i="11"/>
  <c r="S461" i="11"/>
  <c r="S462" i="11"/>
  <c r="S463" i="11"/>
  <c r="S464" i="11"/>
  <c r="S465" i="11"/>
  <c r="S466" i="11"/>
  <c r="S467" i="11"/>
  <c r="S468" i="11"/>
  <c r="S469" i="11"/>
  <c r="S470" i="11"/>
  <c r="S471" i="11"/>
  <c r="S472" i="11"/>
  <c r="S473" i="11"/>
  <c r="S474" i="11"/>
  <c r="S475" i="11"/>
  <c r="S476" i="11"/>
  <c r="S477" i="11"/>
  <c r="S478" i="11"/>
  <c r="S479" i="11"/>
  <c r="S480" i="11"/>
  <c r="S481" i="11"/>
  <c r="S482" i="11"/>
  <c r="S483" i="11"/>
  <c r="S484" i="11"/>
  <c r="S485" i="11"/>
  <c r="S486" i="11"/>
  <c r="S487" i="11"/>
  <c r="S488" i="11"/>
  <c r="S489" i="11"/>
  <c r="S490" i="11"/>
  <c r="S491" i="11"/>
  <c r="S492" i="11"/>
  <c r="S493" i="11"/>
  <c r="S494" i="11"/>
  <c r="S495" i="11"/>
  <c r="S496" i="11"/>
  <c r="S497" i="11"/>
  <c r="S498" i="11"/>
  <c r="S499" i="11"/>
  <c r="S500" i="11"/>
  <c r="S501" i="11"/>
  <c r="S502" i="11"/>
  <c r="S503" i="11"/>
  <c r="S504" i="11"/>
  <c r="S505" i="11"/>
  <c r="S506" i="11"/>
  <c r="S507" i="11"/>
  <c r="S508" i="11"/>
  <c r="S509" i="11"/>
  <c r="S510" i="11"/>
  <c r="S511" i="11"/>
  <c r="S512" i="11"/>
  <c r="S513" i="11"/>
  <c r="S514" i="11"/>
  <c r="S515" i="11"/>
  <c r="S516" i="11"/>
  <c r="S517" i="11"/>
  <c r="S518" i="11"/>
  <c r="S519" i="11"/>
  <c r="S520" i="11"/>
  <c r="S521" i="11"/>
  <c r="S522" i="11"/>
  <c r="S523" i="11"/>
  <c r="S524" i="11"/>
  <c r="S525" i="11"/>
  <c r="S526" i="11"/>
  <c r="S527" i="11"/>
  <c r="S528" i="11"/>
  <c r="S529" i="11"/>
  <c r="S530" i="11"/>
  <c r="S531" i="11"/>
  <c r="S532" i="11"/>
  <c r="S533" i="11"/>
  <c r="S534" i="11"/>
  <c r="S535" i="11"/>
  <c r="S536" i="11"/>
  <c r="S537" i="11"/>
  <c r="S538" i="11"/>
  <c r="S539" i="11"/>
  <c r="S540" i="11"/>
  <c r="S541" i="11"/>
  <c r="S542" i="11"/>
  <c r="S543" i="11"/>
  <c r="S544" i="11"/>
  <c r="S545" i="11"/>
  <c r="S546" i="11"/>
  <c r="S547" i="11"/>
  <c r="S548" i="11"/>
  <c r="S549" i="11"/>
  <c r="S550" i="11"/>
  <c r="S551" i="11"/>
  <c r="S552" i="11"/>
  <c r="S553" i="11"/>
  <c r="S554" i="11"/>
  <c r="S555" i="11"/>
  <c r="S556" i="11"/>
  <c r="S557" i="11"/>
  <c r="S558" i="11"/>
  <c r="S559" i="11"/>
  <c r="S560" i="11"/>
  <c r="S561" i="11"/>
  <c r="S562" i="11"/>
  <c r="S563" i="11"/>
  <c r="S564" i="11"/>
  <c r="S565" i="11"/>
  <c r="S566" i="11"/>
  <c r="S567" i="11"/>
  <c r="S568" i="11"/>
  <c r="S569" i="11"/>
  <c r="S570" i="11"/>
  <c r="S571" i="11"/>
  <c r="S572" i="11"/>
  <c r="S573" i="11"/>
  <c r="S574" i="11"/>
  <c r="S575" i="11"/>
  <c r="S576" i="11"/>
  <c r="S577" i="11"/>
  <c r="S578" i="11"/>
  <c r="S579" i="11"/>
  <c r="S580" i="11"/>
  <c r="S581" i="11"/>
  <c r="S582" i="11"/>
  <c r="S583" i="11"/>
  <c r="S584" i="11"/>
  <c r="S585" i="11"/>
  <c r="S586" i="11"/>
  <c r="S587" i="11"/>
  <c r="S588" i="11"/>
  <c r="S589" i="11"/>
  <c r="S590" i="11"/>
  <c r="S591" i="11"/>
  <c r="S592" i="11"/>
  <c r="S593" i="11"/>
  <c r="S594" i="11"/>
  <c r="S595" i="11"/>
  <c r="S596" i="11"/>
  <c r="S597" i="11"/>
  <c r="S598" i="11"/>
  <c r="S599" i="11"/>
  <c r="S600" i="11"/>
  <c r="S601" i="11"/>
  <c r="S602" i="11"/>
  <c r="S603" i="11"/>
  <c r="S604" i="11"/>
  <c r="S605" i="11"/>
  <c r="S606" i="11"/>
  <c r="S607" i="11"/>
  <c r="S608" i="11"/>
  <c r="S609" i="11"/>
  <c r="S610" i="11"/>
  <c r="S611" i="11"/>
  <c r="S612" i="11"/>
  <c r="S613" i="11"/>
  <c r="S614" i="11"/>
  <c r="S615" i="11"/>
  <c r="S616" i="11"/>
  <c r="S617" i="11"/>
  <c r="S618" i="11"/>
  <c r="S619" i="11"/>
  <c r="S620" i="11"/>
  <c r="S621" i="11"/>
  <c r="S622" i="11"/>
  <c r="S623" i="11"/>
  <c r="S624" i="11"/>
  <c r="S625" i="11"/>
  <c r="S626" i="11"/>
  <c r="S627" i="11"/>
  <c r="S628" i="11"/>
  <c r="S629" i="11"/>
  <c r="S630" i="11"/>
  <c r="S631" i="11"/>
  <c r="S632" i="11"/>
  <c r="S633" i="11"/>
  <c r="S634" i="11"/>
  <c r="S635" i="11"/>
  <c r="S636" i="11"/>
  <c r="S637" i="11"/>
  <c r="S638" i="11"/>
  <c r="S639" i="11"/>
  <c r="S640" i="11"/>
  <c r="S641" i="11"/>
  <c r="S642" i="11"/>
  <c r="S643" i="11"/>
  <c r="S644" i="11"/>
  <c r="S645" i="11"/>
  <c r="S646" i="11"/>
  <c r="S647" i="11"/>
  <c r="S648" i="11"/>
  <c r="S649" i="11"/>
  <c r="S650" i="11"/>
  <c r="S651" i="11"/>
  <c r="S652" i="11"/>
  <c r="S653" i="11"/>
  <c r="S654" i="11"/>
  <c r="S655" i="11"/>
  <c r="S656" i="11"/>
  <c r="S657" i="11"/>
  <c r="S658" i="11"/>
  <c r="S659" i="11"/>
  <c r="S660" i="11"/>
  <c r="S661" i="11"/>
  <c r="S662" i="11"/>
  <c r="S663" i="11"/>
  <c r="S664" i="11"/>
  <c r="S665" i="11"/>
  <c r="S666" i="11"/>
  <c r="S667" i="11"/>
  <c r="S668" i="11"/>
  <c r="S669" i="11"/>
  <c r="S670" i="11"/>
  <c r="S671" i="11"/>
  <c r="S672" i="11"/>
  <c r="S673" i="11"/>
  <c r="S674" i="11"/>
  <c r="S675" i="11"/>
  <c r="S676" i="11"/>
  <c r="S677" i="11"/>
  <c r="S678" i="11"/>
  <c r="S679" i="11"/>
  <c r="S680" i="11"/>
  <c r="S681" i="11"/>
  <c r="S682" i="11"/>
  <c r="S683" i="11"/>
  <c r="S684" i="11"/>
  <c r="S685" i="11"/>
  <c r="S686" i="11"/>
  <c r="S687" i="11"/>
  <c r="S688" i="11"/>
  <c r="S689" i="11"/>
  <c r="S690" i="11"/>
  <c r="S691" i="11"/>
  <c r="S692" i="11"/>
  <c r="S693" i="11"/>
  <c r="S694" i="11"/>
  <c r="S695" i="11"/>
  <c r="S696" i="11"/>
  <c r="S697" i="11"/>
  <c r="S698" i="11"/>
  <c r="S699" i="11"/>
  <c r="S700" i="11"/>
  <c r="S701" i="11"/>
  <c r="S702" i="11"/>
  <c r="S703" i="11"/>
  <c r="S704" i="11"/>
  <c r="S705" i="11"/>
  <c r="S706" i="11"/>
  <c r="S707" i="11"/>
  <c r="S708" i="11"/>
  <c r="S709" i="11"/>
  <c r="S710" i="11"/>
  <c r="S711" i="11"/>
  <c r="S712" i="11"/>
  <c r="S713" i="11"/>
  <c r="S714" i="11"/>
  <c r="S715" i="11"/>
  <c r="S716" i="11"/>
  <c r="S717" i="11"/>
  <c r="S718" i="11"/>
  <c r="S719" i="11"/>
  <c r="S720" i="11"/>
  <c r="S721" i="11"/>
  <c r="S722" i="11"/>
  <c r="S723" i="11"/>
  <c r="S724" i="11"/>
  <c r="S725" i="11"/>
  <c r="S726" i="11"/>
  <c r="S727" i="11"/>
  <c r="S728" i="11"/>
  <c r="S729" i="11"/>
  <c r="S730" i="11"/>
  <c r="S731" i="11"/>
  <c r="S732" i="11"/>
  <c r="S733" i="11"/>
  <c r="S734" i="11"/>
  <c r="S735" i="11"/>
  <c r="S736" i="11"/>
  <c r="S737" i="11"/>
  <c r="S738" i="11"/>
  <c r="S739" i="11"/>
  <c r="S740" i="11"/>
  <c r="S741" i="11"/>
  <c r="S742" i="11"/>
  <c r="S743" i="11"/>
  <c r="S744" i="11"/>
  <c r="S745" i="11"/>
  <c r="S746" i="11"/>
  <c r="S747" i="11"/>
  <c r="S748" i="11"/>
  <c r="S749" i="11"/>
  <c r="S750" i="11"/>
  <c r="S751" i="11"/>
  <c r="S752" i="11"/>
  <c r="S753" i="11"/>
  <c r="S754" i="11"/>
  <c r="S755" i="11"/>
  <c r="S756" i="11"/>
  <c r="S757" i="11"/>
  <c r="S758" i="11"/>
  <c r="S759" i="11"/>
  <c r="S760" i="11"/>
  <c r="S761" i="11"/>
  <c r="S762" i="11"/>
  <c r="S763" i="11"/>
  <c r="S764" i="11"/>
  <c r="S765" i="11"/>
  <c r="S766" i="11"/>
  <c r="S767" i="11"/>
  <c r="S768" i="11"/>
  <c r="S769" i="11"/>
  <c r="S770" i="11"/>
  <c r="S771" i="11"/>
  <c r="S772" i="11"/>
  <c r="S773" i="11"/>
  <c r="S774" i="11"/>
  <c r="S775" i="11"/>
  <c r="S776" i="11"/>
  <c r="S777" i="11"/>
  <c r="S778" i="11"/>
  <c r="S779" i="11"/>
  <c r="S780" i="11"/>
  <c r="S781" i="11"/>
  <c r="S782" i="11"/>
  <c r="S783" i="11"/>
  <c r="S784" i="11"/>
  <c r="S785" i="11"/>
  <c r="S786" i="11"/>
  <c r="S787" i="11"/>
  <c r="S788" i="11"/>
  <c r="S789" i="11"/>
  <c r="S790" i="11"/>
  <c r="S791" i="11"/>
  <c r="S792" i="11"/>
  <c r="S793" i="11"/>
  <c r="S794" i="11"/>
  <c r="S795" i="11"/>
  <c r="S796" i="11"/>
  <c r="S797" i="11"/>
  <c r="S798" i="11"/>
  <c r="S799" i="11"/>
  <c r="S800" i="11"/>
  <c r="S801" i="11"/>
  <c r="S802" i="11"/>
  <c r="S803" i="11"/>
  <c r="S804" i="11"/>
  <c r="S805" i="11"/>
  <c r="S806" i="11"/>
  <c r="S807" i="11"/>
  <c r="S808" i="11"/>
  <c r="S809" i="11"/>
  <c r="S810" i="11"/>
  <c r="S811" i="11"/>
  <c r="S812" i="11"/>
  <c r="S813" i="11"/>
  <c r="S814" i="11"/>
  <c r="S815" i="11"/>
  <c r="S816" i="11"/>
  <c r="S817" i="11"/>
  <c r="S818" i="11"/>
  <c r="S819" i="11"/>
  <c r="S820" i="11"/>
  <c r="S821" i="11"/>
  <c r="S822" i="11"/>
  <c r="S823" i="11"/>
  <c r="S824" i="11"/>
  <c r="S825" i="11"/>
  <c r="S826" i="11"/>
  <c r="S827" i="11"/>
  <c r="S828" i="11"/>
  <c r="S829" i="11"/>
  <c r="S830" i="11"/>
  <c r="S831" i="11"/>
  <c r="S832" i="11"/>
  <c r="S833" i="11"/>
  <c r="S834" i="11"/>
  <c r="S835" i="11"/>
  <c r="S836" i="11"/>
  <c r="S837" i="11"/>
  <c r="S838" i="11"/>
  <c r="S839" i="11"/>
  <c r="S840" i="11"/>
  <c r="S841" i="11"/>
  <c r="S842" i="11"/>
  <c r="S843" i="11"/>
  <c r="S844" i="11"/>
  <c r="S845" i="11"/>
  <c r="S846" i="11"/>
  <c r="S847" i="11"/>
  <c r="S848" i="11"/>
  <c r="S849" i="11"/>
  <c r="S850" i="11"/>
  <c r="S851" i="11"/>
  <c r="S852" i="11"/>
  <c r="S853" i="11"/>
  <c r="S854" i="11"/>
  <c r="S855" i="11"/>
  <c r="S856" i="11"/>
  <c r="S857" i="11"/>
  <c r="S858" i="11"/>
  <c r="S859" i="11"/>
  <c r="S860" i="11"/>
  <c r="S861" i="11"/>
  <c r="S862" i="11"/>
  <c r="S863" i="11"/>
  <c r="S864" i="11"/>
  <c r="S865" i="11"/>
  <c r="S866" i="11"/>
  <c r="S867" i="11"/>
  <c r="S868" i="11"/>
  <c r="S869" i="11"/>
  <c r="S870" i="11"/>
  <c r="S871" i="11"/>
  <c r="S872" i="11"/>
  <c r="S873" i="11"/>
  <c r="S874" i="11"/>
  <c r="S875" i="11"/>
  <c r="S876" i="11"/>
  <c r="S877" i="11"/>
  <c r="S878" i="11"/>
  <c r="S879" i="11"/>
  <c r="S880" i="11"/>
  <c r="S881" i="11"/>
  <c r="S882" i="11"/>
  <c r="S883" i="11"/>
  <c r="S884" i="11"/>
  <c r="S885" i="11"/>
  <c r="S886" i="11"/>
  <c r="S887" i="11"/>
  <c r="S888" i="11"/>
  <c r="S889" i="11"/>
  <c r="S890" i="11"/>
  <c r="S891" i="11"/>
  <c r="S892" i="11"/>
  <c r="S893" i="11"/>
  <c r="S894" i="11"/>
  <c r="S895" i="11"/>
  <c r="S896" i="11"/>
  <c r="S897" i="11"/>
  <c r="S898" i="11"/>
  <c r="S899" i="11"/>
  <c r="S900" i="11"/>
  <c r="S901" i="11"/>
  <c r="S902" i="11"/>
  <c r="S903" i="11"/>
  <c r="S904" i="11"/>
  <c r="S905" i="11"/>
  <c r="S906" i="11"/>
  <c r="S907" i="11"/>
  <c r="S908" i="11"/>
  <c r="S909" i="11"/>
  <c r="S910" i="11"/>
  <c r="S911" i="11"/>
  <c r="S912" i="11"/>
  <c r="S913" i="11"/>
  <c r="S914" i="11"/>
  <c r="S915" i="11"/>
  <c r="S916" i="11"/>
  <c r="S917" i="11"/>
  <c r="S918" i="11"/>
  <c r="S919" i="11"/>
  <c r="S920" i="11"/>
  <c r="S921" i="11"/>
  <c r="S922" i="11"/>
  <c r="S923" i="11"/>
  <c r="S924" i="11"/>
  <c r="S925" i="11"/>
  <c r="S926" i="11"/>
  <c r="S927" i="11"/>
  <c r="S928" i="11"/>
  <c r="S929" i="11"/>
  <c r="S930" i="11"/>
  <c r="S931" i="11"/>
  <c r="S932" i="11"/>
  <c r="S933" i="11"/>
  <c r="S934" i="11"/>
  <c r="S935" i="11"/>
  <c r="S936" i="11"/>
  <c r="S937" i="11"/>
  <c r="S938" i="11"/>
  <c r="S939" i="11"/>
  <c r="S940" i="11"/>
  <c r="S941" i="11"/>
  <c r="S942" i="11"/>
  <c r="S943" i="11"/>
  <c r="S944" i="11"/>
  <c r="S945" i="11"/>
  <c r="S946" i="11"/>
  <c r="S947" i="11"/>
  <c r="S948" i="11"/>
  <c r="S949" i="11"/>
  <c r="S950" i="11"/>
  <c r="S951" i="11"/>
  <c r="S952" i="11"/>
  <c r="S953" i="11"/>
  <c r="S954" i="11"/>
  <c r="S955" i="11"/>
  <c r="S956" i="11"/>
  <c r="S957" i="11"/>
  <c r="S958" i="11"/>
  <c r="S959" i="11"/>
  <c r="S960" i="11"/>
  <c r="S961" i="11"/>
  <c r="S962" i="11"/>
  <c r="S963" i="11"/>
  <c r="S964" i="11"/>
  <c r="S965" i="11"/>
  <c r="S966" i="11"/>
  <c r="S967" i="11"/>
  <c r="S968" i="11"/>
  <c r="S969" i="11"/>
  <c r="S970" i="11"/>
  <c r="S971" i="11"/>
  <c r="S972" i="11"/>
  <c r="S973" i="11"/>
  <c r="S974" i="11"/>
  <c r="S975" i="11"/>
  <c r="S976" i="11"/>
  <c r="S977" i="11"/>
  <c r="S978" i="11"/>
  <c r="S979" i="11"/>
  <c r="S980" i="11"/>
  <c r="S981" i="11"/>
  <c r="S982" i="11"/>
  <c r="S983" i="11"/>
  <c r="S984" i="11"/>
  <c r="S985" i="11"/>
  <c r="S986" i="11"/>
  <c r="S987" i="11"/>
  <c r="S988" i="11"/>
  <c r="S989" i="11"/>
  <c r="S990" i="11"/>
  <c r="S991" i="11"/>
  <c r="S992" i="11"/>
  <c r="S993" i="11"/>
  <c r="S994" i="11"/>
  <c r="S995" i="11"/>
  <c r="S996" i="11"/>
  <c r="S997" i="11"/>
  <c r="S998" i="11"/>
  <c r="S999" i="11"/>
  <c r="S1000" i="11"/>
  <c r="S1001" i="11"/>
  <c r="T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33" i="11"/>
  <c r="T34" i="11"/>
  <c r="T35" i="11"/>
  <c r="T36" i="11"/>
  <c r="T37" i="11"/>
  <c r="T38" i="11"/>
  <c r="T39" i="11"/>
  <c r="T40" i="11"/>
  <c r="T41" i="11"/>
  <c r="T42" i="11"/>
  <c r="T43" i="11"/>
  <c r="T44" i="11"/>
  <c r="T45" i="11"/>
  <c r="T46" i="11"/>
  <c r="T47" i="11"/>
  <c r="T48" i="11"/>
  <c r="T49" i="11"/>
  <c r="T50" i="11"/>
  <c r="T51" i="11"/>
  <c r="T52" i="11"/>
  <c r="T53" i="11"/>
  <c r="T54" i="11"/>
  <c r="T55" i="11"/>
  <c r="T56" i="11"/>
  <c r="T57" i="11"/>
  <c r="T58" i="11"/>
  <c r="T59" i="11"/>
  <c r="T60" i="11"/>
  <c r="T61" i="11"/>
  <c r="T62" i="11"/>
  <c r="T63" i="11"/>
  <c r="T64" i="11"/>
  <c r="T65" i="11"/>
  <c r="T66" i="11"/>
  <c r="T67" i="11"/>
  <c r="T68" i="11"/>
  <c r="T69" i="11"/>
  <c r="T70" i="11"/>
  <c r="T71" i="11"/>
  <c r="T72" i="11"/>
  <c r="T73" i="11"/>
  <c r="T74" i="11"/>
  <c r="T75" i="11"/>
  <c r="T76" i="11"/>
  <c r="T77" i="11"/>
  <c r="T78" i="11"/>
  <c r="T79" i="11"/>
  <c r="T80" i="11"/>
  <c r="T81" i="11"/>
  <c r="T82" i="11"/>
  <c r="T83" i="11"/>
  <c r="T84" i="11"/>
  <c r="T85" i="11"/>
  <c r="T86" i="11"/>
  <c r="T87" i="11"/>
  <c r="T88" i="11"/>
  <c r="T89" i="11"/>
  <c r="T90" i="11"/>
  <c r="T91" i="11"/>
  <c r="T92" i="11"/>
  <c r="T93" i="11"/>
  <c r="T94" i="11"/>
  <c r="T95" i="11"/>
  <c r="T96" i="11"/>
  <c r="T97" i="11"/>
  <c r="T98" i="11"/>
  <c r="T99" i="11"/>
  <c r="T100" i="11"/>
  <c r="T101" i="11"/>
  <c r="T102" i="11"/>
  <c r="T103" i="11"/>
  <c r="T104" i="11"/>
  <c r="T105" i="11"/>
  <c r="T106" i="11"/>
  <c r="T107" i="11"/>
  <c r="T108" i="11"/>
  <c r="T109" i="11"/>
  <c r="T110" i="11"/>
  <c r="T111" i="11"/>
  <c r="T112" i="11"/>
  <c r="T113" i="11"/>
  <c r="T114" i="11"/>
  <c r="T115" i="11"/>
  <c r="T116" i="11"/>
  <c r="T117" i="11"/>
  <c r="T118" i="11"/>
  <c r="T119" i="11"/>
  <c r="T120" i="11"/>
  <c r="T121" i="11"/>
  <c r="T122" i="11"/>
  <c r="T123" i="11"/>
  <c r="T124" i="11"/>
  <c r="T125" i="11"/>
  <c r="T126" i="11"/>
  <c r="T127" i="11"/>
  <c r="T128" i="11"/>
  <c r="T129" i="11"/>
  <c r="T130" i="11"/>
  <c r="T131" i="11"/>
  <c r="T132" i="11"/>
  <c r="T133" i="11"/>
  <c r="T134" i="11"/>
  <c r="T135" i="11"/>
  <c r="T136" i="11"/>
  <c r="T137" i="11"/>
  <c r="T138" i="11"/>
  <c r="T139" i="11"/>
  <c r="T140" i="11"/>
  <c r="T141" i="11"/>
  <c r="T142" i="11"/>
  <c r="T143" i="11"/>
  <c r="T144" i="11"/>
  <c r="T145" i="11"/>
  <c r="T146" i="11"/>
  <c r="T147" i="11"/>
  <c r="T148" i="11"/>
  <c r="T149" i="11"/>
  <c r="T150" i="11"/>
  <c r="T151" i="11"/>
  <c r="T152" i="11"/>
  <c r="T153" i="11"/>
  <c r="T154" i="11"/>
  <c r="T155" i="11"/>
  <c r="T156" i="11"/>
  <c r="T157" i="11"/>
  <c r="T158" i="11"/>
  <c r="T159" i="11"/>
  <c r="T160" i="11"/>
  <c r="T161" i="11"/>
  <c r="T162" i="11"/>
  <c r="T163" i="11"/>
  <c r="T164" i="11"/>
  <c r="T165" i="11"/>
  <c r="T166" i="11"/>
  <c r="T167" i="11"/>
  <c r="T168" i="11"/>
  <c r="T169" i="11"/>
  <c r="T170" i="11"/>
  <c r="T171" i="11"/>
  <c r="T172" i="11"/>
  <c r="T173" i="11"/>
  <c r="T174" i="11"/>
  <c r="T175" i="11"/>
  <c r="T176" i="11"/>
  <c r="T177" i="11"/>
  <c r="T178" i="11"/>
  <c r="T179" i="11"/>
  <c r="T180" i="11"/>
  <c r="T181" i="11"/>
  <c r="T182" i="11"/>
  <c r="T183" i="11"/>
  <c r="T184" i="11"/>
  <c r="T185" i="11"/>
  <c r="T186" i="11"/>
  <c r="T187" i="11"/>
  <c r="T188" i="11"/>
  <c r="T189" i="11"/>
  <c r="T190" i="11"/>
  <c r="T191" i="11"/>
  <c r="T192" i="11"/>
  <c r="T193" i="11"/>
  <c r="T194" i="11"/>
  <c r="T195" i="11"/>
  <c r="T196" i="11"/>
  <c r="T197" i="11"/>
  <c r="T198" i="11"/>
  <c r="T199" i="11"/>
  <c r="T200" i="11"/>
  <c r="T201" i="11"/>
  <c r="T202" i="11"/>
  <c r="T203" i="11"/>
  <c r="T204" i="11"/>
  <c r="T205" i="11"/>
  <c r="T206" i="11"/>
  <c r="T207" i="11"/>
  <c r="T208" i="11"/>
  <c r="T209" i="11"/>
  <c r="T210" i="11"/>
  <c r="T211" i="11"/>
  <c r="T212" i="11"/>
  <c r="T213" i="11"/>
  <c r="T214" i="11"/>
  <c r="T215" i="11"/>
  <c r="T216" i="11"/>
  <c r="T217" i="11"/>
  <c r="T218" i="11"/>
  <c r="T219" i="11"/>
  <c r="T220" i="11"/>
  <c r="T221" i="11"/>
  <c r="T222" i="11"/>
  <c r="T223" i="11"/>
  <c r="T224" i="11"/>
  <c r="T225" i="11"/>
  <c r="T226" i="11"/>
  <c r="T227" i="11"/>
  <c r="T228" i="11"/>
  <c r="T229" i="11"/>
  <c r="T230" i="11"/>
  <c r="T231" i="11"/>
  <c r="T232" i="11"/>
  <c r="T233" i="11"/>
  <c r="T234" i="11"/>
  <c r="T235" i="11"/>
  <c r="T236" i="11"/>
  <c r="T237" i="11"/>
  <c r="T238" i="11"/>
  <c r="T239" i="11"/>
  <c r="T240" i="11"/>
  <c r="T241" i="11"/>
  <c r="T242" i="11"/>
  <c r="T243" i="11"/>
  <c r="T244" i="11"/>
  <c r="T245" i="11"/>
  <c r="T246" i="11"/>
  <c r="T247" i="11"/>
  <c r="T248" i="11"/>
  <c r="T249" i="11"/>
  <c r="T250" i="11"/>
  <c r="T251" i="11"/>
  <c r="T252" i="11"/>
  <c r="T253" i="11"/>
  <c r="T254" i="11"/>
  <c r="T255" i="11"/>
  <c r="T256" i="11"/>
  <c r="T257" i="11"/>
  <c r="T258" i="11"/>
  <c r="T259" i="11"/>
  <c r="T260" i="11"/>
  <c r="T261" i="11"/>
  <c r="T262" i="11"/>
  <c r="T263" i="11"/>
  <c r="T264" i="11"/>
  <c r="T265" i="11"/>
  <c r="T266" i="11"/>
  <c r="T267" i="11"/>
  <c r="T268" i="11"/>
  <c r="T269" i="11"/>
  <c r="T270" i="11"/>
  <c r="T271" i="11"/>
  <c r="T272" i="11"/>
  <c r="T273" i="11"/>
  <c r="T274" i="11"/>
  <c r="T275" i="11"/>
  <c r="T276" i="11"/>
  <c r="T277" i="11"/>
  <c r="T278" i="11"/>
  <c r="T279" i="11"/>
  <c r="T280" i="11"/>
  <c r="T281" i="11"/>
  <c r="T282" i="11"/>
  <c r="T283" i="11"/>
  <c r="T284" i="11"/>
  <c r="T285" i="11"/>
  <c r="T286" i="11"/>
  <c r="T287" i="11"/>
  <c r="T288" i="11"/>
  <c r="T289" i="11"/>
  <c r="T290" i="11"/>
  <c r="T291" i="11"/>
  <c r="T292" i="11"/>
  <c r="T293" i="11"/>
  <c r="T294" i="11"/>
  <c r="T295" i="11"/>
  <c r="T296" i="11"/>
  <c r="T297" i="11"/>
  <c r="T298" i="11"/>
  <c r="T299" i="11"/>
  <c r="T300" i="11"/>
  <c r="T301" i="11"/>
  <c r="T302" i="11"/>
  <c r="T303" i="11"/>
  <c r="T304" i="11"/>
  <c r="T305" i="11"/>
  <c r="T306" i="11"/>
  <c r="T307" i="11"/>
  <c r="T308" i="11"/>
  <c r="T309" i="11"/>
  <c r="T310" i="11"/>
  <c r="T311" i="11"/>
  <c r="T312" i="11"/>
  <c r="T313" i="11"/>
  <c r="T314" i="11"/>
  <c r="T315" i="11"/>
  <c r="T316" i="11"/>
  <c r="T317" i="11"/>
  <c r="T318" i="11"/>
  <c r="T319" i="11"/>
  <c r="T320" i="11"/>
  <c r="T321" i="11"/>
  <c r="T322" i="11"/>
  <c r="T323" i="11"/>
  <c r="T324" i="11"/>
  <c r="T325" i="11"/>
  <c r="T326" i="11"/>
  <c r="T327" i="11"/>
  <c r="T328" i="11"/>
  <c r="T329" i="11"/>
  <c r="T330" i="11"/>
  <c r="T331" i="11"/>
  <c r="T332" i="11"/>
  <c r="T333" i="11"/>
  <c r="T334" i="11"/>
  <c r="T335" i="11"/>
  <c r="T336" i="11"/>
  <c r="T337" i="11"/>
  <c r="T338" i="11"/>
  <c r="T339" i="11"/>
  <c r="T340" i="11"/>
  <c r="T341" i="11"/>
  <c r="T342" i="11"/>
  <c r="T343" i="11"/>
  <c r="T344" i="11"/>
  <c r="T345" i="11"/>
  <c r="T346" i="11"/>
  <c r="T347" i="11"/>
  <c r="T348" i="11"/>
  <c r="T349" i="11"/>
  <c r="T350" i="11"/>
  <c r="T351" i="11"/>
  <c r="T352" i="11"/>
  <c r="T353" i="11"/>
  <c r="T354" i="11"/>
  <c r="T355" i="11"/>
  <c r="T356" i="11"/>
  <c r="T357" i="11"/>
  <c r="T358" i="11"/>
  <c r="T359" i="11"/>
  <c r="T360" i="11"/>
  <c r="T361" i="11"/>
  <c r="T362" i="11"/>
  <c r="T363" i="11"/>
  <c r="T364" i="11"/>
  <c r="T365" i="11"/>
  <c r="T366" i="11"/>
  <c r="T367" i="11"/>
  <c r="T368" i="11"/>
  <c r="T369" i="11"/>
  <c r="T370" i="11"/>
  <c r="T371" i="11"/>
  <c r="T372" i="11"/>
  <c r="T373" i="11"/>
  <c r="T374" i="11"/>
  <c r="T375" i="11"/>
  <c r="T376" i="11"/>
  <c r="T377" i="11"/>
  <c r="T378" i="11"/>
  <c r="T379" i="11"/>
  <c r="T380" i="11"/>
  <c r="T381" i="11"/>
  <c r="T382" i="11"/>
  <c r="T383" i="11"/>
  <c r="T384" i="11"/>
  <c r="T385" i="11"/>
  <c r="T386" i="11"/>
  <c r="T387" i="11"/>
  <c r="T388" i="11"/>
  <c r="T389" i="11"/>
  <c r="T390" i="11"/>
  <c r="T391" i="11"/>
  <c r="T392" i="11"/>
  <c r="T393" i="11"/>
  <c r="T394" i="11"/>
  <c r="T395" i="11"/>
  <c r="T396" i="11"/>
  <c r="T397" i="11"/>
  <c r="T398" i="11"/>
  <c r="T399" i="11"/>
  <c r="T400" i="11"/>
  <c r="T401" i="11"/>
  <c r="T402" i="11"/>
  <c r="T403" i="11"/>
  <c r="T404" i="11"/>
  <c r="T405" i="11"/>
  <c r="T406" i="11"/>
  <c r="T407" i="11"/>
  <c r="T408" i="11"/>
  <c r="T409" i="11"/>
  <c r="T410" i="11"/>
  <c r="T411" i="11"/>
  <c r="T412" i="11"/>
  <c r="T413" i="11"/>
  <c r="T414" i="11"/>
  <c r="T415" i="11"/>
  <c r="T416" i="11"/>
  <c r="T417" i="11"/>
  <c r="T418" i="11"/>
  <c r="T419" i="11"/>
  <c r="T420" i="11"/>
  <c r="T421" i="11"/>
  <c r="T422" i="11"/>
  <c r="T423" i="11"/>
  <c r="T424" i="11"/>
  <c r="T425" i="11"/>
  <c r="T426" i="11"/>
  <c r="T427" i="11"/>
  <c r="T428" i="11"/>
  <c r="T429" i="11"/>
  <c r="T430" i="11"/>
  <c r="T431" i="11"/>
  <c r="T432" i="11"/>
  <c r="T433" i="11"/>
  <c r="T434" i="11"/>
  <c r="T435" i="11"/>
  <c r="T436" i="11"/>
  <c r="T437" i="11"/>
  <c r="T438" i="11"/>
  <c r="T439" i="11"/>
  <c r="T440" i="11"/>
  <c r="T441" i="11"/>
  <c r="T442" i="11"/>
  <c r="T443" i="11"/>
  <c r="T444" i="11"/>
  <c r="T445" i="11"/>
  <c r="T446" i="11"/>
  <c r="T447" i="11"/>
  <c r="T448" i="11"/>
  <c r="T449" i="11"/>
  <c r="T450" i="11"/>
  <c r="T451" i="11"/>
  <c r="T452" i="11"/>
  <c r="T453" i="11"/>
  <c r="T454" i="11"/>
  <c r="T455" i="11"/>
  <c r="T456" i="11"/>
  <c r="T457" i="11"/>
  <c r="T458" i="11"/>
  <c r="T459" i="11"/>
  <c r="T460" i="11"/>
  <c r="T461" i="11"/>
  <c r="T462" i="11"/>
  <c r="T463" i="11"/>
  <c r="T464" i="11"/>
  <c r="T465" i="11"/>
  <c r="T466" i="11"/>
  <c r="T467" i="11"/>
  <c r="T468" i="11"/>
  <c r="T469" i="11"/>
  <c r="T470" i="11"/>
  <c r="T471" i="11"/>
  <c r="T472" i="11"/>
  <c r="T473" i="11"/>
  <c r="T474" i="11"/>
  <c r="T475" i="11"/>
  <c r="T476" i="11"/>
  <c r="T477" i="11"/>
  <c r="T478" i="11"/>
  <c r="T479" i="11"/>
  <c r="T480" i="11"/>
  <c r="T481" i="11"/>
  <c r="T482" i="11"/>
  <c r="T483" i="11"/>
  <c r="T484" i="11"/>
  <c r="T485" i="11"/>
  <c r="T486" i="11"/>
  <c r="T487" i="11"/>
  <c r="T488" i="11"/>
  <c r="T489" i="11"/>
  <c r="T490" i="11"/>
  <c r="T491" i="11"/>
  <c r="T492" i="11"/>
  <c r="T493" i="11"/>
  <c r="T494" i="11"/>
  <c r="T495" i="11"/>
  <c r="T496" i="11"/>
  <c r="T497" i="11"/>
  <c r="T498" i="11"/>
  <c r="T499" i="11"/>
  <c r="T500" i="11"/>
  <c r="T501" i="11"/>
  <c r="T502" i="11"/>
  <c r="T503" i="11"/>
  <c r="T504" i="11"/>
  <c r="T505" i="11"/>
  <c r="T506" i="11"/>
  <c r="T507" i="11"/>
  <c r="T508" i="11"/>
  <c r="T509" i="11"/>
  <c r="T510" i="11"/>
  <c r="T511" i="11"/>
  <c r="T512" i="11"/>
  <c r="T513" i="11"/>
  <c r="T514" i="11"/>
  <c r="T515" i="11"/>
  <c r="T516" i="11"/>
  <c r="T517" i="11"/>
  <c r="T518" i="11"/>
  <c r="T519" i="11"/>
  <c r="T520" i="11"/>
  <c r="T521" i="11"/>
  <c r="T522" i="11"/>
  <c r="T523" i="11"/>
  <c r="T524" i="11"/>
  <c r="T525" i="11"/>
  <c r="T526" i="11"/>
  <c r="T527" i="11"/>
  <c r="T528" i="11"/>
  <c r="T529" i="11"/>
  <c r="T530" i="11"/>
  <c r="T531" i="11"/>
  <c r="T532" i="11"/>
  <c r="T533" i="11"/>
  <c r="T534" i="11"/>
  <c r="T535" i="11"/>
  <c r="T536" i="11"/>
  <c r="T537" i="11"/>
  <c r="T538" i="11"/>
  <c r="T539" i="11"/>
  <c r="T540" i="11"/>
  <c r="T541" i="11"/>
  <c r="T542" i="11"/>
  <c r="T543" i="11"/>
  <c r="T544" i="11"/>
  <c r="T545" i="11"/>
  <c r="T546" i="11"/>
  <c r="T547" i="11"/>
  <c r="T548" i="11"/>
  <c r="T549" i="11"/>
  <c r="T550" i="11"/>
  <c r="T551" i="11"/>
  <c r="T552" i="11"/>
  <c r="T553" i="11"/>
  <c r="T554" i="11"/>
  <c r="T555" i="11"/>
  <c r="T556" i="11"/>
  <c r="T557" i="11"/>
  <c r="T558" i="11"/>
  <c r="T559" i="11"/>
  <c r="T560" i="11"/>
  <c r="T561" i="11"/>
  <c r="T562" i="11"/>
  <c r="T563" i="11"/>
  <c r="T564" i="11"/>
  <c r="T565" i="11"/>
  <c r="T566" i="11"/>
  <c r="T567" i="11"/>
  <c r="T568" i="11"/>
  <c r="T569" i="11"/>
  <c r="T570" i="11"/>
  <c r="T571" i="11"/>
  <c r="T572" i="11"/>
  <c r="T573" i="11"/>
  <c r="T574" i="11"/>
  <c r="T575" i="11"/>
  <c r="T576" i="11"/>
  <c r="T577" i="11"/>
  <c r="T578" i="11"/>
  <c r="T579" i="11"/>
  <c r="T580" i="11"/>
  <c r="T581" i="11"/>
  <c r="T582" i="11"/>
  <c r="T583" i="11"/>
  <c r="T584" i="11"/>
  <c r="T585" i="11"/>
  <c r="T586" i="11"/>
  <c r="T587" i="11"/>
  <c r="T588" i="11"/>
  <c r="T589" i="11"/>
  <c r="T590" i="11"/>
  <c r="T591" i="11"/>
  <c r="T592" i="11"/>
  <c r="T593" i="11"/>
  <c r="T594" i="11"/>
  <c r="T595" i="11"/>
  <c r="T596" i="11"/>
  <c r="T597" i="11"/>
  <c r="T598" i="11"/>
  <c r="T599" i="11"/>
  <c r="T600" i="11"/>
  <c r="T601" i="11"/>
  <c r="T602" i="11"/>
  <c r="T603" i="11"/>
  <c r="T604" i="11"/>
  <c r="T605" i="11"/>
  <c r="T606" i="11"/>
  <c r="T607" i="11"/>
  <c r="T608" i="11"/>
  <c r="T609" i="11"/>
  <c r="T610" i="11"/>
  <c r="T611" i="11"/>
  <c r="T612" i="11"/>
  <c r="T613" i="11"/>
  <c r="T614" i="11"/>
  <c r="T615" i="11"/>
  <c r="T616" i="11"/>
  <c r="T617" i="11"/>
  <c r="T618" i="11"/>
  <c r="T619" i="11"/>
  <c r="T620" i="11"/>
  <c r="T621" i="11"/>
  <c r="T622" i="11"/>
  <c r="T623" i="11"/>
  <c r="T624" i="11"/>
  <c r="T625" i="11"/>
  <c r="T626" i="11"/>
  <c r="T627" i="11"/>
  <c r="T628" i="11"/>
  <c r="T629" i="11"/>
  <c r="T630" i="11"/>
  <c r="T631" i="11"/>
  <c r="T632" i="11"/>
  <c r="T633" i="11"/>
  <c r="T634" i="11"/>
  <c r="T635" i="11"/>
  <c r="T636" i="11"/>
  <c r="T637" i="11"/>
  <c r="T638" i="11"/>
  <c r="T639" i="11"/>
  <c r="T640" i="11"/>
  <c r="T641" i="11"/>
  <c r="T642" i="11"/>
  <c r="T643" i="11"/>
  <c r="T644" i="11"/>
  <c r="T645" i="11"/>
  <c r="T646" i="11"/>
  <c r="T647" i="11"/>
  <c r="T648" i="11"/>
  <c r="T649" i="11"/>
  <c r="T650" i="11"/>
  <c r="T651" i="11"/>
  <c r="T652" i="11"/>
  <c r="T653" i="11"/>
  <c r="T654" i="11"/>
  <c r="T655" i="11"/>
  <c r="T656" i="11"/>
  <c r="T657" i="11"/>
  <c r="T658" i="11"/>
  <c r="T659" i="11"/>
  <c r="T660" i="11"/>
  <c r="T661" i="11"/>
  <c r="T662" i="11"/>
  <c r="T663" i="11"/>
  <c r="T664" i="11"/>
  <c r="T665" i="11"/>
  <c r="T666" i="11"/>
  <c r="T667" i="11"/>
  <c r="T668" i="11"/>
  <c r="T669" i="11"/>
  <c r="T670" i="11"/>
  <c r="T671" i="11"/>
  <c r="T672" i="11"/>
  <c r="T673" i="11"/>
  <c r="T674" i="11"/>
  <c r="T675" i="11"/>
  <c r="T676" i="11"/>
  <c r="T677" i="11"/>
  <c r="T678" i="11"/>
  <c r="T679" i="11"/>
  <c r="T680" i="11"/>
  <c r="T681" i="11"/>
  <c r="T682" i="11"/>
  <c r="T683" i="11"/>
  <c r="T684" i="11"/>
  <c r="T685" i="11"/>
  <c r="T686" i="11"/>
  <c r="T687" i="11"/>
  <c r="T688" i="11"/>
  <c r="T689" i="11"/>
  <c r="T690" i="11"/>
  <c r="T691" i="11"/>
  <c r="T692" i="11"/>
  <c r="T693" i="11"/>
  <c r="T694" i="11"/>
  <c r="T695" i="11"/>
  <c r="T696" i="11"/>
  <c r="T697" i="11"/>
  <c r="T698" i="11"/>
  <c r="T699" i="11"/>
  <c r="T700" i="11"/>
  <c r="T701" i="11"/>
  <c r="T702" i="11"/>
  <c r="T703" i="11"/>
  <c r="T704" i="11"/>
  <c r="T705" i="11"/>
  <c r="T706" i="11"/>
  <c r="T707" i="11"/>
  <c r="T708" i="11"/>
  <c r="T709" i="11"/>
  <c r="T710" i="11"/>
  <c r="T711" i="11"/>
  <c r="T712" i="11"/>
  <c r="T713" i="11"/>
  <c r="T714" i="11"/>
  <c r="T715" i="11"/>
  <c r="T716" i="11"/>
  <c r="T717" i="11"/>
  <c r="T718" i="11"/>
  <c r="T719" i="11"/>
  <c r="T720" i="11"/>
  <c r="T721" i="11"/>
  <c r="T722" i="11"/>
  <c r="T723" i="11"/>
  <c r="T724" i="11"/>
  <c r="T725" i="11"/>
  <c r="T726" i="11"/>
  <c r="T727" i="11"/>
  <c r="T728" i="11"/>
  <c r="T729" i="11"/>
  <c r="T730" i="11"/>
  <c r="T731" i="11"/>
  <c r="T732" i="11"/>
  <c r="T733" i="11"/>
  <c r="T734" i="11"/>
  <c r="T735" i="11"/>
  <c r="T736" i="11"/>
  <c r="T737" i="11"/>
  <c r="T738" i="11"/>
  <c r="T739" i="11"/>
  <c r="T740" i="11"/>
  <c r="T741" i="11"/>
  <c r="T742" i="11"/>
  <c r="T743" i="11"/>
  <c r="T744" i="11"/>
  <c r="T745" i="11"/>
  <c r="T746" i="11"/>
  <c r="T747" i="11"/>
  <c r="T748" i="11"/>
  <c r="T749" i="11"/>
  <c r="T750" i="11"/>
  <c r="T751" i="11"/>
  <c r="T752" i="11"/>
  <c r="T753" i="11"/>
  <c r="T754" i="11"/>
  <c r="T755" i="11"/>
  <c r="T756" i="11"/>
  <c r="T757" i="11"/>
  <c r="T758" i="11"/>
  <c r="T759" i="11"/>
  <c r="T760" i="11"/>
  <c r="T761" i="11"/>
  <c r="T762" i="11"/>
  <c r="T763" i="11"/>
  <c r="T764" i="11"/>
  <c r="T765" i="11"/>
  <c r="T766" i="11"/>
  <c r="T767" i="11"/>
  <c r="T768" i="11"/>
  <c r="T769" i="11"/>
  <c r="T770" i="11"/>
  <c r="T771" i="11"/>
  <c r="T772" i="11"/>
  <c r="T773" i="11"/>
  <c r="T774" i="11"/>
  <c r="T775" i="11"/>
  <c r="T776" i="11"/>
  <c r="T777" i="11"/>
  <c r="T778" i="11"/>
  <c r="T779" i="11"/>
  <c r="T780" i="11"/>
  <c r="T781" i="11"/>
  <c r="T782" i="11"/>
  <c r="T783" i="11"/>
  <c r="T784" i="11"/>
  <c r="T785" i="11"/>
  <c r="T786" i="11"/>
  <c r="T787" i="11"/>
  <c r="T788" i="11"/>
  <c r="T789" i="11"/>
  <c r="T790" i="11"/>
  <c r="T791" i="11"/>
  <c r="T792" i="11"/>
  <c r="T793" i="11"/>
  <c r="T794" i="11"/>
  <c r="T795" i="11"/>
  <c r="T796" i="11"/>
  <c r="T797" i="11"/>
  <c r="T798" i="11"/>
  <c r="T799" i="11"/>
  <c r="T800" i="11"/>
  <c r="T801" i="11"/>
  <c r="T802" i="11"/>
  <c r="T803" i="11"/>
  <c r="T804" i="11"/>
  <c r="T805" i="11"/>
  <c r="T806" i="11"/>
  <c r="T807" i="11"/>
  <c r="T808" i="11"/>
  <c r="T809" i="11"/>
  <c r="T810" i="11"/>
  <c r="T811" i="11"/>
  <c r="T812" i="11"/>
  <c r="T813" i="11"/>
  <c r="T814" i="11"/>
  <c r="T815" i="11"/>
  <c r="T816" i="11"/>
  <c r="T817" i="11"/>
  <c r="T818" i="11"/>
  <c r="T819" i="11"/>
  <c r="T820" i="11"/>
  <c r="T821" i="11"/>
  <c r="T822" i="11"/>
  <c r="T823" i="11"/>
  <c r="T824" i="11"/>
  <c r="T825" i="11"/>
  <c r="T826" i="11"/>
  <c r="T827" i="11"/>
  <c r="T828" i="11"/>
  <c r="T829" i="11"/>
  <c r="T830" i="11"/>
  <c r="T831" i="11"/>
  <c r="T832" i="11"/>
  <c r="T833" i="11"/>
  <c r="T834" i="11"/>
  <c r="T835" i="11"/>
  <c r="T836" i="11"/>
  <c r="T837" i="11"/>
  <c r="T838" i="11"/>
  <c r="T839" i="11"/>
  <c r="T840" i="11"/>
  <c r="T841" i="11"/>
  <c r="T842" i="11"/>
  <c r="T843" i="11"/>
  <c r="T844" i="11"/>
  <c r="T845" i="11"/>
  <c r="T846" i="11"/>
  <c r="T847" i="11"/>
  <c r="T848" i="11"/>
  <c r="T849" i="11"/>
  <c r="T850" i="11"/>
  <c r="T851" i="11"/>
  <c r="T852" i="11"/>
  <c r="T853" i="11"/>
  <c r="T854" i="11"/>
  <c r="T855" i="11"/>
  <c r="T856" i="11"/>
  <c r="T857" i="11"/>
  <c r="T858" i="11"/>
  <c r="T859" i="11"/>
  <c r="T860" i="11"/>
  <c r="T861" i="11"/>
  <c r="T862" i="11"/>
  <c r="T863" i="11"/>
  <c r="T864" i="11"/>
  <c r="T865" i="11"/>
  <c r="T866" i="11"/>
  <c r="T867" i="11"/>
  <c r="T868" i="11"/>
  <c r="T869" i="11"/>
  <c r="T870" i="11"/>
  <c r="T871" i="11"/>
  <c r="T872" i="11"/>
  <c r="T873" i="11"/>
  <c r="T874" i="11"/>
  <c r="T875" i="11"/>
  <c r="T876" i="11"/>
  <c r="T877" i="11"/>
  <c r="T878" i="11"/>
  <c r="T879" i="11"/>
  <c r="T880" i="11"/>
  <c r="T881" i="11"/>
  <c r="T882" i="11"/>
  <c r="T883" i="11"/>
  <c r="T884" i="11"/>
  <c r="T885" i="11"/>
  <c r="T886" i="11"/>
  <c r="T887" i="11"/>
  <c r="T888" i="11"/>
  <c r="T889" i="11"/>
  <c r="T890" i="11"/>
  <c r="T891" i="11"/>
  <c r="T892" i="11"/>
  <c r="T893" i="11"/>
  <c r="T894" i="11"/>
  <c r="T895" i="11"/>
  <c r="T896" i="11"/>
  <c r="T897" i="11"/>
  <c r="T898" i="11"/>
  <c r="T899" i="11"/>
  <c r="T900" i="11"/>
  <c r="T901" i="11"/>
  <c r="T902" i="11"/>
  <c r="T903" i="11"/>
  <c r="T904" i="11"/>
  <c r="T905" i="11"/>
  <c r="T906" i="11"/>
  <c r="T907" i="11"/>
  <c r="T908" i="11"/>
  <c r="T909" i="11"/>
  <c r="T910" i="11"/>
  <c r="T911" i="11"/>
  <c r="T912" i="11"/>
  <c r="T913" i="11"/>
  <c r="T914" i="11"/>
  <c r="T915" i="11"/>
  <c r="T916" i="11"/>
  <c r="T917" i="11"/>
  <c r="T918" i="11"/>
  <c r="T919" i="11"/>
  <c r="T920" i="11"/>
  <c r="T921" i="11"/>
  <c r="T922" i="11"/>
  <c r="T923" i="11"/>
  <c r="T924" i="11"/>
  <c r="T925" i="11"/>
  <c r="T926" i="11"/>
  <c r="T927" i="11"/>
  <c r="T928" i="11"/>
  <c r="T929" i="11"/>
  <c r="T930" i="11"/>
  <c r="T931" i="11"/>
  <c r="T932" i="11"/>
  <c r="T933" i="11"/>
  <c r="T934" i="11"/>
  <c r="T935" i="11"/>
  <c r="T936" i="11"/>
  <c r="T937" i="11"/>
  <c r="T938" i="11"/>
  <c r="T939" i="11"/>
  <c r="T940" i="11"/>
  <c r="T941" i="11"/>
  <c r="T942" i="11"/>
  <c r="T943" i="11"/>
  <c r="T944" i="11"/>
  <c r="T945" i="11"/>
  <c r="T946" i="11"/>
  <c r="T947" i="11"/>
  <c r="T948" i="11"/>
  <c r="T949" i="11"/>
  <c r="T950" i="11"/>
  <c r="T951" i="11"/>
  <c r="T952" i="11"/>
  <c r="T953" i="11"/>
  <c r="T954" i="11"/>
  <c r="T955" i="11"/>
  <c r="T956" i="11"/>
  <c r="T957" i="11"/>
  <c r="T958" i="11"/>
  <c r="T959" i="11"/>
  <c r="T960" i="11"/>
  <c r="T961" i="11"/>
  <c r="T962" i="11"/>
  <c r="T963" i="11"/>
  <c r="T964" i="11"/>
  <c r="T965" i="11"/>
  <c r="T966" i="11"/>
  <c r="T967" i="11"/>
  <c r="T968" i="11"/>
  <c r="T969" i="11"/>
  <c r="T970" i="11"/>
  <c r="T971" i="11"/>
  <c r="T972" i="11"/>
  <c r="T973" i="11"/>
  <c r="T974" i="11"/>
  <c r="T975" i="11"/>
  <c r="T976" i="11"/>
  <c r="T977" i="11"/>
  <c r="T978" i="11"/>
  <c r="T979" i="11"/>
  <c r="T980" i="11"/>
  <c r="T981" i="11"/>
  <c r="T982" i="11"/>
  <c r="T983" i="11"/>
  <c r="T984" i="11"/>
  <c r="T985" i="11"/>
  <c r="T986" i="11"/>
  <c r="T987" i="11"/>
  <c r="T988" i="11"/>
  <c r="T989" i="11"/>
  <c r="T990" i="11"/>
  <c r="T991" i="11"/>
  <c r="T992" i="11"/>
  <c r="T993" i="11"/>
  <c r="T994" i="11"/>
  <c r="T995" i="11"/>
  <c r="T996" i="11"/>
  <c r="T997" i="11"/>
  <c r="T998" i="11"/>
  <c r="T999" i="11"/>
  <c r="T1000" i="11"/>
  <c r="T1001" i="1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K4" i="2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114" i="11"/>
  <c r="R115" i="11"/>
  <c r="R116" i="11"/>
  <c r="R117" i="11"/>
  <c r="R118" i="11"/>
  <c r="R119" i="11"/>
  <c r="R120" i="11"/>
  <c r="R121" i="11"/>
  <c r="R122" i="11"/>
  <c r="R123" i="11"/>
  <c r="R124" i="11"/>
  <c r="R125" i="11"/>
  <c r="R126" i="11"/>
  <c r="R127" i="11"/>
  <c r="R128" i="11"/>
  <c r="R129" i="11"/>
  <c r="R130" i="11"/>
  <c r="R131" i="11"/>
  <c r="R132" i="11"/>
  <c r="R133" i="11"/>
  <c r="R134" i="11"/>
  <c r="R135" i="11"/>
  <c r="R136" i="11"/>
  <c r="R137" i="11"/>
  <c r="R138" i="11"/>
  <c r="R139" i="11"/>
  <c r="R140" i="11"/>
  <c r="R141" i="11"/>
  <c r="R142" i="11"/>
  <c r="R143" i="11"/>
  <c r="R144" i="11"/>
  <c r="R145" i="11"/>
  <c r="R146" i="11"/>
  <c r="R147" i="11"/>
  <c r="R148" i="11"/>
  <c r="R149" i="11"/>
  <c r="R150" i="11"/>
  <c r="R151" i="11"/>
  <c r="R152" i="11"/>
  <c r="R153" i="11"/>
  <c r="R154" i="11"/>
  <c r="R155" i="11"/>
  <c r="R156" i="11"/>
  <c r="R157" i="11"/>
  <c r="R158" i="11"/>
  <c r="R159" i="11"/>
  <c r="R160" i="11"/>
  <c r="R161" i="11"/>
  <c r="R162" i="11"/>
  <c r="R163" i="11"/>
  <c r="R164" i="11"/>
  <c r="R165" i="11"/>
  <c r="R166" i="11"/>
  <c r="R167" i="11"/>
  <c r="R168" i="11"/>
  <c r="R169" i="11"/>
  <c r="R170" i="11"/>
  <c r="R171" i="11"/>
  <c r="R172" i="11"/>
  <c r="R173" i="11"/>
  <c r="R174" i="11"/>
  <c r="R175" i="11"/>
  <c r="R176" i="11"/>
  <c r="R177" i="11"/>
  <c r="R178" i="11"/>
  <c r="R179" i="11"/>
  <c r="R180" i="11"/>
  <c r="R181" i="11"/>
  <c r="R182" i="11"/>
  <c r="R183" i="11"/>
  <c r="R184" i="11"/>
  <c r="R185" i="11"/>
  <c r="R186" i="11"/>
  <c r="R187" i="11"/>
  <c r="R188" i="11"/>
  <c r="R189" i="11"/>
  <c r="R190" i="11"/>
  <c r="R191" i="11"/>
  <c r="R192" i="11"/>
  <c r="R193" i="11"/>
  <c r="R194" i="11"/>
  <c r="R195" i="11"/>
  <c r="R196" i="11"/>
  <c r="R197" i="11"/>
  <c r="R198" i="11"/>
  <c r="R199" i="11"/>
  <c r="R200" i="11"/>
  <c r="R201" i="11"/>
  <c r="R202" i="11"/>
  <c r="R203" i="11"/>
  <c r="R204" i="11"/>
  <c r="R205" i="11"/>
  <c r="R206" i="11"/>
  <c r="R207" i="11"/>
  <c r="R208" i="11"/>
  <c r="R209" i="11"/>
  <c r="R210" i="11"/>
  <c r="R211" i="11"/>
  <c r="R212" i="11"/>
  <c r="R213" i="11"/>
  <c r="R214" i="11"/>
  <c r="R215" i="11"/>
  <c r="R216" i="11"/>
  <c r="R217" i="11"/>
  <c r="R218" i="11"/>
  <c r="R219" i="11"/>
  <c r="R220" i="11"/>
  <c r="R221" i="11"/>
  <c r="R222" i="11"/>
  <c r="R223" i="11"/>
  <c r="R224" i="11"/>
  <c r="R225" i="11"/>
  <c r="R226" i="11"/>
  <c r="R227" i="11"/>
  <c r="R228" i="11"/>
  <c r="R229" i="11"/>
  <c r="R230" i="11"/>
  <c r="R231" i="11"/>
  <c r="R232" i="11"/>
  <c r="R233" i="11"/>
  <c r="R234" i="11"/>
  <c r="R235" i="11"/>
  <c r="R236" i="11"/>
  <c r="R237" i="11"/>
  <c r="R238" i="11"/>
  <c r="R239" i="11"/>
  <c r="R240" i="11"/>
  <c r="R241" i="11"/>
  <c r="R242" i="11"/>
  <c r="R243" i="11"/>
  <c r="R244" i="11"/>
  <c r="R245" i="11"/>
  <c r="R246" i="11"/>
  <c r="R247" i="11"/>
  <c r="R248" i="11"/>
  <c r="R249" i="11"/>
  <c r="R250" i="11"/>
  <c r="R251" i="11"/>
  <c r="R252" i="11"/>
  <c r="R253" i="11"/>
  <c r="R254" i="11"/>
  <c r="R255" i="11"/>
  <c r="R256" i="11"/>
  <c r="R257" i="11"/>
  <c r="R258" i="11"/>
  <c r="R259" i="11"/>
  <c r="R260" i="11"/>
  <c r="R261" i="11"/>
  <c r="R262" i="11"/>
  <c r="R263" i="11"/>
  <c r="R264" i="11"/>
  <c r="R265" i="11"/>
  <c r="R266" i="11"/>
  <c r="R267" i="11"/>
  <c r="R268" i="11"/>
  <c r="R269" i="11"/>
  <c r="R270" i="11"/>
  <c r="R271" i="11"/>
  <c r="R272" i="11"/>
  <c r="R273" i="11"/>
  <c r="R274" i="11"/>
  <c r="R275" i="11"/>
  <c r="R276" i="11"/>
  <c r="R277" i="11"/>
  <c r="R278" i="11"/>
  <c r="R279" i="11"/>
  <c r="R280" i="11"/>
  <c r="R281" i="11"/>
  <c r="R282" i="11"/>
  <c r="R283" i="11"/>
  <c r="R284" i="11"/>
  <c r="R285" i="11"/>
  <c r="R286" i="11"/>
  <c r="R287" i="11"/>
  <c r="R288" i="11"/>
  <c r="R289" i="11"/>
  <c r="R290" i="11"/>
  <c r="R291" i="11"/>
  <c r="R292" i="11"/>
  <c r="R293" i="11"/>
  <c r="R294" i="11"/>
  <c r="R295" i="11"/>
  <c r="R296" i="11"/>
  <c r="R297" i="11"/>
  <c r="R298" i="11"/>
  <c r="R299" i="11"/>
  <c r="R300" i="11"/>
  <c r="R301" i="11"/>
  <c r="R302" i="11"/>
  <c r="R303" i="11"/>
  <c r="R304" i="11"/>
  <c r="R305" i="11"/>
  <c r="R306" i="11"/>
  <c r="R307" i="11"/>
  <c r="R308" i="11"/>
  <c r="R309" i="11"/>
  <c r="R310" i="11"/>
  <c r="R311" i="11"/>
  <c r="R312" i="11"/>
  <c r="R313" i="11"/>
  <c r="R314" i="11"/>
  <c r="R315" i="11"/>
  <c r="R316" i="11"/>
  <c r="R317" i="11"/>
  <c r="R318" i="11"/>
  <c r="R319" i="11"/>
  <c r="R320" i="11"/>
  <c r="R321" i="11"/>
  <c r="R322" i="11"/>
  <c r="R323" i="11"/>
  <c r="R324" i="11"/>
  <c r="R325" i="11"/>
  <c r="R326" i="11"/>
  <c r="R327" i="11"/>
  <c r="R328" i="11"/>
  <c r="R329" i="11"/>
  <c r="R330" i="11"/>
  <c r="R331" i="11"/>
  <c r="R332" i="11"/>
  <c r="R333" i="11"/>
  <c r="R334" i="11"/>
  <c r="R335" i="11"/>
  <c r="R336" i="11"/>
  <c r="R337" i="11"/>
  <c r="R338" i="11"/>
  <c r="R339" i="11"/>
  <c r="R340" i="11"/>
  <c r="R341" i="11"/>
  <c r="R342" i="11"/>
  <c r="R343" i="11"/>
  <c r="R344" i="11"/>
  <c r="R345" i="11"/>
  <c r="R346" i="11"/>
  <c r="R347" i="11"/>
  <c r="R348" i="11"/>
  <c r="R349" i="11"/>
  <c r="R350" i="11"/>
  <c r="R351" i="11"/>
  <c r="R352" i="11"/>
  <c r="R353" i="11"/>
  <c r="R354" i="11"/>
  <c r="R355" i="11"/>
  <c r="R356" i="11"/>
  <c r="R357" i="11"/>
  <c r="R358" i="11"/>
  <c r="R359" i="11"/>
  <c r="R360" i="11"/>
  <c r="R361" i="11"/>
  <c r="R362" i="11"/>
  <c r="R363" i="11"/>
  <c r="R364" i="11"/>
  <c r="R365" i="11"/>
  <c r="R366" i="11"/>
  <c r="R367" i="11"/>
  <c r="R368" i="11"/>
  <c r="R369" i="11"/>
  <c r="R370" i="11"/>
  <c r="R371" i="11"/>
  <c r="R372" i="11"/>
  <c r="R373" i="11"/>
  <c r="R374" i="11"/>
  <c r="R375" i="11"/>
  <c r="R376" i="11"/>
  <c r="R377" i="11"/>
  <c r="R378" i="11"/>
  <c r="R379" i="11"/>
  <c r="R380" i="11"/>
  <c r="R381" i="11"/>
  <c r="R382" i="11"/>
  <c r="R383" i="11"/>
  <c r="R384" i="11"/>
  <c r="R385" i="11"/>
  <c r="R386" i="11"/>
  <c r="R387" i="11"/>
  <c r="R388" i="11"/>
  <c r="R389" i="11"/>
  <c r="R390" i="11"/>
  <c r="R391" i="11"/>
  <c r="R392" i="11"/>
  <c r="R393" i="11"/>
  <c r="R394" i="11"/>
  <c r="R395" i="11"/>
  <c r="R396" i="11"/>
  <c r="R397" i="11"/>
  <c r="R398" i="11"/>
  <c r="R399" i="11"/>
  <c r="R400" i="11"/>
  <c r="R401" i="11"/>
  <c r="R402" i="11"/>
  <c r="R403" i="11"/>
  <c r="R404" i="11"/>
  <c r="R405" i="11"/>
  <c r="R406" i="11"/>
  <c r="R407" i="11"/>
  <c r="R408" i="11"/>
  <c r="R409" i="11"/>
  <c r="R410" i="11"/>
  <c r="R411" i="11"/>
  <c r="R412" i="11"/>
  <c r="R413" i="11"/>
  <c r="R414" i="11"/>
  <c r="R415" i="11"/>
  <c r="R416" i="11"/>
  <c r="R417" i="11"/>
  <c r="R418" i="11"/>
  <c r="R419" i="11"/>
  <c r="R420" i="11"/>
  <c r="R421" i="11"/>
  <c r="R422" i="11"/>
  <c r="R423" i="11"/>
  <c r="R424" i="11"/>
  <c r="R425" i="11"/>
  <c r="R426" i="11"/>
  <c r="R427" i="11"/>
  <c r="R428" i="11"/>
  <c r="R429" i="11"/>
  <c r="R430" i="11"/>
  <c r="R431" i="11"/>
  <c r="R432" i="11"/>
  <c r="R433" i="11"/>
  <c r="R434" i="11"/>
  <c r="R435" i="11"/>
  <c r="R436" i="11"/>
  <c r="R437" i="11"/>
  <c r="R438" i="11"/>
  <c r="R439" i="11"/>
  <c r="R440" i="11"/>
  <c r="R441" i="11"/>
  <c r="R442" i="11"/>
  <c r="R443" i="11"/>
  <c r="R444" i="11"/>
  <c r="R445" i="11"/>
  <c r="R446" i="11"/>
  <c r="R447" i="11"/>
  <c r="R448" i="11"/>
  <c r="R449" i="11"/>
  <c r="R450" i="11"/>
  <c r="R451" i="11"/>
  <c r="R452" i="11"/>
  <c r="R453" i="11"/>
  <c r="R454" i="11"/>
  <c r="R455" i="11"/>
  <c r="R456" i="11"/>
  <c r="R457" i="11"/>
  <c r="R458" i="11"/>
  <c r="R459" i="11"/>
  <c r="R460" i="11"/>
  <c r="R461" i="11"/>
  <c r="R462" i="11"/>
  <c r="R463" i="11"/>
  <c r="R464" i="11"/>
  <c r="R465" i="11"/>
  <c r="R466" i="11"/>
  <c r="R467" i="11"/>
  <c r="R468" i="11"/>
  <c r="R469" i="11"/>
  <c r="R470" i="11"/>
  <c r="R471" i="11"/>
  <c r="R472" i="11"/>
  <c r="R473" i="11"/>
  <c r="R474" i="11"/>
  <c r="R475" i="11"/>
  <c r="R476" i="11"/>
  <c r="R477" i="11"/>
  <c r="R478" i="11"/>
  <c r="R479" i="11"/>
  <c r="R480" i="11"/>
  <c r="R481" i="11"/>
  <c r="R482" i="11"/>
  <c r="R483" i="11"/>
  <c r="R484" i="11"/>
  <c r="R485" i="11"/>
  <c r="R486" i="11"/>
  <c r="R487" i="11"/>
  <c r="R488" i="11"/>
  <c r="R489" i="11"/>
  <c r="R490" i="11"/>
  <c r="R491" i="11"/>
  <c r="R492" i="11"/>
  <c r="R493" i="11"/>
  <c r="R494" i="11"/>
  <c r="R495" i="11"/>
  <c r="R496" i="11"/>
  <c r="R497" i="11"/>
  <c r="R498" i="11"/>
  <c r="R499" i="11"/>
  <c r="R500" i="11"/>
  <c r="R501" i="11"/>
  <c r="R502" i="11"/>
  <c r="R503" i="11"/>
  <c r="R504" i="11"/>
  <c r="R505" i="11"/>
  <c r="R506" i="11"/>
  <c r="R507" i="11"/>
  <c r="R508" i="11"/>
  <c r="R509" i="11"/>
  <c r="R510" i="11"/>
  <c r="R511" i="11"/>
  <c r="R512" i="11"/>
  <c r="R513" i="11"/>
  <c r="R514" i="11"/>
  <c r="R515" i="11"/>
  <c r="R516" i="11"/>
  <c r="R517" i="11"/>
  <c r="R518" i="11"/>
  <c r="R519" i="11"/>
  <c r="R520" i="11"/>
  <c r="R521" i="11"/>
  <c r="R522" i="11"/>
  <c r="R523" i="11"/>
  <c r="R524" i="11"/>
  <c r="R525" i="11"/>
  <c r="R526" i="11"/>
  <c r="R527" i="11"/>
  <c r="R528" i="11"/>
  <c r="R529" i="11"/>
  <c r="R530" i="11"/>
  <c r="R531" i="11"/>
  <c r="R532" i="11"/>
  <c r="R533" i="11"/>
  <c r="R534" i="11"/>
  <c r="R535" i="11"/>
  <c r="R536" i="11"/>
  <c r="R537" i="11"/>
  <c r="R538" i="11"/>
  <c r="R539" i="11"/>
  <c r="R540" i="11"/>
  <c r="R541" i="11"/>
  <c r="R542" i="11"/>
  <c r="R543" i="11"/>
  <c r="R544" i="11"/>
  <c r="R545" i="11"/>
  <c r="R546" i="11"/>
  <c r="R547" i="11"/>
  <c r="R548" i="11"/>
  <c r="R549" i="11"/>
  <c r="R550" i="11"/>
  <c r="R551" i="11"/>
  <c r="R552" i="11"/>
  <c r="R553" i="11"/>
  <c r="R554" i="11"/>
  <c r="R555" i="11"/>
  <c r="R556" i="11"/>
  <c r="R557" i="11"/>
  <c r="R558" i="11"/>
  <c r="R559" i="11"/>
  <c r="R560" i="11"/>
  <c r="R561" i="11"/>
  <c r="R562" i="11"/>
  <c r="R563" i="11"/>
  <c r="R564" i="11"/>
  <c r="R565" i="11"/>
  <c r="R566" i="11"/>
  <c r="R567" i="11"/>
  <c r="R568" i="11"/>
  <c r="R569" i="11"/>
  <c r="R570" i="11"/>
  <c r="R571" i="11"/>
  <c r="R572" i="11"/>
  <c r="R573" i="11"/>
  <c r="R574" i="11"/>
  <c r="R575" i="11"/>
  <c r="R576" i="11"/>
  <c r="R577" i="11"/>
  <c r="R578" i="11"/>
  <c r="R579" i="11"/>
  <c r="R580" i="11"/>
  <c r="R581" i="11"/>
  <c r="R582" i="11"/>
  <c r="R583" i="11"/>
  <c r="R584" i="11"/>
  <c r="R585" i="11"/>
  <c r="R586" i="11"/>
  <c r="R587" i="11"/>
  <c r="R588" i="11"/>
  <c r="R589" i="11"/>
  <c r="R590" i="11"/>
  <c r="R591" i="11"/>
  <c r="R592" i="11"/>
  <c r="R593" i="11"/>
  <c r="R594" i="11"/>
  <c r="R595" i="11"/>
  <c r="R596" i="11"/>
  <c r="R597" i="11"/>
  <c r="R598" i="11"/>
  <c r="R599" i="11"/>
  <c r="R600" i="11"/>
  <c r="R601" i="11"/>
  <c r="R602" i="11"/>
  <c r="R603" i="11"/>
  <c r="R604" i="11"/>
  <c r="R605" i="11"/>
  <c r="R606" i="11"/>
  <c r="R607" i="11"/>
  <c r="R608" i="11"/>
  <c r="R609" i="11"/>
  <c r="R610" i="11"/>
  <c r="R611" i="11"/>
  <c r="R612" i="11"/>
  <c r="R613" i="11"/>
  <c r="R614" i="11"/>
  <c r="R615" i="11"/>
  <c r="R616" i="11"/>
  <c r="R617" i="11"/>
  <c r="R618" i="11"/>
  <c r="R619" i="11"/>
  <c r="R620" i="11"/>
  <c r="R621" i="11"/>
  <c r="R622" i="11"/>
  <c r="R623" i="11"/>
  <c r="R624" i="11"/>
  <c r="R625" i="11"/>
  <c r="R626" i="11"/>
  <c r="R627" i="11"/>
  <c r="R628" i="11"/>
  <c r="R629" i="11"/>
  <c r="R630" i="11"/>
  <c r="R631" i="11"/>
  <c r="R632" i="11"/>
  <c r="R633" i="11"/>
  <c r="R634" i="11"/>
  <c r="R635" i="11"/>
  <c r="R636" i="11"/>
  <c r="R637" i="11"/>
  <c r="R638" i="11"/>
  <c r="R639" i="11"/>
  <c r="R640" i="11"/>
  <c r="R641" i="11"/>
  <c r="R642" i="11"/>
  <c r="R643" i="11"/>
  <c r="R644" i="11"/>
  <c r="R645" i="11"/>
  <c r="R646" i="11"/>
  <c r="R647" i="11"/>
  <c r="R648" i="11"/>
  <c r="R649" i="11"/>
  <c r="R650" i="11"/>
  <c r="R651" i="11"/>
  <c r="R652" i="11"/>
  <c r="R653" i="11"/>
  <c r="R654" i="11"/>
  <c r="R655" i="11"/>
  <c r="R656" i="11"/>
  <c r="R657" i="11"/>
  <c r="R658" i="11"/>
  <c r="R659" i="11"/>
  <c r="R660" i="11"/>
  <c r="R661" i="11"/>
  <c r="R662" i="11"/>
  <c r="R663" i="11"/>
  <c r="R664" i="11"/>
  <c r="R665" i="11"/>
  <c r="R666" i="11"/>
  <c r="R667" i="11"/>
  <c r="R668" i="11"/>
  <c r="R669" i="11"/>
  <c r="R670" i="11"/>
  <c r="R671" i="11"/>
  <c r="R672" i="11"/>
  <c r="R673" i="11"/>
  <c r="R674" i="11"/>
  <c r="R675" i="11"/>
  <c r="R676" i="11"/>
  <c r="R677" i="11"/>
  <c r="R678" i="11"/>
  <c r="R679" i="11"/>
  <c r="R680" i="11"/>
  <c r="R681" i="11"/>
  <c r="R682" i="11"/>
  <c r="R683" i="11"/>
  <c r="R684" i="11"/>
  <c r="R685" i="11"/>
  <c r="R686" i="11"/>
  <c r="R687" i="11"/>
  <c r="R688" i="11"/>
  <c r="R689" i="11"/>
  <c r="R690" i="11"/>
  <c r="R691" i="11"/>
  <c r="R692" i="11"/>
  <c r="R693" i="11"/>
  <c r="R694" i="11"/>
  <c r="R695" i="11"/>
  <c r="R696" i="11"/>
  <c r="R697" i="11"/>
  <c r="R698" i="11"/>
  <c r="R699" i="11"/>
  <c r="R700" i="11"/>
  <c r="R701" i="11"/>
  <c r="R702" i="11"/>
  <c r="R703" i="11"/>
  <c r="R704" i="11"/>
  <c r="R705" i="11"/>
  <c r="R706" i="11"/>
  <c r="R707" i="11"/>
  <c r="R708" i="11"/>
  <c r="R709" i="11"/>
  <c r="R710" i="11"/>
  <c r="R711" i="11"/>
  <c r="R712" i="11"/>
  <c r="R713" i="11"/>
  <c r="R714" i="11"/>
  <c r="R715" i="11"/>
  <c r="R716" i="11"/>
  <c r="R717" i="11"/>
  <c r="R718" i="11"/>
  <c r="R719" i="11"/>
  <c r="R720" i="11"/>
  <c r="R721" i="11"/>
  <c r="R722" i="11"/>
  <c r="R723" i="11"/>
  <c r="R724" i="11"/>
  <c r="R725" i="11"/>
  <c r="R726" i="11"/>
  <c r="R727" i="11"/>
  <c r="R728" i="11"/>
  <c r="R729" i="11"/>
  <c r="R730" i="11"/>
  <c r="R731" i="11"/>
  <c r="R732" i="11"/>
  <c r="R733" i="11"/>
  <c r="R734" i="11"/>
  <c r="R735" i="11"/>
  <c r="R736" i="11"/>
  <c r="R737" i="11"/>
  <c r="R738" i="11"/>
  <c r="R739" i="11"/>
  <c r="R740" i="11"/>
  <c r="R741" i="11"/>
  <c r="R742" i="11"/>
  <c r="R743" i="11"/>
  <c r="R744" i="11"/>
  <c r="R745" i="11"/>
  <c r="R746" i="11"/>
  <c r="R747" i="11"/>
  <c r="R748" i="11"/>
  <c r="R749" i="11"/>
  <c r="R750" i="11"/>
  <c r="R751" i="11"/>
  <c r="R752" i="11"/>
  <c r="R753" i="11"/>
  <c r="R754" i="11"/>
  <c r="R755" i="11"/>
  <c r="R756" i="11"/>
  <c r="R757" i="11"/>
  <c r="R758" i="11"/>
  <c r="R759" i="11"/>
  <c r="R760" i="11"/>
  <c r="R761" i="11"/>
  <c r="R762" i="11"/>
  <c r="R763" i="11"/>
  <c r="R764" i="11"/>
  <c r="R765" i="11"/>
  <c r="R766" i="11"/>
  <c r="R767" i="11"/>
  <c r="R768" i="11"/>
  <c r="R769" i="11"/>
  <c r="R770" i="11"/>
  <c r="R771" i="11"/>
  <c r="R772" i="11"/>
  <c r="R773" i="11"/>
  <c r="R774" i="11"/>
  <c r="R775" i="11"/>
  <c r="R776" i="11"/>
  <c r="R777" i="11"/>
  <c r="R778" i="11"/>
  <c r="R779" i="11"/>
  <c r="R780" i="11"/>
  <c r="R781" i="11"/>
  <c r="R782" i="11"/>
  <c r="R783" i="11"/>
  <c r="R784" i="11"/>
  <c r="R785" i="11"/>
  <c r="R786" i="11"/>
  <c r="R787" i="11"/>
  <c r="R788" i="11"/>
  <c r="R789" i="11"/>
  <c r="R790" i="11"/>
  <c r="R791" i="11"/>
  <c r="R792" i="11"/>
  <c r="R793" i="11"/>
  <c r="R794" i="11"/>
  <c r="R795" i="11"/>
  <c r="R796" i="11"/>
  <c r="R797" i="11"/>
  <c r="R798" i="11"/>
  <c r="R799" i="11"/>
  <c r="R800" i="11"/>
  <c r="R801" i="11"/>
  <c r="R802" i="11"/>
  <c r="R803" i="11"/>
  <c r="R804" i="11"/>
  <c r="R805" i="11"/>
  <c r="R806" i="11"/>
  <c r="R807" i="11"/>
  <c r="R808" i="11"/>
  <c r="R809" i="11"/>
  <c r="R810" i="11"/>
  <c r="R811" i="11"/>
  <c r="R812" i="11"/>
  <c r="R813" i="11"/>
  <c r="R814" i="11"/>
  <c r="R815" i="11"/>
  <c r="R816" i="11"/>
  <c r="R817" i="11"/>
  <c r="R818" i="11"/>
  <c r="R819" i="11"/>
  <c r="R820" i="11"/>
  <c r="R821" i="11"/>
  <c r="R822" i="11"/>
  <c r="R823" i="11"/>
  <c r="R824" i="11"/>
  <c r="R825" i="11"/>
  <c r="R826" i="11"/>
  <c r="R827" i="11"/>
  <c r="R828" i="11"/>
  <c r="R829" i="11"/>
  <c r="R830" i="11"/>
  <c r="R831" i="11"/>
  <c r="R832" i="11"/>
  <c r="R833" i="11"/>
  <c r="R834" i="11"/>
  <c r="R835" i="11"/>
  <c r="R836" i="11"/>
  <c r="R837" i="11"/>
  <c r="R838" i="11"/>
  <c r="R839" i="11"/>
  <c r="R840" i="11"/>
  <c r="R841" i="11"/>
  <c r="R842" i="11"/>
  <c r="R843" i="11"/>
  <c r="R844" i="11"/>
  <c r="R845" i="11"/>
  <c r="R846" i="11"/>
  <c r="R847" i="11"/>
  <c r="R848" i="11"/>
  <c r="R849" i="11"/>
  <c r="R850" i="11"/>
  <c r="R851" i="11"/>
  <c r="R852" i="11"/>
  <c r="R853" i="11"/>
  <c r="R854" i="11"/>
  <c r="R855" i="11"/>
  <c r="R856" i="11"/>
  <c r="R857" i="11"/>
  <c r="R858" i="11"/>
  <c r="R859" i="11"/>
  <c r="R860" i="11"/>
  <c r="R861" i="11"/>
  <c r="R862" i="11"/>
  <c r="R863" i="11"/>
  <c r="R864" i="11"/>
  <c r="R865" i="11"/>
  <c r="R866" i="11"/>
  <c r="R867" i="11"/>
  <c r="R868" i="11"/>
  <c r="R869" i="11"/>
  <c r="R870" i="11"/>
  <c r="R871" i="11"/>
  <c r="R872" i="11"/>
  <c r="R873" i="11"/>
  <c r="R874" i="11"/>
  <c r="R875" i="11"/>
  <c r="R876" i="11"/>
  <c r="R877" i="11"/>
  <c r="R878" i="11"/>
  <c r="R879" i="11"/>
  <c r="R880" i="11"/>
  <c r="R881" i="11"/>
  <c r="R882" i="11"/>
  <c r="R883" i="11"/>
  <c r="R884" i="11"/>
  <c r="R885" i="11"/>
  <c r="R886" i="11"/>
  <c r="R887" i="11"/>
  <c r="R888" i="11"/>
  <c r="R889" i="11"/>
  <c r="R890" i="11"/>
  <c r="R891" i="11"/>
  <c r="R892" i="11"/>
  <c r="R893" i="11"/>
  <c r="R894" i="11"/>
  <c r="R895" i="11"/>
  <c r="R896" i="11"/>
  <c r="R897" i="11"/>
  <c r="R898" i="11"/>
  <c r="R899" i="11"/>
  <c r="R900" i="11"/>
  <c r="R901" i="11"/>
  <c r="R902" i="11"/>
  <c r="R903" i="11"/>
  <c r="R904" i="11"/>
  <c r="R905" i="11"/>
  <c r="R906" i="11"/>
  <c r="R907" i="11"/>
  <c r="R908" i="11"/>
  <c r="R909" i="11"/>
  <c r="R910" i="11"/>
  <c r="R911" i="11"/>
  <c r="R912" i="11"/>
  <c r="R913" i="11"/>
  <c r="R914" i="11"/>
  <c r="R915" i="11"/>
  <c r="R916" i="11"/>
  <c r="R917" i="11"/>
  <c r="R918" i="11"/>
  <c r="R919" i="11"/>
  <c r="R920" i="11"/>
  <c r="R921" i="11"/>
  <c r="R922" i="11"/>
  <c r="R923" i="11"/>
  <c r="R924" i="11"/>
  <c r="R925" i="11"/>
  <c r="R926" i="11"/>
  <c r="R927" i="11"/>
  <c r="R928" i="11"/>
  <c r="R929" i="11"/>
  <c r="R930" i="11"/>
  <c r="R931" i="11"/>
  <c r="R932" i="11"/>
  <c r="R933" i="11"/>
  <c r="R934" i="11"/>
  <c r="R935" i="11"/>
  <c r="R936" i="11"/>
  <c r="R937" i="11"/>
  <c r="R938" i="11"/>
  <c r="R939" i="11"/>
  <c r="R940" i="11"/>
  <c r="R941" i="11"/>
  <c r="R942" i="11"/>
  <c r="R943" i="11"/>
  <c r="R944" i="11"/>
  <c r="R945" i="11"/>
  <c r="R946" i="11"/>
  <c r="R947" i="11"/>
  <c r="R948" i="11"/>
  <c r="R949" i="11"/>
  <c r="R950" i="11"/>
  <c r="R951" i="11"/>
  <c r="R952" i="11"/>
  <c r="R953" i="11"/>
  <c r="R954" i="11"/>
  <c r="R955" i="11"/>
  <c r="R956" i="11"/>
  <c r="R957" i="11"/>
  <c r="R958" i="11"/>
  <c r="R959" i="11"/>
  <c r="R960" i="11"/>
  <c r="R961" i="11"/>
  <c r="R962" i="11"/>
  <c r="R963" i="11"/>
  <c r="R964" i="11"/>
  <c r="R965" i="11"/>
  <c r="R966" i="11"/>
  <c r="R967" i="11"/>
  <c r="R968" i="11"/>
  <c r="R969" i="11"/>
  <c r="R970" i="11"/>
  <c r="R971" i="11"/>
  <c r="R972" i="11"/>
  <c r="R973" i="11"/>
  <c r="R974" i="11"/>
  <c r="R975" i="11"/>
  <c r="R976" i="11"/>
  <c r="R977" i="11"/>
  <c r="R978" i="11"/>
  <c r="R979" i="11"/>
  <c r="R980" i="11"/>
  <c r="R981" i="11"/>
  <c r="R982" i="11"/>
  <c r="R983" i="11"/>
  <c r="R984" i="11"/>
  <c r="R985" i="11"/>
  <c r="R986" i="11"/>
  <c r="R987" i="11"/>
  <c r="R988" i="11"/>
  <c r="R989" i="11"/>
  <c r="R990" i="11"/>
  <c r="R991" i="11"/>
  <c r="R992" i="11"/>
  <c r="R993" i="11"/>
  <c r="R994" i="11"/>
  <c r="R995" i="11"/>
  <c r="R996" i="11"/>
  <c r="R997" i="11"/>
  <c r="R998" i="11"/>
  <c r="R999" i="11"/>
  <c r="R1000" i="11"/>
  <c r="R1001" i="11"/>
  <c r="E11" i="12"/>
  <c r="E10" i="12"/>
  <c r="E9" i="12"/>
  <c r="E8" i="12"/>
  <c r="E8" i="14" l="1"/>
  <c r="E9" i="14"/>
  <c r="E7" i="14"/>
  <c r="E6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AD30E5-0664-49B8-AEB5-FAE408CAA8BC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8C2335B4-1153-40CA-A20B-C8A1E6D3A5F2}" keepAlive="1" name="Query - Append2" description="Connection to the 'Append2' query in the workbook." type="5" refreshedVersion="8" background="1" saveData="1">
    <dbPr connection="Provider=Microsoft.Mashup.OleDb.1;Data Source=$Workbook$;Location=Append2;Extended Properties=&quot;&quot;" command="SELECT * FROM [Append2]"/>
  </connection>
  <connection id="3" xr16:uid="{FEDD383F-43D8-4BDA-BC72-28B34B28C6DB}" keepAlive="1" name="Query - dataset1" description="Connection to the 'dataset1' query in the workbook." type="5" refreshedVersion="0" background="1">
    <dbPr connection="Provider=Microsoft.Mashup.OleDb.1;Data Source=$Workbook$;Location=dataset1;Extended Properties=&quot;&quot;" command="SELECT * FROM [dataset1]"/>
  </connection>
  <connection id="4" xr16:uid="{7C9F0579-D164-4C27-9D3A-DD38C1787E01}" keepAlive="1" name="Query - Dataset2" description="Connection to the 'Dataset2' query in the workbook." type="5" refreshedVersion="0" background="1">
    <dbPr connection="Provider=Microsoft.Mashup.OleDb.1;Data Source=$Workbook$;Location=Dataset2;Extended Properties=&quot;&quot;" command="SELECT * FROM [Dataset2]"/>
  </connection>
  <connection id="5" xr16:uid="{4AA1911C-FE53-4193-89D3-1BE342BE58C5}" keepAlive="1" name="Query - datset_3" description="Connection to the 'datset_3' query in the workbook." type="5" refreshedVersion="0" background="1">
    <dbPr connection="Provider=Microsoft.Mashup.OleDb.1;Data Source=$Workbook$;Location=datset_3;Extended Properties=&quot;&quot;" command="SELECT * FROM [datset_3]"/>
  </connection>
  <connection id="6" xr16:uid="{009C8CA1-6892-4CC3-885D-DF0E08251224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</connections>
</file>

<file path=xl/sharedStrings.xml><?xml version="1.0" encoding="utf-8"?>
<sst xmlns="http://schemas.openxmlformats.org/spreadsheetml/2006/main" count="111" uniqueCount="58">
  <si>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</si>
  <si>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</si>
  <si>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</si>
  <si>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</si>
  <si>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</si>
  <si>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</si>
  <si>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</si>
  <si>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</si>
  <si>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</si>
  <si>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</si>
  <si>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</si>
  <si>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</si>
  <si>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</si>
  <si>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</si>
  <si>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</si>
  <si>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</si>
  <si>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Column1</t>
  </si>
  <si>
    <t>Column2</t>
  </si>
  <si>
    <t>instant2</t>
  </si>
  <si>
    <t>l</t>
  </si>
  <si>
    <t>Total Riders</t>
  </si>
  <si>
    <t>Highest Rider Count</t>
  </si>
  <si>
    <t>Record riders per record</t>
  </si>
  <si>
    <t>Average Riders per records</t>
  </si>
  <si>
    <t>Weater situation</t>
  </si>
  <si>
    <t>FInal atemp</t>
  </si>
  <si>
    <t>Median 0f Atemp</t>
  </si>
  <si>
    <t>total count</t>
  </si>
  <si>
    <t>Total count</t>
  </si>
  <si>
    <t>S</t>
  </si>
  <si>
    <t>Impact of Weather on Bike Rentals</t>
  </si>
  <si>
    <t>Weather situation</t>
  </si>
  <si>
    <t xml:space="preserve">     Bike Rental Insights &amp; Summary</t>
  </si>
  <si>
    <t xml:space="preserve">Day </t>
  </si>
  <si>
    <t xml:space="preserve">Month </t>
  </si>
  <si>
    <t>Year</t>
  </si>
  <si>
    <t>Time</t>
  </si>
  <si>
    <t>Days</t>
  </si>
  <si>
    <t>Working/Holiday</t>
  </si>
  <si>
    <t>Saturday</t>
  </si>
  <si>
    <t>Monday</t>
  </si>
  <si>
    <t>Tuesday</t>
  </si>
  <si>
    <t>Wednesday</t>
  </si>
  <si>
    <t>Thursday</t>
  </si>
  <si>
    <t>Friday</t>
  </si>
  <si>
    <t>Sunday</t>
  </si>
  <si>
    <t>Sum of casual riders</t>
  </si>
  <si>
    <t>Sum of registered riders</t>
  </si>
  <si>
    <t>Sum of  total riders</t>
  </si>
  <si>
    <t>Sum of Registered</t>
  </si>
  <si>
    <t>Sum of casual</t>
  </si>
  <si>
    <t>Average of registered</t>
  </si>
  <si>
    <t>Average of casual</t>
  </si>
  <si>
    <t>Weather sit</t>
  </si>
  <si>
    <t>Clear</t>
  </si>
  <si>
    <t>Cloudy</t>
  </si>
  <si>
    <t>Light Rain</t>
  </si>
  <si>
    <t>Heavy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</si>
</sst>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8"/>
      <name val="Arial"/>
      <scheme val="minor"/>
    </font>
    <font>
      <b/>
      <sz val="16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Baskerville Old Face"/>
      <family val="1"/>
    </font>
    <font>
      <sz val="10"/>
      <color rgb="FF000000"/>
      <name val="Arial"/>
      <family val="2"/>
      <scheme val="major"/>
    </font>
    <font>
      <b/>
      <sz val="14"/>
      <color rgb="FF000000"/>
      <name val="Arial Black"/>
      <family val="2"/>
    </font>
    <font>
      <sz val="10"/>
      <color rgb="FF000000"/>
      <name val="Arial Black"/>
      <family val="2"/>
    </font>
    <font>
      <b/>
      <sz val="12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/>
    <xf numFmtId="0" fontId="0" fillId="0" borderId="1" xfId="0" applyBorder="1"/>
    <xf numFmtId="0" fontId="5" fillId="0" borderId="0" xfId="0" applyFont="1"/>
    <xf numFmtId="0" fontId="7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5" fillId="3" borderId="0" xfId="0" applyFont="1" applyFill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22" fontId="10" fillId="0" borderId="1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0" xfId="0" applyFont="1"/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9" fillId="0" borderId="1" xfId="0" applyFont="1" applyBorder="1"/>
    <xf numFmtId="0" fontId="9" fillId="0" borderId="8" xfId="0" applyFont="1" applyBorder="1" applyAlignment="1">
      <alignment horizontal="center"/>
    </xf>
    <xf numFmtId="0" fontId="0" fillId="0" borderId="7" xfId="0" applyBorder="1"/>
    <xf numFmtId="0" fontId="0" fillId="0" borderId="6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2" fillId="4" borderId="1" xfId="0" applyFont="1" applyFill="1" applyBorder="1"/>
    <xf numFmtId="0" fontId="13" fillId="4" borderId="1" xfId="0" applyFont="1" applyFill="1" applyBorder="1"/>
    <xf numFmtId="0" fontId="9" fillId="0" borderId="2" xfId="0" applyFont="1" applyBorder="1"/>
    <xf numFmtId="0" fontId="0" fillId="0" borderId="2" xfId="0" applyBorder="1"/>
    <xf numFmtId="0" fontId="6" fillId="5" borderId="8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4" fillId="6" borderId="2" xfId="0" applyFont="1" applyFill="1" applyBorder="1"/>
    <xf numFmtId="0" fontId="14" fillId="6" borderId="3" xfId="0" applyFont="1" applyFill="1" applyBorder="1"/>
    <xf numFmtId="0" fontId="14" fillId="6" borderId="4" xfId="0" applyFont="1" applyFill="1" applyBorder="1"/>
    <xf numFmtId="0" fontId="14" fillId="6" borderId="5" xfId="0" applyFont="1" applyFill="1" applyBorder="1"/>
    <xf numFmtId="0" fontId="14" fillId="6" borderId="6" xfId="0" applyFont="1" applyFill="1" applyBorder="1"/>
    <xf numFmtId="0" fontId="14" fillId="6" borderId="7" xfId="0" applyFont="1" applyFill="1" applyBorder="1"/>
    <xf numFmtId="0" fontId="9" fillId="0" borderId="3" xfId="0" applyFont="1" applyBorder="1" applyAlignment="1">
      <alignment horizontal="center"/>
    </xf>
    <xf numFmtId="0" fontId="9" fillId="0" borderId="0" xfId="0" applyFont="1"/>
  </cellXfs>
  <cellStyles count="1">
    <cellStyle name="Normal" xfId="0" builtinId="0"/>
  </cellStyles>
  <dxfs count="131">
    <dxf>
      <fill>
        <patternFill>
          <bgColor theme="8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9933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-0.24994659260841701"/>
        </patternFill>
      </fill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7" formatCode="dd/mm/yyyy\ hh:mm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7" formatCode="dd/mm/yyyy\ hh:mm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\-mm\-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\-mm\-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9933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Rider</a:t>
            </a:r>
            <a:r>
              <a:rPr lang="en-US" baseline="0"/>
              <a:t>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'Rider analysis'!$E$7</c:f>
              <c:strCache>
                <c:ptCount val="1"/>
                <c:pt idx="0">
                  <c:v>Column2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'Rider analysis'!$D$8:$D$11</c:f>
              <c:strCache>
                <c:ptCount val="4"/>
                <c:pt idx="0">
                  <c:v>Total Riders</c:v>
                </c:pt>
                <c:pt idx="1">
                  <c:v>Average Riders per records</c:v>
                </c:pt>
                <c:pt idx="2">
                  <c:v>Record riders per record</c:v>
                </c:pt>
                <c:pt idx="3">
                  <c:v>Highest Rider Count</c:v>
                </c:pt>
              </c:strCache>
            </c:strRef>
          </c:cat>
          <c:val>
            <c:numRef>
              <c:f>'Rider analysis'!$E$8:$E$11</c:f>
              <c:numCache>
                <c:formatCode>General</c:formatCode>
                <c:ptCount val="4"/>
                <c:pt idx="0">
                  <c:v>58304</c:v>
                </c:pt>
                <c:pt idx="1">
                  <c:v>58.304000000000002</c:v>
                </c:pt>
                <c:pt idx="2">
                  <c:v>1000</c:v>
                </c:pt>
                <c:pt idx="3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6-455F-9FF3-60B55F52BB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327385440"/>
        <c:axId val="213093840"/>
        <c:axId val="0"/>
      </c:bar3DChart>
      <c:catAx>
        <c:axId val="32738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93840"/>
        <c:crosses val="autoZero"/>
        <c:auto val="1"/>
        <c:lblAlgn val="ctr"/>
        <c:lblOffset val="100"/>
        <c:noMultiLvlLbl val="0"/>
      </c:catAx>
      <c:valAx>
        <c:axId val="2130938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2738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b="1">
                <a:latin typeface="Arial Rounded MT Bold" panose="020F0704030504030204" pitchFamily="34" charset="0"/>
              </a:rPr>
              <a:t>Weather</a:t>
            </a:r>
            <a:r>
              <a:rPr lang="en-US" b="1" baseline="0">
                <a:latin typeface="Arial Rounded MT Bold" panose="020F0704030504030204" pitchFamily="34" charset="0"/>
              </a:rPr>
              <a:t> Impact</a:t>
            </a:r>
            <a:endParaRPr lang="en-US" b="1">
              <a:latin typeface="Arial Rounded MT Bold" panose="020F07040305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'Weater impact on rentals'!$E$5</c:f>
              <c:strCache>
                <c:ptCount val="1"/>
                <c:pt idx="0">
                  <c:v>Total count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'Weater impact on rentals'!$D$6:$D$9</c:f>
              <c:strCache>
                <c:ptCount val="4"/>
                <c:pt idx="0">
                  <c:v>Clear</c:v>
                </c:pt>
                <c:pt idx="1">
                  <c:v>Cloudy</c:v>
                </c:pt>
                <c:pt idx="2">
                  <c:v>Light Rain</c:v>
                </c:pt>
                <c:pt idx="3">
                  <c:v>Heavy Rain</c:v>
                </c:pt>
              </c:strCache>
            </c:strRef>
          </c:xVal>
          <c:yVal>
            <c:numRef>
              <c:f>'Weater impact on rentals'!$E$6:$E$9</c:f>
              <c:numCache>
                <c:formatCode>General</c:formatCode>
                <c:ptCount val="4"/>
                <c:pt idx="0">
                  <c:v>37373</c:v>
                </c:pt>
                <c:pt idx="1">
                  <c:v>2789</c:v>
                </c:pt>
                <c:pt idx="2">
                  <c:v>18106</c:v>
                </c:pt>
                <c:pt idx="3">
                  <c:v>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1E-4D8B-96B3-09DACE3E3CA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04792000"/>
        <c:axId val="1087983440"/>
      </c:scatterChart>
      <c:valAx>
        <c:axId val="170479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983440"/>
        <c:crosses val="autoZero"/>
        <c:crossBetween val="midCat"/>
      </c:valAx>
      <c:valAx>
        <c:axId val="108798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792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Daily</a:t>
            </a:r>
            <a:r>
              <a:rPr lang="en-US" b="1" baseline="0"/>
              <a:t> Composition of Total Bike Riders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'Ridership by day'!$B$2</c:f>
              <c:strCache>
                <c:ptCount val="1"/>
                <c:pt idx="0">
                  <c:v>Sum of casual riders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'Ridership by day'!$A$3:$A$9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'Ridership by day'!$B$3:$B$9</c:f>
              <c:numCache>
                <c:formatCode>General</c:formatCode>
                <c:ptCount val="7"/>
                <c:pt idx="0">
                  <c:v>1225</c:v>
                </c:pt>
                <c:pt idx="1">
                  <c:v>1477</c:v>
                </c:pt>
                <c:pt idx="2">
                  <c:v>534</c:v>
                </c:pt>
                <c:pt idx="3">
                  <c:v>457</c:v>
                </c:pt>
                <c:pt idx="4">
                  <c:v>344</c:v>
                </c:pt>
                <c:pt idx="5">
                  <c:v>332</c:v>
                </c:pt>
                <c:pt idx="6">
                  <c:v>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F-46E6-93F1-EF1CB48306D2}"/>
            </c:ext>
          </c:extLst>
        </c:ser>
        <c:ser>
          <c:idx val="1"/>
          <c:order val="1"/>
          <c:tx>
            <c:strRef>
              <c:f>'Ridership by day'!$C$2</c:f>
              <c:strCache>
                <c:ptCount val="1"/>
                <c:pt idx="0">
                  <c:v>Sum of registered riders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'Ridership by day'!$A$3:$A$9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'Ridership by day'!$C$3:$C$9</c:f>
              <c:numCache>
                <c:formatCode>General</c:formatCode>
                <c:ptCount val="7"/>
                <c:pt idx="0">
                  <c:v>6523</c:v>
                </c:pt>
                <c:pt idx="1">
                  <c:v>6644</c:v>
                </c:pt>
                <c:pt idx="2">
                  <c:v>7916</c:v>
                </c:pt>
                <c:pt idx="3">
                  <c:v>7926</c:v>
                </c:pt>
                <c:pt idx="4">
                  <c:v>7705</c:v>
                </c:pt>
                <c:pt idx="5">
                  <c:v>8126</c:v>
                </c:pt>
                <c:pt idx="6">
                  <c:v>8543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1F-46E6-93F1-EF1CB48306D2}"/>
            </c:ext>
          </c:extLst>
        </c:ser>
        <c:ser>
          <c:idx val="2"/>
          <c:order val="2"/>
          <c:tx>
            <c:strRef>
              <c:f>'Ridership by day'!$D$2</c:f>
              <c:strCache>
                <c:ptCount val="1"/>
                <c:pt idx="0">
                  <c:v>Sum of  total riders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'Ridership by day'!$A$3:$A$9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'Ridership by day'!$D$3:$D$9</c:f>
              <c:numCache>
                <c:formatCode>General</c:formatCode>
                <c:ptCount val="7"/>
                <c:pt idx="0">
                  <c:v>7748</c:v>
                </c:pt>
                <c:pt idx="1">
                  <c:v>8121</c:v>
                </c:pt>
                <c:pt idx="2">
                  <c:v>8450</c:v>
                </c:pt>
                <c:pt idx="3">
                  <c:v>8383</c:v>
                </c:pt>
                <c:pt idx="4">
                  <c:v>8049</c:v>
                </c:pt>
                <c:pt idx="5">
                  <c:v>8458</c:v>
                </c:pt>
                <c:pt idx="6">
                  <c:v>9095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1F-46E6-93F1-EF1CB4830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1084816"/>
        <c:axId val="2013337328"/>
      </c:barChart>
      <c:catAx>
        <c:axId val="207108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337328"/>
        <c:crosses val="autoZero"/>
        <c:auto val="1"/>
        <c:lblAlgn val="ctr"/>
        <c:lblOffset val="100"/>
        <c:noMultiLvlLbl val="0"/>
      </c:catAx>
      <c:valAx>
        <c:axId val="201333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08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Ragistered</a:t>
            </a:r>
            <a:r>
              <a:rPr lang="en-IN" baseline="0"/>
              <a:t> Vs Casual Riders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4864532721824898E-3"/>
          <c:y val="0.18806580943437115"/>
          <c:w val="0.93562545720555967"/>
          <c:h val="0.740843783415961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 Vs Casual riders'!$B$1</c:f>
              <c:strCache>
                <c:ptCount val="1"/>
                <c:pt idx="0">
                  <c:v>Column2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 Vs Casual riders'!$A$2:$A$3</c:f>
              <c:strCache>
                <c:ptCount val="2"/>
                <c:pt idx="0">
                  <c:v>Sum of Registered</c:v>
                </c:pt>
                <c:pt idx="1">
                  <c:v>Sum of casual</c:v>
                </c:pt>
              </c:strCache>
            </c:strRef>
          </c:cat>
          <c:val>
            <c:numRef>
              <c:f>'Reg Vs Casual riders'!$B$2:$B$3</c:f>
              <c:numCache>
                <c:formatCode>General</c:formatCode>
                <c:ptCount val="2"/>
                <c:pt idx="0">
                  <c:v>53383</c:v>
                </c:pt>
                <c:pt idx="1">
                  <c:v>4921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6-44D3-81EA-A33B325B133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85907600"/>
        <c:axId val="2013360848"/>
      </c:barChart>
      <c:catAx>
        <c:axId val="168590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360848"/>
        <c:crosses val="autoZero"/>
        <c:auto val="1"/>
        <c:lblAlgn val="ctr"/>
        <c:lblOffset val="100"/>
        <c:noMultiLvlLbl val="0"/>
      </c:catAx>
      <c:valAx>
        <c:axId val="201336084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8590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Riders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'Reg Vs Casual riders'!$H$2</c:f>
              <c:strCache>
                <c:ptCount val="1"/>
                <c:pt idx="0">
                  <c:v>Column2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781-4CC1-B760-CB5417D9DFAB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781-4CC1-B760-CB5417D9DFA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 Vs Casual riders'!$G$3:$G$4</c:f>
              <c:strCache>
                <c:ptCount val="2"/>
                <c:pt idx="0">
                  <c:v>Average of registered</c:v>
                </c:pt>
                <c:pt idx="1">
                  <c:v>Average of casual</c:v>
                </c:pt>
              </c:strCache>
            </c:strRef>
          </c:cat>
          <c:val>
            <c:numRef>
              <c:f>'Reg Vs Casual riders'!$H$3:$H$4</c:f>
              <c:numCache>
                <c:formatCode>General</c:formatCode>
                <c:ptCount val="2"/>
                <c:pt idx="0">
                  <c:v>53.383000000000003</c:v>
                </c:pt>
                <c:pt idx="1">
                  <c:v>4.9210000000000003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A-42C5-BBF9-0E048AC768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212725</xdr:colOff>
      <xdr:row>3</xdr:row>
      <xdr:rowOff>82550</xdr:rowOff>
    </xdr:from>
    <xdr:to>
      <xdr:col>13</xdr:col>
      <xdr:colOff>517525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65469E-14BB-E3C8-C5F5-38F33F099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346075</xdr:colOff>
      <xdr:row>3</xdr:row>
      <xdr:rowOff>50800</xdr:rowOff>
    </xdr:from>
    <xdr:to>
      <xdr:col>13</xdr:col>
      <xdr:colOff>41275</xdr:colOff>
      <xdr:row>20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79AE23-9807-9307-3F1F-ECFE28248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25400</xdr:rowOff>
    </xdr:from>
    <xdr:to>
      <xdr:col>11</xdr:col>
      <xdr:colOff>466725</xdr:colOff>
      <xdr:row>21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D985EC-A566-74C0-E587-B1EF5EB76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346075</xdr:colOff>
      <xdr:row>4</xdr:row>
      <xdr:rowOff>76200</xdr:rowOff>
    </xdr:from>
    <xdr:to>
      <xdr:col>5</xdr:col>
      <xdr:colOff>793750</xdr:colOff>
      <xdr:row>21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357663-89B0-FCF5-19E1-9689A35E8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120649</xdr:colOff>
      <xdr:row>4</xdr:row>
      <xdr:rowOff>152400</xdr:rowOff>
    </xdr:from>
    <xdr:to>
      <xdr:col>12</xdr:col>
      <xdr:colOff>428624</xdr:colOff>
      <xdr:row>22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3AC868B-977B-A452-098B-B177F551A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5E6F2E5-817F-4657-BD92-5CEB6C6E263A}" autoFormatId="16" applyNumberFormats="0" applyBorderFormats="0" applyFontFormats="0" applyPatternFormats="0" applyAlignmentFormats="0" applyWidthHeightFormats="0">
  <queryTableRefresh nextId="19">
    <queryTableFields count="17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2" name="Dataset2.instant" tableColumnId="12"/>
      <queryTableField id="13" name="Dataset2.atemp" tableColumnId="13"/>
      <queryTableField id="14" name="Dataset2.hum" tableColumnId="14"/>
      <queryTableField id="15" name="Dataset2.windspeed" tableColumnId="15"/>
      <queryTableField id="16" name="Dataset2.casual" tableColumnId="16"/>
      <queryTableField id="17" name="Dataset2.registered" tableColumnId="17"/>
      <queryTableField id="18" name="Dataset2.cnt" tableColumnId="18"/>
    </queryTableFields>
    <queryTableDeletedFields count="1">
      <deletedField name="Dataset2.Unnamed: 0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3BC8B31-40FB-40A4-9C33-82AE179D7DC6}" autoFormatId="16" applyNumberFormats="0" applyBorderFormats="0" applyFontFormats="0" applyPatternFormats="0" applyAlignmentFormats="0" applyWidthHeightFormats="0">
  <queryTableRefresh nextId="33" unboundColumnsRight="8">
    <queryTableFields count="24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9" name="atemp" tableColumnId="19"/>
      <queryTableField id="20" name="hum" tableColumnId="20"/>
      <queryTableField id="21" name="windspeed" tableColumnId="21"/>
      <queryTableField id="22" name="casual" tableColumnId="22"/>
      <queryTableField id="23" name="registered" tableColumnId="23"/>
      <queryTableField id="24" name="cnt" tableColumnId="24"/>
      <queryTableField id="32" dataBound="0" tableColumnId="25"/>
      <queryTableField id="25" dataBound="0" tableColumnId="11"/>
      <queryTableField id="26" dataBound="0" tableColumnId="12"/>
      <queryTableField id="27" dataBound="0" tableColumnId="13"/>
      <queryTableField id="28" dataBound="0" tableColumnId="14"/>
      <queryTableField id="29" dataBound="0" tableColumnId="15"/>
      <queryTableField id="30" dataBound="0" tableColumnId="16"/>
      <queryTableField id="31" dataBound="0" tableColumnId="17"/>
    </queryTableFields>
    <queryTableDeletedFields count="8">
      <deletedField name="Dataset2.casual"/>
      <deletedField name="Dataset2.registered"/>
      <deletedField name="Dataset2.cnt"/>
      <deletedField name="Dataset2.hum"/>
      <deletedField name="Dataset2.windspeed"/>
      <deletedField name="Dataset2.Unnamed: 0"/>
      <deletedField name="Dataset2.instant"/>
      <deletedField name="Dataset2.atemp"/>
    </queryTableDeleted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5BD5BE-4AB0-4407-ACF6-A7329EC18EB5}" name="dataset1" displayName="dataset1" ref="A1:J611" totalsRowShown="0" headerRowDxfId="122" dataDxfId="120" headerRowBorderDxfId="121" tableBorderDxfId="119" totalsRowBorderDxfId="118">
  <autoFilter ref="A1:J611" xr:uid="{9D5BD5BE-4AB0-4407-ACF6-A7329EC18EB5}"/>
  <tableColumns count="10">
    <tableColumn id="1" xr3:uid="{51300CF2-F24A-4C7E-A289-A76EF272D1EF}" name="instant" dataDxfId="117"/>
    <tableColumn id="2" xr3:uid="{87301E5C-B36A-4713-8E3C-4A00577188FF}" name="dteday" dataDxfId="116"/>
    <tableColumn id="3" xr3:uid="{C101A5EC-E18F-4420-B2FB-3CAB28FD2362}" name="season" dataDxfId="115"/>
    <tableColumn id="4" xr3:uid="{21EB1B2F-5EBE-42D7-9FE7-EFB5511852FD}" name="yr" dataDxfId="114"/>
    <tableColumn id="5" xr3:uid="{3DBFF28C-EFBB-4121-91D3-4AA56109083F}" name="mnth" dataDxfId="113"/>
    <tableColumn id="6" xr3:uid="{F9DF67B8-534C-4FBA-B4D5-0196D0203DA8}" name="hr" dataDxfId="112"/>
    <tableColumn id="7" xr3:uid="{6A6D6B3F-249E-41A4-90D8-0D5EE181E80C}" name="holiday" dataDxfId="111"/>
    <tableColumn id="8" xr3:uid="{C4644454-8B11-4020-9FDF-36170D8441BE}" name="weekday" dataDxfId="110"/>
    <tableColumn id="9" xr3:uid="{ECEF1D65-43AD-4B00-92E1-2D2092611C00}" name="weathersit" dataDxfId="109"/>
    <tableColumn id="10" xr3:uid="{E22C494B-5E4D-4A4A-8864-BD969C5CB7C6}" name="temp" dataDxfId="10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30440B-38E6-42DA-A9BE-1CD82C2C5AAF}" name="Dataset2" displayName="Dataset2" ref="A1:H611" totalsRowShown="0" headerRowDxfId="107" dataDxfId="105" headerRowBorderDxfId="106" tableBorderDxfId="104" totalsRowBorderDxfId="103">
  <autoFilter ref="A1:H611" xr:uid="{4C30440B-38E6-42DA-A9BE-1CD82C2C5AAF}"/>
  <tableColumns count="8">
    <tableColumn id="2" xr3:uid="{02B094C2-7FAF-4E72-A1BD-D2DB07C9D387}" name="instant" dataDxfId="102"/>
    <tableColumn id="3" xr3:uid="{1931C0E1-26EE-4F0E-86CF-7B8B250BF1FE}" name="atemp" dataDxfId="101"/>
    <tableColumn id="4" xr3:uid="{4B860EBB-46CA-4165-963F-FC647924D810}" name="hum" dataDxfId="100"/>
    <tableColumn id="5" xr3:uid="{BB6822FF-0C30-4F66-95DD-70F5F8A9BB63}" name="windspeed" dataDxfId="99"/>
    <tableColumn id="6" xr3:uid="{7A8F5720-97FE-4FA2-A0E3-729A3AF1CF28}" name="casual" dataDxfId="98"/>
    <tableColumn id="7" xr3:uid="{3D86E6F1-8CB7-42E9-8D39-91824EB14D22}" name="registered" dataDxfId="97"/>
    <tableColumn id="8" xr3:uid="{4D48F347-2D10-45BE-87F7-07D3AE000745}" name="cnt" dataDxfId="96"/>
    <tableColumn id="1" xr3:uid="{7AEA0E2B-F75E-43E1-9894-574CBA39F0C9}" name="FInal atemp" dataDxfId="95">
      <calculatedColumnFormula>IF(ISBLANK(B2),0.197,B2)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B4A17F-1B2D-420B-8B79-7D20ECAAE0E8}" name="datset_3" displayName="datset_3" ref="A1:P391" totalsRowShown="0" headerRowDxfId="94" dataDxfId="93">
  <autoFilter ref="A1:P391" xr:uid="{47B4A17F-1B2D-420B-8B79-7D20ECAAE0E8}"/>
  <tableColumns count="16">
    <tableColumn id="1" xr3:uid="{EE401FA6-2040-475D-A491-80A1B5687126}" name="instant" dataDxfId="92"/>
    <tableColumn id="2" xr3:uid="{18752DED-A604-40B5-970F-8898E2AE6E7F}" name="dteday" dataDxfId="91"/>
    <tableColumn id="3" xr3:uid="{B2B12279-3C98-4141-BB37-B2C595053C26}" name="season" dataDxfId="90"/>
    <tableColumn id="4" xr3:uid="{504FFCF2-6D6B-4D32-8303-24102616CC0D}" name="yr" dataDxfId="89"/>
    <tableColumn id="5" xr3:uid="{D5B804D5-29DF-42F6-9497-CA0C6F0798C5}" name="mnth" dataDxfId="88"/>
    <tableColumn id="6" xr3:uid="{557EB659-C631-4EEB-BB07-7F5100911F6F}" name="hr" dataDxfId="87"/>
    <tableColumn id="7" xr3:uid="{6D619EBA-5461-481D-BB3B-2D7A6DAF96A5}" name="holiday" dataDxfId="86"/>
    <tableColumn id="8" xr3:uid="{05DFD4EB-109A-48B2-B34B-5217FC2066A5}" name="weekday" dataDxfId="85"/>
    <tableColumn id="9" xr3:uid="{4B42D497-8FF5-414D-8BA9-C9CC00E4F2F0}" name="weathersit" dataDxfId="84"/>
    <tableColumn id="10" xr3:uid="{D5993A68-3AC4-4405-96B2-3801CEAFE566}" name="temp" dataDxfId="83"/>
    <tableColumn id="11" xr3:uid="{CD7A0855-6E37-4ACB-8639-DEDCA9DB5D90}" name="atemp" dataDxfId="82"/>
    <tableColumn id="12" xr3:uid="{1F700615-458C-4089-A305-DD23E01F5D25}" name="hum" dataDxfId="81"/>
    <tableColumn id="13" xr3:uid="{44DB474C-E607-48D7-9B4D-D084663808BA}" name="windspeed" dataDxfId="80"/>
    <tableColumn id="14" xr3:uid="{01B457F6-0313-41E9-ABA2-2B4BEB1CB88B}" name="casual" dataDxfId="79"/>
    <tableColumn id="15" xr3:uid="{CCA6254A-15C3-42DD-B9F3-4A98113BCBFC}" name="registered" dataDxfId="78"/>
    <tableColumn id="16" xr3:uid="{7F46BAC1-35DF-4F10-B4DD-9A9D2D34224A}" name="cnt" dataDxfId="7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CAA289-B9E7-4F49-996F-12BDAF266FB1}" name="Merge1" displayName="Merge1" ref="A1:Q611" tableType="queryTable" totalsRowShown="0" headerRowDxfId="76" dataDxfId="74" headerRowBorderDxfId="75" tableBorderDxfId="73" totalsRowBorderDxfId="72">
  <autoFilter ref="A1:Q611" xr:uid="{E3CAA289-B9E7-4F49-996F-12BDAF266FB1}"/>
  <tableColumns count="17">
    <tableColumn id="1" xr3:uid="{D82FE188-1FAC-45C0-9E47-4610DE89D3DE}" uniqueName="1" name="instant" queryTableFieldId="1" dataDxfId="71"/>
    <tableColumn id="2" xr3:uid="{0EAE3BA8-6E01-4C93-918D-78041E90FBDF}" uniqueName="2" name="dteday" queryTableFieldId="2" dataDxfId="70"/>
    <tableColumn id="3" xr3:uid="{E5065C99-97E7-4CD7-866B-BE911AD767F0}" uniqueName="3" name="season" queryTableFieldId="3" dataDxfId="69"/>
    <tableColumn id="4" xr3:uid="{0A7B1102-7727-4CCC-BB56-987F91D8E8F1}" uniqueName="4" name="yr" queryTableFieldId="4" dataDxfId="68"/>
    <tableColumn id="5" xr3:uid="{BA118A7A-A86C-41B4-852D-2ECAED1F7757}" uniqueName="5" name="mnth" queryTableFieldId="5" dataDxfId="67"/>
    <tableColumn id="6" xr3:uid="{3B3F57C9-F603-4541-950F-D03896970B79}" uniqueName="6" name="hr" queryTableFieldId="6" dataDxfId="66"/>
    <tableColumn id="7" xr3:uid="{D9B44C83-34BB-46FB-8770-D85E761E3EBC}" uniqueName="7" name="holiday" queryTableFieldId="7" dataDxfId="65"/>
    <tableColumn id="8" xr3:uid="{6BC17BB7-59A4-47BB-8DB1-4B1C615E4EB7}" uniqueName="8" name="weekday" queryTableFieldId="8" dataDxfId="64"/>
    <tableColumn id="9" xr3:uid="{292332E0-E35B-4C8E-BFEB-E62C9F60E8FB}" uniqueName="9" name="weathersit" queryTableFieldId="9" dataDxfId="63"/>
    <tableColumn id="10" xr3:uid="{3A633D72-817D-4057-A567-A50C01FC9948}" uniqueName="10" name="temp" queryTableFieldId="10" dataDxfId="62"/>
    <tableColumn id="12" xr3:uid="{FB2DBB9B-B7ED-4C3F-AD49-846924864A74}" uniqueName="12" name="instant2" queryTableFieldId="12" dataDxfId="61"/>
    <tableColumn id="13" xr3:uid="{C97FCEED-9DE6-4E3C-9DC5-822550ABF0D7}" uniqueName="13" name="atemp" queryTableFieldId="13" dataDxfId="60"/>
    <tableColumn id="14" xr3:uid="{F367380B-E79C-40D6-AACF-C9FE57DB41F2}" uniqueName="14" name="hum" queryTableFieldId="14" dataDxfId="59"/>
    <tableColumn id="15" xr3:uid="{E5B11592-6D8A-4AC3-8C0E-68EFFE14C81D}" uniqueName="15" name="windspeed" queryTableFieldId="15" dataDxfId="58"/>
    <tableColumn id="16" xr3:uid="{CC5D372B-2612-4D7E-93A1-07BDC9AD050C}" uniqueName="16" name="casual" queryTableFieldId="16" dataDxfId="57"/>
    <tableColumn id="17" xr3:uid="{EB9F89B5-FF14-4FBE-B5EA-8F40719F3F20}" uniqueName="17" name="registered" queryTableFieldId="17" dataDxfId="56"/>
    <tableColumn id="18" xr3:uid="{DCD92CA3-2F5E-4865-A67A-6903E3A039EB}" uniqueName="18" name="cnt" queryTableFieldId="18" dataDxfId="5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FFAEB7-DDD5-472B-9082-B81C8EB04DDB}" name="Append2" displayName="Append2" ref="A1:X1001" tableType="queryTable" totalsRowShown="0" headerRowDxfId="54" dataDxfId="52" headerRowBorderDxfId="53" tableBorderDxfId="51" totalsRowBorderDxfId="50">
  <autoFilter ref="A1:X1001" xr:uid="{A7FFAEB7-DDD5-472B-9082-B81C8EB04DDB}"/>
  <sortState xmlns:xlrd2="http://schemas.microsoft.com/office/spreadsheetml/2017/richdata2" ref="A2:P1001">
    <sortCondition ref="B2:B1001"/>
  </sortState>
  <tableColumns count="24">
    <tableColumn id="1" xr3:uid="{65F2DA7C-0DF9-4535-90C6-8092C408AE70}" uniqueName="1" name="instant" queryTableFieldId="1" dataDxfId="49"/>
    <tableColumn id="2" xr3:uid="{949BC434-456A-48A4-8482-882F5368FFFE}" uniqueName="2" name="dteday" queryTableFieldId="2" dataDxfId="48"/>
    <tableColumn id="3" xr3:uid="{0A6C45B8-64EF-48A2-96B0-55FF06A9CA0B}" uniqueName="3" name="season" queryTableFieldId="3" dataDxfId="47"/>
    <tableColumn id="4" xr3:uid="{A79A0680-6AF0-4605-8078-C750F3144CE5}" uniqueName="4" name="yr" queryTableFieldId="4" dataDxfId="46"/>
    <tableColumn id="5" xr3:uid="{D6812DB5-7F08-4C74-9D1B-BA3B84A5FC0B}" uniqueName="5" name="mnth" queryTableFieldId="5" dataDxfId="45"/>
    <tableColumn id="6" xr3:uid="{EDB7E376-1A9C-4484-9F5F-515D258AD932}" uniqueName="6" name="hr" queryTableFieldId="6" dataDxfId="44"/>
    <tableColumn id="7" xr3:uid="{FEDA1B41-C421-4ED7-A071-D7593ADF7002}" uniqueName="7" name="holiday" queryTableFieldId="7" dataDxfId="43"/>
    <tableColumn id="8" xr3:uid="{AEA5E4AF-1992-45B5-A9F0-25500D6ED898}" uniqueName="8" name="weekday" queryTableFieldId="8" dataDxfId="42"/>
    <tableColumn id="9" xr3:uid="{BFD9EEFE-6C28-4756-BD68-193D175296DA}" uniqueName="9" name="weathersit" queryTableFieldId="9" dataDxfId="41"/>
    <tableColumn id="10" xr3:uid="{CB20F481-1304-4847-B0FA-E0A594D7B453}" uniqueName="10" name="temp" queryTableFieldId="10" dataDxfId="40"/>
    <tableColumn id="19" xr3:uid="{A94E78BF-0FB2-4A25-BBC9-380D4F3402DC}" uniqueName="19" name="atemp" queryTableFieldId="19" dataDxfId="39"/>
    <tableColumn id="20" xr3:uid="{AE40B46C-70C0-43FE-8399-3025EFC6AE40}" uniqueName="20" name="hum" queryTableFieldId="20" dataDxfId="38"/>
    <tableColumn id="21" xr3:uid="{0998515F-5985-487D-BF93-0F14636C2470}" uniqueName="21" name="windspeed" queryTableFieldId="21"/>
    <tableColumn id="22" xr3:uid="{07013641-3ED8-41F5-AEE2-538BA0499505}" uniqueName="22" name="casual" queryTableFieldId="22" dataDxfId="37"/>
    <tableColumn id="23" xr3:uid="{9C48E381-24F3-4E6B-BF82-10E39BF9FF1C}" uniqueName="23" name="registered" queryTableFieldId="23" dataDxfId="36"/>
    <tableColumn id="24" xr3:uid="{BBF447D7-C89F-43D2-9C09-96BB0814C54E}" uniqueName="24" name="total count" queryTableFieldId="24" dataDxfId="35"/>
    <tableColumn id="25" xr3:uid="{CA8FA979-6314-493A-9A8C-EACA447708B1}" uniqueName="25" name="Weather sit" queryTableFieldId="32" dataDxfId="7">
      <calculatedColumnFormula>IF(I2=1,"Clear",IF(I2=2,"Cloudy",IF(I2=3,"Light Rain",IF(I2=4,"Heavy Rain"))))</calculatedColumnFormula>
    </tableColumn>
    <tableColumn id="11" xr3:uid="{2E849BD3-DD51-424E-862A-36FE9DEB6D65}" uniqueName="11" name="Weater situation" queryTableFieldId="25" dataDxfId="34">
      <calculatedColumnFormula>IF(I2=1,"Normal",IF(I2=2,"Yellow Alert",IF(I2=3,"Orange Alert",IF(I2=4,"Red Alert"))))</calculatedColumnFormula>
    </tableColumn>
    <tableColumn id="12" xr3:uid="{16771FA3-4714-49C7-9F27-4B5257AE413B}" uniqueName="12" name="Day " queryTableFieldId="26" dataDxfId="33">
      <calculatedColumnFormula>DAY(B:B)</calculatedColumnFormula>
    </tableColumn>
    <tableColumn id="13" xr3:uid="{D9AC0B4A-60B2-4B9D-AC14-EFE0CAB014EF}" uniqueName="13" name="Month " queryTableFieldId="27" dataDxfId="32">
      <calculatedColumnFormula>MONTH(dataset_1!B:B)</calculatedColumnFormula>
    </tableColumn>
    <tableColumn id="14" xr3:uid="{7CFE2AE2-00C1-4F59-A9DC-5F566D645FF9}" uniqueName="14" name="Year" queryTableFieldId="28" dataDxfId="31">
      <calculatedColumnFormula>YEAR(B:B)</calculatedColumnFormula>
    </tableColumn>
    <tableColumn id="15" xr3:uid="{C4A3E541-BD98-4C19-BAE1-826EC39794F2}" uniqueName="15" name="Time" queryTableFieldId="29" dataDxfId="30">
      <calculatedColumnFormula>TEXT(dataset1[[#This Row],[hr]]/24,"H AM/PM")</calculatedColumnFormula>
    </tableColumn>
    <tableColumn id="16" xr3:uid="{D6AD24BD-BA4F-4808-90BE-E2067EE572E5}" uniqueName="16" name="Days" queryTableFieldId="30" dataDxfId="29">
      <calculatedColumnFormula>IF(H2=6,"Saturday",IF(H2=0,"Sunday",IF(H2=1,"Monday",IF(H2=2,"Tuesday",IF(H2=3,"Wednesday",IF(H2=4,"Thursday",IF(H2=5,"Friday")))))))</calculatedColumnFormula>
    </tableColumn>
    <tableColumn id="17" xr3:uid="{AAA95701-C67E-4A3F-A210-42AA66D30247}" uniqueName="17" name="Working/Holiday" queryTableFieldId="31" dataDxfId="28">
      <calculatedColumnFormula>IF(G2=FALSE,"Working day", IF(G2=TRUE,"Holiday"))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1B4BF9-07BD-4E7B-87E0-11B3D3F12F03}" name="Table6" displayName="Table6" ref="D7:E11" totalsRowShown="0" headerRowDxfId="27" dataDxfId="25" headerRowBorderDxfId="26" tableBorderDxfId="24" totalsRowBorderDxfId="23">
  <autoFilter ref="D7:E11" xr:uid="{B21B4BF9-07BD-4E7B-87E0-11B3D3F12F03}"/>
  <tableColumns count="2">
    <tableColumn id="1" xr3:uid="{EEAC3CE3-F3A0-4B0F-A1DA-716E0A69CBBC}" name="Column1" dataDxfId="22"/>
    <tableColumn id="2" xr3:uid="{61F8E573-4ED6-499C-808F-EF055DBAA016}" name="Column2" dataDxfId="21"/>
  </tableColumns>
  <tableStyleInfo name="TableStyleMedium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079EF4-B569-49DB-A601-2D76A998E61A}" name="Table7" displayName="Table7" ref="D5:E9" totalsRowShown="0" headerRowDxfId="20" headerRowBorderDxfId="19" tableBorderDxfId="18" totalsRowBorderDxfId="17">
  <autoFilter ref="D5:E9" xr:uid="{6C079EF4-B569-49DB-A601-2D76A998E61A}"/>
  <tableColumns count="2">
    <tableColumn id="1" xr3:uid="{C4B5B317-A650-40E7-A5DE-764F4C80BA12}" name="Weather situation" dataDxfId="16"/>
    <tableColumn id="2" xr3:uid="{A6F940A0-58DE-4A20-8E27-D5DC30AD39EC}" name="Total count" dataDxfId="15"/>
  </tableColumns>
  <tableStyleInfo name="TableStyleMedium2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BC94DBE-2DB3-4BFB-98DB-D5CA7AB6AD4F}" name="Table912" displayName="Table912" ref="A2:D9" totalsRowShown="0" headerRowDxfId="130" headerRowBorderDxfId="129" tableBorderDxfId="128" totalsRowBorderDxfId="127">
  <autoFilter ref="A2:D9" xr:uid="{1BC94DBE-2DB3-4BFB-98DB-D5CA7AB6AD4F}"/>
  <tableColumns count="4">
    <tableColumn id="1" xr3:uid="{F3010FE0-4879-4DC0-B9C8-A8D4D741E5EA}" name="Days" dataDxfId="126"/>
    <tableColumn id="2" xr3:uid="{CF4F71B0-AD98-42C4-A3FE-7CDF4383329B}" name="Sum of casual riders" dataDxfId="125"/>
    <tableColumn id="3" xr3:uid="{4F0C0F1F-1DDA-4149-B6F4-8ACC0B3FADC6}" name="Sum of registered riders" dataDxfId="124"/>
    <tableColumn id="4" xr3:uid="{F498EDEF-57C2-4D07-A272-2B6656550F4D}" name="Sum of  total riders" dataDxfId="123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13BB83E-4B84-48E0-BFCF-243331911EF0}" name="Table14" displayName="Table14" ref="A1:B3" totalsRowShown="0" headerRowDxfId="14" dataDxfId="12" headerRowBorderDxfId="13" tableBorderDxfId="11" totalsRowBorderDxfId="10">
  <autoFilter ref="A1:B3" xr:uid="{B13BB83E-4B84-48E0-BFCF-243331911EF0}"/>
  <tableColumns count="2">
    <tableColumn id="1" xr3:uid="{77ADF33B-3EE5-4FA7-AA98-320D1930A776}" name="Column1" dataDxfId="9"/>
    <tableColumn id="2" xr3:uid="{C86A8EF6-E5F2-491E-89CC-B7982BE24789}" name="Column2" dataDxfId="8">
      <calculatedColumnFormula>SUM('final dataset'!N:N)</calculatedColumnFormula>
    </tableColumn>
  </tableColumns>
  <tableStyleInfo name="TableStyleMedium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CEFA1DD-37A0-4ADF-8D8D-E1783F477059}" name="Table15" displayName="Table15" ref="G2:H4" totalsRowShown="0">
  <autoFilter ref="G2:H4" xr:uid="{6CEFA1DD-37A0-4ADF-8D8D-E1783F477059}"/>
  <tableColumns count="2">
    <tableColumn id="1" xr3:uid="{1968BAC7-892D-405A-96D7-EF4E593A2479}" name="Column1"/>
    <tableColumn id="2" xr3:uid="{3D65E7BC-49A1-450A-BC10-657D52FAAB12}" name="Column2">
      <calculatedColumnFormula>AVERAGE('final dataset'!N:N)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11"/>
  <sheetViews>
    <sheetView topLeftCell="E1" workbookViewId="0">
      <pane ySplit="1" topLeftCell="A2" activePane="bottomLeft" state="frozen"/>
      <selection pane="bottomLeft" activeCell="K8" sqref="K8"/>
    </sheetView>
  </sheetViews>
  <sheetFormatPr defaultColWidth="12.6328125" defaultRowHeight="15.75" customHeight="1" x14ac:dyDescent="0.25"/>
  <cols>
    <col min="11" max="11" width="19.54296875" bestFit="1" customWidth="1"/>
  </cols>
  <sheetData>
    <row r="1" spans="1:10" ht="15.75" customHeight="1" x14ac:dyDescent="0.2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ht="15.75" customHeight="1" x14ac:dyDescent="0.25">
      <c r="A2" s="16">
        <v>1</v>
      </c>
      <c r="B2" s="17">
        <v>40544</v>
      </c>
      <c r="C2" s="18">
        <v>1</v>
      </c>
      <c r="D2" s="18">
        <v>0</v>
      </c>
      <c r="E2" s="18">
        <v>1</v>
      </c>
      <c r="F2" s="18">
        <v>0</v>
      </c>
      <c r="G2" s="18" t="b">
        <v>0</v>
      </c>
      <c r="H2" s="18">
        <v>6</v>
      </c>
      <c r="I2" s="18">
        <v>1</v>
      </c>
      <c r="J2" s="18">
        <v>0.24</v>
      </c>
    </row>
    <row r="3" spans="1:10" ht="15.75" customHeight="1" x14ac:dyDescent="0.25">
      <c r="A3" s="16">
        <v>2</v>
      </c>
      <c r="B3" s="17">
        <v>40544</v>
      </c>
      <c r="C3" s="18">
        <v>1</v>
      </c>
      <c r="D3" s="18">
        <v>0</v>
      </c>
      <c r="E3" s="18">
        <v>1</v>
      </c>
      <c r="F3" s="18">
        <v>1</v>
      </c>
      <c r="G3" s="18" t="b">
        <v>0</v>
      </c>
      <c r="H3" s="18">
        <v>6</v>
      </c>
      <c r="I3" s="18">
        <v>1</v>
      </c>
      <c r="J3" s="18">
        <v>0.22</v>
      </c>
    </row>
    <row r="4" spans="1:10" ht="15.75" customHeight="1" x14ac:dyDescent="0.25">
      <c r="A4" s="16">
        <v>3</v>
      </c>
      <c r="B4" s="17">
        <v>40544</v>
      </c>
      <c r="C4" s="18">
        <v>1</v>
      </c>
      <c r="D4" s="18">
        <v>0</v>
      </c>
      <c r="E4" s="18">
        <v>1</v>
      </c>
      <c r="F4" s="18">
        <v>2</v>
      </c>
      <c r="G4" s="18" t="b">
        <v>0</v>
      </c>
      <c r="H4" s="18">
        <v>6</v>
      </c>
      <c r="I4" s="18">
        <v>1</v>
      </c>
      <c r="J4" s="18">
        <v>0.22</v>
      </c>
    </row>
    <row r="5" spans="1:10" ht="15.75" customHeight="1" x14ac:dyDescent="0.25">
      <c r="A5" s="16">
        <v>4</v>
      </c>
      <c r="B5" s="17">
        <v>40544</v>
      </c>
      <c r="C5" s="18">
        <v>1</v>
      </c>
      <c r="D5" s="18">
        <v>0</v>
      </c>
      <c r="E5" s="18">
        <v>1</v>
      </c>
      <c r="F5" s="18">
        <v>3</v>
      </c>
      <c r="G5" s="18" t="b">
        <v>0</v>
      </c>
      <c r="H5" s="18">
        <v>6</v>
      </c>
      <c r="I5" s="18">
        <v>1</v>
      </c>
      <c r="J5" s="18">
        <v>0.24</v>
      </c>
    </row>
    <row r="6" spans="1:10" ht="15.75" customHeight="1" x14ac:dyDescent="0.25">
      <c r="A6" s="16">
        <v>5</v>
      </c>
      <c r="B6" s="17">
        <v>40544</v>
      </c>
      <c r="C6" s="18">
        <v>1</v>
      </c>
      <c r="D6" s="18">
        <v>0</v>
      </c>
      <c r="E6" s="18">
        <v>1</v>
      </c>
      <c r="F6" s="18">
        <v>4</v>
      </c>
      <c r="G6" s="18" t="b">
        <v>0</v>
      </c>
      <c r="H6" s="18">
        <v>6</v>
      </c>
      <c r="I6" s="18">
        <v>1</v>
      </c>
      <c r="J6" s="18">
        <v>0.24</v>
      </c>
    </row>
    <row r="7" spans="1:10" ht="15.75" customHeight="1" x14ac:dyDescent="0.25">
      <c r="A7" s="16">
        <v>6</v>
      </c>
      <c r="B7" s="17">
        <v>40544</v>
      </c>
      <c r="C7" s="18">
        <v>1</v>
      </c>
      <c r="D7" s="18">
        <v>0</v>
      </c>
      <c r="E7" s="18">
        <v>1</v>
      </c>
      <c r="F7" s="18">
        <v>5</v>
      </c>
      <c r="G7" s="18" t="b">
        <v>0</v>
      </c>
      <c r="H7" s="18">
        <v>6</v>
      </c>
      <c r="I7" s="18">
        <v>2</v>
      </c>
      <c r="J7" s="18">
        <v>0.24</v>
      </c>
    </row>
    <row r="8" spans="1:10" ht="15.75" customHeight="1" x14ac:dyDescent="0.25">
      <c r="A8" s="16">
        <v>7</v>
      </c>
      <c r="B8" s="17">
        <v>40544</v>
      </c>
      <c r="C8" s="18">
        <v>1</v>
      </c>
      <c r="D8" s="18">
        <v>0</v>
      </c>
      <c r="E8" s="18">
        <v>1</v>
      </c>
      <c r="F8" s="18">
        <v>6</v>
      </c>
      <c r="G8" s="18" t="b">
        <v>0</v>
      </c>
      <c r="H8" s="18">
        <v>6</v>
      </c>
      <c r="I8" s="18">
        <v>1</v>
      </c>
      <c r="J8" s="18">
        <v>0.22</v>
      </c>
    </row>
    <row r="9" spans="1:10" ht="15.75" customHeight="1" x14ac:dyDescent="0.25">
      <c r="A9" s="16">
        <v>8</v>
      </c>
      <c r="B9" s="17">
        <v>40544</v>
      </c>
      <c r="C9" s="18">
        <v>1</v>
      </c>
      <c r="D9" s="18">
        <v>0</v>
      </c>
      <c r="E9" s="18">
        <v>1</v>
      </c>
      <c r="F9" s="18">
        <v>7</v>
      </c>
      <c r="G9" s="18" t="b">
        <v>0</v>
      </c>
      <c r="H9" s="18">
        <v>6</v>
      </c>
      <c r="I9" s="18">
        <v>1</v>
      </c>
      <c r="J9" s="18">
        <v>0.2</v>
      </c>
    </row>
    <row r="10" spans="1:10" ht="15.75" customHeight="1" x14ac:dyDescent="0.25">
      <c r="A10" s="16">
        <v>9</v>
      </c>
      <c r="B10" s="17">
        <v>40544</v>
      </c>
      <c r="C10" s="18">
        <v>1</v>
      </c>
      <c r="D10" s="18">
        <v>0</v>
      </c>
      <c r="E10" s="18">
        <v>1</v>
      </c>
      <c r="F10" s="18">
        <v>8</v>
      </c>
      <c r="G10" s="18" t="b">
        <v>0</v>
      </c>
      <c r="H10" s="18">
        <v>6</v>
      </c>
      <c r="I10" s="18">
        <v>1</v>
      </c>
      <c r="J10" s="18">
        <v>0.24</v>
      </c>
    </row>
    <row r="11" spans="1:10" ht="15.75" customHeight="1" x14ac:dyDescent="0.25">
      <c r="A11" s="16">
        <v>10</v>
      </c>
      <c r="B11" s="17">
        <v>40544</v>
      </c>
      <c r="C11" s="18">
        <v>1</v>
      </c>
      <c r="D11" s="18">
        <v>0</v>
      </c>
      <c r="E11" s="18">
        <v>1</v>
      </c>
      <c r="F11" s="18">
        <v>9</v>
      </c>
      <c r="G11" s="18" t="b">
        <v>0</v>
      </c>
      <c r="H11" s="18">
        <v>6</v>
      </c>
      <c r="I11" s="18">
        <v>1</v>
      </c>
      <c r="J11" s="18">
        <v>0.32</v>
      </c>
    </row>
    <row r="12" spans="1:10" ht="15.75" customHeight="1" x14ac:dyDescent="0.25">
      <c r="A12" s="16">
        <v>11</v>
      </c>
      <c r="B12" s="17">
        <v>40544</v>
      </c>
      <c r="C12" s="18">
        <v>1</v>
      </c>
      <c r="D12" s="18">
        <v>0</v>
      </c>
      <c r="E12" s="18">
        <v>1</v>
      </c>
      <c r="F12" s="18">
        <v>10</v>
      </c>
      <c r="G12" s="18" t="b">
        <v>0</v>
      </c>
      <c r="H12" s="18">
        <v>6</v>
      </c>
      <c r="I12" s="18">
        <v>1</v>
      </c>
      <c r="J12" s="18">
        <v>0.38</v>
      </c>
    </row>
    <row r="13" spans="1:10" ht="15.75" customHeight="1" x14ac:dyDescent="0.25">
      <c r="A13" s="16">
        <v>12</v>
      </c>
      <c r="B13" s="17">
        <v>40544</v>
      </c>
      <c r="C13" s="18">
        <v>1</v>
      </c>
      <c r="D13" s="18">
        <v>0</v>
      </c>
      <c r="E13" s="18">
        <v>1</v>
      </c>
      <c r="F13" s="18">
        <v>11</v>
      </c>
      <c r="G13" s="18" t="b">
        <v>0</v>
      </c>
      <c r="H13" s="18">
        <v>6</v>
      </c>
      <c r="I13" s="18">
        <v>1</v>
      </c>
      <c r="J13" s="18">
        <v>0.36</v>
      </c>
    </row>
    <row r="14" spans="1:10" ht="15.75" customHeight="1" x14ac:dyDescent="0.25">
      <c r="A14" s="16">
        <v>13</v>
      </c>
      <c r="B14" s="17">
        <v>40544</v>
      </c>
      <c r="C14" s="18">
        <v>1</v>
      </c>
      <c r="D14" s="18">
        <v>0</v>
      </c>
      <c r="E14" s="18">
        <v>1</v>
      </c>
      <c r="F14" s="18">
        <v>12</v>
      </c>
      <c r="G14" s="18" t="b">
        <v>0</v>
      </c>
      <c r="H14" s="18">
        <v>6</v>
      </c>
      <c r="I14" s="18">
        <v>1</v>
      </c>
      <c r="J14" s="18">
        <v>0.42</v>
      </c>
    </row>
    <row r="15" spans="1:10" ht="15.75" customHeight="1" x14ac:dyDescent="0.25">
      <c r="A15" s="16">
        <v>14</v>
      </c>
      <c r="B15" s="17">
        <v>40544</v>
      </c>
      <c r="C15" s="18">
        <v>1</v>
      </c>
      <c r="D15" s="18">
        <v>0</v>
      </c>
      <c r="E15" s="18">
        <v>1</v>
      </c>
      <c r="F15" s="18">
        <v>13</v>
      </c>
      <c r="G15" s="18" t="b">
        <v>0</v>
      </c>
      <c r="H15" s="18">
        <v>6</v>
      </c>
      <c r="I15" s="18">
        <v>2</v>
      </c>
      <c r="J15" s="18">
        <v>0.46</v>
      </c>
    </row>
    <row r="16" spans="1:10" ht="15.75" customHeight="1" x14ac:dyDescent="0.25">
      <c r="A16" s="16">
        <v>15</v>
      </c>
      <c r="B16" s="17">
        <v>40544</v>
      </c>
      <c r="C16" s="18">
        <v>1</v>
      </c>
      <c r="D16" s="18">
        <v>0</v>
      </c>
      <c r="E16" s="18">
        <v>1</v>
      </c>
      <c r="F16" s="18">
        <v>14</v>
      </c>
      <c r="G16" s="18" t="b">
        <v>0</v>
      </c>
      <c r="H16" s="18">
        <v>6</v>
      </c>
      <c r="I16" s="18">
        <v>2</v>
      </c>
      <c r="J16" s="18">
        <v>0.46</v>
      </c>
    </row>
    <row r="17" spans="1:10" ht="15.75" customHeight="1" x14ac:dyDescent="0.25">
      <c r="A17" s="16">
        <v>16</v>
      </c>
      <c r="B17" s="17">
        <v>40544</v>
      </c>
      <c r="C17" s="18">
        <v>1</v>
      </c>
      <c r="D17" s="18">
        <v>0</v>
      </c>
      <c r="E17" s="18">
        <v>1</v>
      </c>
      <c r="F17" s="18">
        <v>15</v>
      </c>
      <c r="G17" s="18" t="b">
        <v>0</v>
      </c>
      <c r="H17" s="18">
        <v>6</v>
      </c>
      <c r="I17" s="18">
        <v>2</v>
      </c>
      <c r="J17" s="18">
        <v>0.44</v>
      </c>
    </row>
    <row r="18" spans="1:10" ht="15.75" customHeight="1" x14ac:dyDescent="0.25">
      <c r="A18" s="16">
        <v>17</v>
      </c>
      <c r="B18" s="17">
        <v>40544</v>
      </c>
      <c r="C18" s="18">
        <v>1</v>
      </c>
      <c r="D18" s="18">
        <v>0</v>
      </c>
      <c r="E18" s="18">
        <v>1</v>
      </c>
      <c r="F18" s="18">
        <v>16</v>
      </c>
      <c r="G18" s="18" t="b">
        <v>0</v>
      </c>
      <c r="H18" s="18">
        <v>6</v>
      </c>
      <c r="I18" s="18">
        <v>2</v>
      </c>
      <c r="J18" s="18">
        <v>0.42</v>
      </c>
    </row>
    <row r="19" spans="1:10" ht="15.75" customHeight="1" x14ac:dyDescent="0.25">
      <c r="A19" s="16">
        <v>18</v>
      </c>
      <c r="B19" s="17">
        <v>40544</v>
      </c>
      <c r="C19" s="18">
        <v>1</v>
      </c>
      <c r="D19" s="18">
        <v>0</v>
      </c>
      <c r="E19" s="18">
        <v>1</v>
      </c>
      <c r="F19" s="18">
        <v>17</v>
      </c>
      <c r="G19" s="18" t="b">
        <v>0</v>
      </c>
      <c r="H19" s="18">
        <v>6</v>
      </c>
      <c r="I19" s="18">
        <v>2</v>
      </c>
      <c r="J19" s="18">
        <v>0.44</v>
      </c>
    </row>
    <row r="20" spans="1:10" ht="12.5" x14ac:dyDescent="0.25">
      <c r="A20" s="16">
        <v>19</v>
      </c>
      <c r="B20" s="17">
        <v>40544</v>
      </c>
      <c r="C20" s="18">
        <v>1</v>
      </c>
      <c r="D20" s="18">
        <v>0</v>
      </c>
      <c r="E20" s="18">
        <v>1</v>
      </c>
      <c r="F20" s="18">
        <v>18</v>
      </c>
      <c r="G20" s="18" t="b">
        <v>0</v>
      </c>
      <c r="H20" s="18">
        <v>6</v>
      </c>
      <c r="I20" s="18">
        <v>3</v>
      </c>
      <c r="J20" s="18">
        <v>0.42</v>
      </c>
    </row>
    <row r="21" spans="1:10" ht="12.5" x14ac:dyDescent="0.25">
      <c r="A21" s="16">
        <v>20</v>
      </c>
      <c r="B21" s="17">
        <v>40544</v>
      </c>
      <c r="C21" s="18">
        <v>1</v>
      </c>
      <c r="D21" s="18">
        <v>0</v>
      </c>
      <c r="E21" s="18">
        <v>1</v>
      </c>
      <c r="F21" s="18">
        <v>19</v>
      </c>
      <c r="G21" s="18" t="b">
        <v>0</v>
      </c>
      <c r="H21" s="18">
        <v>6</v>
      </c>
      <c r="I21" s="18">
        <v>3</v>
      </c>
      <c r="J21" s="18">
        <v>0.42</v>
      </c>
    </row>
    <row r="22" spans="1:10" ht="12.5" x14ac:dyDescent="0.25">
      <c r="A22" s="16">
        <v>21</v>
      </c>
      <c r="B22" s="17">
        <v>40544</v>
      </c>
      <c r="C22" s="18">
        <v>1</v>
      </c>
      <c r="D22" s="18">
        <v>0</v>
      </c>
      <c r="E22" s="18">
        <v>1</v>
      </c>
      <c r="F22" s="18">
        <v>20</v>
      </c>
      <c r="G22" s="18" t="b">
        <v>0</v>
      </c>
      <c r="H22" s="18">
        <v>6</v>
      </c>
      <c r="I22" s="18">
        <v>2</v>
      </c>
      <c r="J22" s="18">
        <v>0.4</v>
      </c>
    </row>
    <row r="23" spans="1:10" ht="12.5" x14ac:dyDescent="0.25">
      <c r="A23" s="16">
        <v>22</v>
      </c>
      <c r="B23" s="17">
        <v>40544</v>
      </c>
      <c r="C23" s="18">
        <v>1</v>
      </c>
      <c r="D23" s="18">
        <v>0</v>
      </c>
      <c r="E23" s="18">
        <v>1</v>
      </c>
      <c r="F23" s="18">
        <v>21</v>
      </c>
      <c r="G23" s="18" t="b">
        <v>0</v>
      </c>
      <c r="H23" s="18">
        <v>6</v>
      </c>
      <c r="I23" s="18">
        <v>2</v>
      </c>
      <c r="J23" s="18">
        <v>0.4</v>
      </c>
    </row>
    <row r="24" spans="1:10" ht="12.5" x14ac:dyDescent="0.25">
      <c r="A24" s="16">
        <v>23</v>
      </c>
      <c r="B24" s="17">
        <v>40544</v>
      </c>
      <c r="C24" s="18">
        <v>1</v>
      </c>
      <c r="D24" s="18">
        <v>0</v>
      </c>
      <c r="E24" s="18">
        <v>1</v>
      </c>
      <c r="F24" s="18">
        <v>22</v>
      </c>
      <c r="G24" s="18" t="b">
        <v>0</v>
      </c>
      <c r="H24" s="18">
        <v>6</v>
      </c>
      <c r="I24" s="18">
        <v>2</v>
      </c>
      <c r="J24" s="18">
        <v>0.4</v>
      </c>
    </row>
    <row r="25" spans="1:10" ht="12.5" x14ac:dyDescent="0.25">
      <c r="A25" s="16">
        <v>24</v>
      </c>
      <c r="B25" s="17">
        <v>40544</v>
      </c>
      <c r="C25" s="18">
        <v>1</v>
      </c>
      <c r="D25" s="18">
        <v>0</v>
      </c>
      <c r="E25" s="18">
        <v>1</v>
      </c>
      <c r="F25" s="18">
        <v>23</v>
      </c>
      <c r="G25" s="18" t="b">
        <v>0</v>
      </c>
      <c r="H25" s="18">
        <v>6</v>
      </c>
      <c r="I25" s="18">
        <v>2</v>
      </c>
      <c r="J25" s="18">
        <v>0.46</v>
      </c>
    </row>
    <row r="26" spans="1:10" ht="12.5" x14ac:dyDescent="0.25">
      <c r="A26" s="16">
        <v>25</v>
      </c>
      <c r="B26" s="17">
        <v>40545</v>
      </c>
      <c r="C26" s="18">
        <v>1</v>
      </c>
      <c r="D26" s="18">
        <v>0</v>
      </c>
      <c r="E26" s="18">
        <v>1</v>
      </c>
      <c r="F26" s="18">
        <v>0</v>
      </c>
      <c r="G26" s="18" t="b">
        <v>0</v>
      </c>
      <c r="H26" s="18">
        <v>0</v>
      </c>
      <c r="I26" s="18">
        <v>2</v>
      </c>
      <c r="J26" s="18">
        <v>0.46</v>
      </c>
    </row>
    <row r="27" spans="1:10" ht="12.5" x14ac:dyDescent="0.25">
      <c r="A27" s="16">
        <v>26</v>
      </c>
      <c r="B27" s="17">
        <v>40545</v>
      </c>
      <c r="C27" s="18">
        <v>1</v>
      </c>
      <c r="D27" s="18">
        <v>0</v>
      </c>
      <c r="E27" s="18">
        <v>1</v>
      </c>
      <c r="F27" s="18">
        <v>1</v>
      </c>
      <c r="G27" s="18" t="b">
        <v>0</v>
      </c>
      <c r="H27" s="18">
        <v>0</v>
      </c>
      <c r="I27" s="18">
        <v>2</v>
      </c>
      <c r="J27" s="18">
        <v>0.44</v>
      </c>
    </row>
    <row r="28" spans="1:10" ht="12.5" x14ac:dyDescent="0.25">
      <c r="A28" s="16">
        <v>27</v>
      </c>
      <c r="B28" s="17">
        <v>40545</v>
      </c>
      <c r="C28" s="18">
        <v>1</v>
      </c>
      <c r="D28" s="18">
        <v>0</v>
      </c>
      <c r="E28" s="18">
        <v>1</v>
      </c>
      <c r="F28" s="18">
        <v>2</v>
      </c>
      <c r="G28" s="18" t="b">
        <v>0</v>
      </c>
      <c r="H28" s="18">
        <v>0</v>
      </c>
      <c r="I28" s="18">
        <v>2</v>
      </c>
      <c r="J28" s="18">
        <v>0.42</v>
      </c>
    </row>
    <row r="29" spans="1:10" ht="12.5" x14ac:dyDescent="0.25">
      <c r="A29" s="16">
        <v>28</v>
      </c>
      <c r="B29" s="17">
        <v>40545</v>
      </c>
      <c r="C29" s="18">
        <v>1</v>
      </c>
      <c r="D29" s="18">
        <v>0</v>
      </c>
      <c r="E29" s="18">
        <v>1</v>
      </c>
      <c r="F29" s="18">
        <v>3</v>
      </c>
      <c r="G29" s="18" t="b">
        <v>0</v>
      </c>
      <c r="H29" s="18">
        <v>0</v>
      </c>
      <c r="I29" s="18">
        <v>2</v>
      </c>
      <c r="J29" s="18">
        <v>0.46</v>
      </c>
    </row>
    <row r="30" spans="1:10" ht="12.5" x14ac:dyDescent="0.25">
      <c r="A30" s="16">
        <v>29</v>
      </c>
      <c r="B30" s="17">
        <v>40545</v>
      </c>
      <c r="C30" s="18">
        <v>1</v>
      </c>
      <c r="D30" s="18">
        <v>0</v>
      </c>
      <c r="E30" s="18">
        <v>1</v>
      </c>
      <c r="F30" s="18">
        <v>4</v>
      </c>
      <c r="G30" s="18" t="b">
        <v>0</v>
      </c>
      <c r="H30" s="18">
        <v>0</v>
      </c>
      <c r="I30" s="18">
        <v>2</v>
      </c>
      <c r="J30" s="18">
        <v>0.46</v>
      </c>
    </row>
    <row r="31" spans="1:10" ht="12.5" x14ac:dyDescent="0.25">
      <c r="A31" s="16">
        <v>30</v>
      </c>
      <c r="B31" s="17">
        <v>40545</v>
      </c>
      <c r="C31" s="18">
        <v>1</v>
      </c>
      <c r="D31" s="18">
        <v>0</v>
      </c>
      <c r="E31" s="18">
        <v>1</v>
      </c>
      <c r="F31" s="18">
        <v>6</v>
      </c>
      <c r="G31" s="18" t="b">
        <v>0</v>
      </c>
      <c r="H31" s="18">
        <v>0</v>
      </c>
      <c r="I31" s="18">
        <v>3</v>
      </c>
      <c r="J31" s="18">
        <v>0.42</v>
      </c>
    </row>
    <row r="32" spans="1:10" ht="12.5" x14ac:dyDescent="0.25">
      <c r="A32" s="16">
        <v>31</v>
      </c>
      <c r="B32" s="17">
        <v>40545</v>
      </c>
      <c r="C32" s="18">
        <v>1</v>
      </c>
      <c r="D32" s="18">
        <v>0</v>
      </c>
      <c r="E32" s="18">
        <v>1</v>
      </c>
      <c r="F32" s="18">
        <v>7</v>
      </c>
      <c r="G32" s="18" t="b">
        <v>0</v>
      </c>
      <c r="H32" s="18">
        <v>0</v>
      </c>
      <c r="I32" s="18">
        <v>2</v>
      </c>
      <c r="J32" s="18">
        <v>0.4</v>
      </c>
    </row>
    <row r="33" spans="1:10" ht="12.5" x14ac:dyDescent="0.25">
      <c r="A33" s="16">
        <v>32</v>
      </c>
      <c r="B33" s="17">
        <v>40545</v>
      </c>
      <c r="C33" s="18">
        <v>1</v>
      </c>
      <c r="D33" s="18">
        <v>0</v>
      </c>
      <c r="E33" s="18">
        <v>1</v>
      </c>
      <c r="F33" s="18">
        <v>8</v>
      </c>
      <c r="G33" s="18" t="b">
        <v>0</v>
      </c>
      <c r="H33" s="18">
        <v>0</v>
      </c>
      <c r="I33" s="18">
        <v>3</v>
      </c>
      <c r="J33" s="18">
        <v>0.4</v>
      </c>
    </row>
    <row r="34" spans="1:10" ht="12.5" x14ac:dyDescent="0.25">
      <c r="A34" s="16">
        <v>33</v>
      </c>
      <c r="B34" s="17">
        <v>40545</v>
      </c>
      <c r="C34" s="18">
        <v>1</v>
      </c>
      <c r="D34" s="18">
        <v>0</v>
      </c>
      <c r="E34" s="18">
        <v>1</v>
      </c>
      <c r="F34" s="18">
        <v>9</v>
      </c>
      <c r="G34" s="18" t="b">
        <v>0</v>
      </c>
      <c r="H34" s="18">
        <v>0</v>
      </c>
      <c r="I34" s="18">
        <v>2</v>
      </c>
      <c r="J34" s="18">
        <v>0.38</v>
      </c>
    </row>
    <row r="35" spans="1:10" ht="12.5" x14ac:dyDescent="0.25">
      <c r="A35" s="16">
        <v>34</v>
      </c>
      <c r="B35" s="17">
        <v>40545</v>
      </c>
      <c r="C35" s="18">
        <v>1</v>
      </c>
      <c r="D35" s="18">
        <v>0</v>
      </c>
      <c r="E35" s="18">
        <v>1</v>
      </c>
      <c r="F35" s="18">
        <v>10</v>
      </c>
      <c r="G35" s="18" t="b">
        <v>0</v>
      </c>
      <c r="H35" s="18">
        <v>0</v>
      </c>
      <c r="I35" s="18">
        <v>2</v>
      </c>
      <c r="J35" s="18">
        <v>0.36</v>
      </c>
    </row>
    <row r="36" spans="1:10" ht="12.5" x14ac:dyDescent="0.25">
      <c r="A36" s="16">
        <v>35</v>
      </c>
      <c r="B36" s="17">
        <v>40545</v>
      </c>
      <c r="C36" s="18">
        <v>1</v>
      </c>
      <c r="D36" s="18">
        <v>0</v>
      </c>
      <c r="E36" s="18">
        <v>1</v>
      </c>
      <c r="F36" s="18">
        <v>11</v>
      </c>
      <c r="G36" s="18" t="b">
        <v>0</v>
      </c>
      <c r="H36" s="18">
        <v>0</v>
      </c>
      <c r="I36" s="18">
        <v>2</v>
      </c>
      <c r="J36" s="18">
        <v>0.36</v>
      </c>
    </row>
    <row r="37" spans="1:10" ht="12.5" x14ac:dyDescent="0.25">
      <c r="A37" s="16">
        <v>36</v>
      </c>
      <c r="B37" s="17">
        <v>40545</v>
      </c>
      <c r="C37" s="18">
        <v>1</v>
      </c>
      <c r="D37" s="18">
        <v>0</v>
      </c>
      <c r="E37" s="18">
        <v>1</v>
      </c>
      <c r="F37" s="18">
        <v>12</v>
      </c>
      <c r="G37" s="18" t="b">
        <v>0</v>
      </c>
      <c r="H37" s="18">
        <v>0</v>
      </c>
      <c r="I37" s="18">
        <v>2</v>
      </c>
      <c r="J37" s="18">
        <v>0.36</v>
      </c>
    </row>
    <row r="38" spans="1:10" ht="12.5" x14ac:dyDescent="0.25">
      <c r="A38" s="16">
        <v>37</v>
      </c>
      <c r="B38" s="17">
        <v>40545</v>
      </c>
      <c r="C38" s="18">
        <v>1</v>
      </c>
      <c r="D38" s="18">
        <v>0</v>
      </c>
      <c r="E38" s="18">
        <v>1</v>
      </c>
      <c r="F38" s="18">
        <v>13</v>
      </c>
      <c r="G38" s="18" t="b">
        <v>0</v>
      </c>
      <c r="H38" s="18">
        <v>0</v>
      </c>
      <c r="I38" s="18">
        <v>2</v>
      </c>
      <c r="J38" s="18">
        <v>0.36</v>
      </c>
    </row>
    <row r="39" spans="1:10" ht="12.5" x14ac:dyDescent="0.25">
      <c r="A39" s="16">
        <v>38</v>
      </c>
      <c r="B39" s="17">
        <v>40545</v>
      </c>
      <c r="C39" s="18">
        <v>1</v>
      </c>
      <c r="D39" s="18">
        <v>0</v>
      </c>
      <c r="E39" s="18">
        <v>1</v>
      </c>
      <c r="F39" s="18">
        <v>14</v>
      </c>
      <c r="G39" s="18" t="b">
        <v>0</v>
      </c>
      <c r="H39" s="18">
        <v>0</v>
      </c>
      <c r="I39" s="18">
        <v>3</v>
      </c>
      <c r="J39" s="18">
        <v>0.36</v>
      </c>
    </row>
    <row r="40" spans="1:10" ht="12.5" x14ac:dyDescent="0.25">
      <c r="A40" s="16">
        <v>39</v>
      </c>
      <c r="B40" s="17">
        <v>40545</v>
      </c>
      <c r="C40" s="18">
        <v>1</v>
      </c>
      <c r="D40" s="18">
        <v>0</v>
      </c>
      <c r="E40" s="18">
        <v>1</v>
      </c>
      <c r="F40" s="18">
        <v>15</v>
      </c>
      <c r="G40" s="18" t="b">
        <v>0</v>
      </c>
      <c r="H40" s="18">
        <v>0</v>
      </c>
      <c r="I40" s="18">
        <v>3</v>
      </c>
      <c r="J40" s="18">
        <v>0.34</v>
      </c>
    </row>
    <row r="41" spans="1:10" ht="12.5" x14ac:dyDescent="0.25">
      <c r="A41" s="16">
        <v>40</v>
      </c>
      <c r="B41" s="17">
        <v>40545</v>
      </c>
      <c r="C41" s="18">
        <v>1</v>
      </c>
      <c r="D41" s="18">
        <v>0</v>
      </c>
      <c r="E41" s="18">
        <v>1</v>
      </c>
      <c r="F41" s="18">
        <v>16</v>
      </c>
      <c r="G41" s="18" t="b">
        <v>0</v>
      </c>
      <c r="H41" s="18">
        <v>0</v>
      </c>
      <c r="I41" s="18">
        <v>3</v>
      </c>
      <c r="J41" s="18">
        <v>0.34</v>
      </c>
    </row>
    <row r="42" spans="1:10" ht="12.5" x14ac:dyDescent="0.25">
      <c r="A42" s="16">
        <v>41</v>
      </c>
      <c r="B42" s="17">
        <v>40545</v>
      </c>
      <c r="C42" s="18">
        <v>1</v>
      </c>
      <c r="D42" s="18">
        <v>0</v>
      </c>
      <c r="E42" s="18">
        <v>1</v>
      </c>
      <c r="F42" s="18">
        <v>17</v>
      </c>
      <c r="G42" s="18" t="b">
        <v>0</v>
      </c>
      <c r="H42" s="18">
        <v>0</v>
      </c>
      <c r="I42" s="18">
        <v>1</v>
      </c>
      <c r="J42" s="18">
        <v>0.34</v>
      </c>
    </row>
    <row r="43" spans="1:10" ht="12.5" x14ac:dyDescent="0.25">
      <c r="A43" s="16">
        <v>42</v>
      </c>
      <c r="B43" s="17">
        <v>40545</v>
      </c>
      <c r="C43" s="18">
        <v>1</v>
      </c>
      <c r="D43" s="18">
        <v>0</v>
      </c>
      <c r="E43" s="18">
        <v>1</v>
      </c>
      <c r="F43" s="18">
        <v>18</v>
      </c>
      <c r="G43" s="18" t="b">
        <v>0</v>
      </c>
      <c r="H43" s="18">
        <v>0</v>
      </c>
      <c r="I43" s="18">
        <v>2</v>
      </c>
      <c r="J43" s="18">
        <v>0.36</v>
      </c>
    </row>
    <row r="44" spans="1:10" ht="12.5" x14ac:dyDescent="0.25">
      <c r="A44" s="16">
        <v>43</v>
      </c>
      <c r="B44" s="17">
        <v>40545</v>
      </c>
      <c r="C44" s="18">
        <v>1</v>
      </c>
      <c r="D44" s="18">
        <v>0</v>
      </c>
      <c r="E44" s="18">
        <v>1</v>
      </c>
      <c r="F44" s="18">
        <v>19</v>
      </c>
      <c r="G44" s="18" t="b">
        <v>0</v>
      </c>
      <c r="H44" s="18">
        <v>0</v>
      </c>
      <c r="I44" s="18">
        <v>1</v>
      </c>
      <c r="J44" s="18">
        <v>0.32</v>
      </c>
    </row>
    <row r="45" spans="1:10" ht="12.5" x14ac:dyDescent="0.25">
      <c r="A45" s="16">
        <v>44</v>
      </c>
      <c r="B45" s="17">
        <v>40545</v>
      </c>
      <c r="C45" s="18">
        <v>1</v>
      </c>
      <c r="D45" s="18">
        <v>0</v>
      </c>
      <c r="E45" s="18">
        <v>1</v>
      </c>
      <c r="F45" s="18">
        <v>20</v>
      </c>
      <c r="G45" s="18" t="b">
        <v>0</v>
      </c>
      <c r="H45" s="18">
        <v>0</v>
      </c>
      <c r="I45" s="18">
        <v>1</v>
      </c>
      <c r="J45" s="18">
        <v>0.3</v>
      </c>
    </row>
    <row r="46" spans="1:10" ht="12.5" x14ac:dyDescent="0.25">
      <c r="A46" s="16">
        <v>45</v>
      </c>
      <c r="B46" s="17">
        <v>40545</v>
      </c>
      <c r="C46" s="18">
        <v>1</v>
      </c>
      <c r="D46" s="18">
        <v>0</v>
      </c>
      <c r="E46" s="18">
        <v>1</v>
      </c>
      <c r="F46" s="18">
        <v>21</v>
      </c>
      <c r="G46" s="18" t="b">
        <v>0</v>
      </c>
      <c r="H46" s="18">
        <v>0</v>
      </c>
      <c r="I46" s="18">
        <v>1</v>
      </c>
      <c r="J46" s="18">
        <v>0.26</v>
      </c>
    </row>
    <row r="47" spans="1:10" ht="12.5" x14ac:dyDescent="0.25">
      <c r="A47" s="16">
        <v>46</v>
      </c>
      <c r="B47" s="17">
        <v>40545</v>
      </c>
      <c r="C47" s="18">
        <v>1</v>
      </c>
      <c r="D47" s="18">
        <v>0</v>
      </c>
      <c r="E47" s="18">
        <v>1</v>
      </c>
      <c r="F47" s="18">
        <v>22</v>
      </c>
      <c r="G47" s="18" t="b">
        <v>0</v>
      </c>
      <c r="H47" s="18">
        <v>0</v>
      </c>
      <c r="I47" s="18">
        <v>1</v>
      </c>
      <c r="J47" s="18">
        <v>0.24</v>
      </c>
    </row>
    <row r="48" spans="1:10" ht="12.5" x14ac:dyDescent="0.25">
      <c r="A48" s="16">
        <v>47</v>
      </c>
      <c r="B48" s="17">
        <v>40545</v>
      </c>
      <c r="C48" s="18">
        <v>1</v>
      </c>
      <c r="D48" s="18">
        <v>0</v>
      </c>
      <c r="E48" s="18">
        <v>1</v>
      </c>
      <c r="F48" s="18">
        <v>23</v>
      </c>
      <c r="G48" s="18" t="b">
        <v>0</v>
      </c>
      <c r="H48" s="18">
        <v>0</v>
      </c>
      <c r="I48" s="18">
        <v>1</v>
      </c>
      <c r="J48" s="18">
        <v>0.22</v>
      </c>
    </row>
    <row r="49" spans="1:10" ht="12.5" x14ac:dyDescent="0.25">
      <c r="A49" s="16">
        <v>48</v>
      </c>
      <c r="B49" s="17">
        <v>40546</v>
      </c>
      <c r="C49" s="18">
        <v>1</v>
      </c>
      <c r="D49" s="18">
        <v>0</v>
      </c>
      <c r="E49" s="18">
        <v>1</v>
      </c>
      <c r="F49" s="18">
        <v>0</v>
      </c>
      <c r="G49" s="18" t="b">
        <v>0</v>
      </c>
      <c r="H49" s="18">
        <v>1</v>
      </c>
      <c r="I49" s="18">
        <v>1</v>
      </c>
      <c r="J49" s="18">
        <v>0.22</v>
      </c>
    </row>
    <row r="50" spans="1:10" ht="12.5" x14ac:dyDescent="0.25">
      <c r="A50" s="16">
        <v>49</v>
      </c>
      <c r="B50" s="17">
        <v>40546</v>
      </c>
      <c r="C50" s="18">
        <v>1</v>
      </c>
      <c r="D50" s="18">
        <v>0</v>
      </c>
      <c r="E50" s="18">
        <v>1</v>
      </c>
      <c r="F50" s="18">
        <v>1</v>
      </c>
      <c r="G50" s="18" t="b">
        <v>0</v>
      </c>
      <c r="H50" s="18">
        <v>1</v>
      </c>
      <c r="I50" s="18">
        <v>1</v>
      </c>
      <c r="J50" s="18">
        <v>0.2</v>
      </c>
    </row>
    <row r="51" spans="1:10" ht="12.5" x14ac:dyDescent="0.25">
      <c r="A51" s="16">
        <v>50</v>
      </c>
      <c r="B51" s="17">
        <v>40546</v>
      </c>
      <c r="C51" s="18">
        <v>1</v>
      </c>
      <c r="D51" s="18">
        <v>0</v>
      </c>
      <c r="E51" s="18">
        <v>1</v>
      </c>
      <c r="F51" s="18">
        <v>4</v>
      </c>
      <c r="G51" s="18" t="b">
        <v>0</v>
      </c>
      <c r="H51" s="18">
        <v>1</v>
      </c>
      <c r="I51" s="18">
        <v>1</v>
      </c>
      <c r="J51" s="18">
        <v>0.16</v>
      </c>
    </row>
    <row r="52" spans="1:10" ht="12.5" x14ac:dyDescent="0.25">
      <c r="A52" s="16">
        <v>51</v>
      </c>
      <c r="B52" s="17">
        <v>40546</v>
      </c>
      <c r="C52" s="18">
        <v>1</v>
      </c>
      <c r="D52" s="18">
        <v>0</v>
      </c>
      <c r="E52" s="18">
        <v>1</v>
      </c>
      <c r="F52" s="18">
        <v>5</v>
      </c>
      <c r="G52" s="18" t="b">
        <v>0</v>
      </c>
      <c r="H52" s="18">
        <v>1</v>
      </c>
      <c r="I52" s="18">
        <v>1</v>
      </c>
      <c r="J52" s="18">
        <v>0.16</v>
      </c>
    </row>
    <row r="53" spans="1:10" ht="12.5" x14ac:dyDescent="0.25">
      <c r="A53" s="16">
        <v>52</v>
      </c>
      <c r="B53" s="17">
        <v>40546</v>
      </c>
      <c r="C53" s="18">
        <v>1</v>
      </c>
      <c r="D53" s="18">
        <v>0</v>
      </c>
      <c r="E53" s="18">
        <v>1</v>
      </c>
      <c r="F53" s="18">
        <v>6</v>
      </c>
      <c r="G53" s="18" t="b">
        <v>0</v>
      </c>
      <c r="H53" s="18">
        <v>1</v>
      </c>
      <c r="I53" s="18">
        <v>1</v>
      </c>
      <c r="J53" s="18">
        <v>0.14000000000000001</v>
      </c>
    </row>
    <row r="54" spans="1:10" ht="12.5" x14ac:dyDescent="0.25">
      <c r="A54" s="16">
        <v>53</v>
      </c>
      <c r="B54" s="17">
        <v>40546</v>
      </c>
      <c r="C54" s="18">
        <v>1</v>
      </c>
      <c r="D54" s="18">
        <v>0</v>
      </c>
      <c r="E54" s="18">
        <v>1</v>
      </c>
      <c r="F54" s="18">
        <v>7</v>
      </c>
      <c r="G54" s="18" t="b">
        <v>0</v>
      </c>
      <c r="H54" s="18">
        <v>1</v>
      </c>
      <c r="I54" s="18">
        <v>1</v>
      </c>
      <c r="J54" s="18">
        <v>0.14000000000000001</v>
      </c>
    </row>
    <row r="55" spans="1:10" ht="12.5" x14ac:dyDescent="0.25">
      <c r="A55" s="16">
        <v>54</v>
      </c>
      <c r="B55" s="17">
        <v>40546</v>
      </c>
      <c r="C55" s="18">
        <v>1</v>
      </c>
      <c r="D55" s="18">
        <v>0</v>
      </c>
      <c r="E55" s="18">
        <v>1</v>
      </c>
      <c r="F55" s="18">
        <v>8</v>
      </c>
      <c r="G55" s="18" t="b">
        <v>0</v>
      </c>
      <c r="H55" s="18">
        <v>1</v>
      </c>
      <c r="I55" s="18">
        <v>1</v>
      </c>
      <c r="J55" s="18">
        <v>0.14000000000000001</v>
      </c>
    </row>
    <row r="56" spans="1:10" ht="12.5" x14ac:dyDescent="0.25">
      <c r="A56" s="16">
        <v>55</v>
      </c>
      <c r="B56" s="17">
        <v>40546</v>
      </c>
      <c r="C56" s="18">
        <v>1</v>
      </c>
      <c r="D56" s="18">
        <v>0</v>
      </c>
      <c r="E56" s="18">
        <v>1</v>
      </c>
      <c r="F56" s="18">
        <v>9</v>
      </c>
      <c r="G56" s="18" t="b">
        <v>0</v>
      </c>
      <c r="H56" s="18">
        <v>1</v>
      </c>
      <c r="I56" s="18">
        <v>1</v>
      </c>
      <c r="J56" s="18">
        <v>0.16</v>
      </c>
    </row>
    <row r="57" spans="1:10" ht="12.5" x14ac:dyDescent="0.25">
      <c r="A57" s="16">
        <v>56</v>
      </c>
      <c r="B57" s="17">
        <v>40546</v>
      </c>
      <c r="C57" s="18">
        <v>1</v>
      </c>
      <c r="D57" s="18">
        <v>0</v>
      </c>
      <c r="E57" s="18">
        <v>1</v>
      </c>
      <c r="F57" s="18">
        <v>10</v>
      </c>
      <c r="G57" s="18" t="b">
        <v>0</v>
      </c>
      <c r="H57" s="18">
        <v>1</v>
      </c>
      <c r="I57" s="18">
        <v>1</v>
      </c>
      <c r="J57" s="18">
        <v>0.18</v>
      </c>
    </row>
    <row r="58" spans="1:10" ht="12.5" x14ac:dyDescent="0.25">
      <c r="A58" s="16">
        <v>57</v>
      </c>
      <c r="B58" s="17">
        <v>40546</v>
      </c>
      <c r="C58" s="18">
        <v>1</v>
      </c>
      <c r="D58" s="18">
        <v>0</v>
      </c>
      <c r="E58" s="18">
        <v>1</v>
      </c>
      <c r="F58" s="18">
        <v>11</v>
      </c>
      <c r="G58" s="18" t="b">
        <v>0</v>
      </c>
      <c r="H58" s="18">
        <v>1</v>
      </c>
      <c r="I58" s="18">
        <v>1</v>
      </c>
      <c r="J58" s="18">
        <v>0.2</v>
      </c>
    </row>
    <row r="59" spans="1:10" ht="12.5" x14ac:dyDescent="0.25">
      <c r="A59" s="16">
        <v>58</v>
      </c>
      <c r="B59" s="17">
        <v>40546</v>
      </c>
      <c r="C59" s="18">
        <v>1</v>
      </c>
      <c r="D59" s="18">
        <v>0</v>
      </c>
      <c r="E59" s="18">
        <v>1</v>
      </c>
      <c r="F59" s="18">
        <v>12</v>
      </c>
      <c r="G59" s="18" t="b">
        <v>0</v>
      </c>
      <c r="H59" s="18">
        <v>1</v>
      </c>
      <c r="I59" s="18">
        <v>1</v>
      </c>
      <c r="J59" s="18">
        <v>0.22</v>
      </c>
    </row>
    <row r="60" spans="1:10" ht="12.5" x14ac:dyDescent="0.25">
      <c r="A60" s="16">
        <v>59</v>
      </c>
      <c r="B60" s="17">
        <v>40546</v>
      </c>
      <c r="C60" s="18">
        <v>1</v>
      </c>
      <c r="D60" s="18">
        <v>0</v>
      </c>
      <c r="E60" s="18">
        <v>1</v>
      </c>
      <c r="F60" s="18">
        <v>13</v>
      </c>
      <c r="G60" s="18" t="b">
        <v>0</v>
      </c>
      <c r="H60" s="18">
        <v>1</v>
      </c>
      <c r="I60" s="18">
        <v>1</v>
      </c>
      <c r="J60" s="18">
        <v>0.24</v>
      </c>
    </row>
    <row r="61" spans="1:10" ht="12.5" x14ac:dyDescent="0.25">
      <c r="A61" s="16">
        <v>60</v>
      </c>
      <c r="B61" s="17">
        <v>40546</v>
      </c>
      <c r="C61" s="18">
        <v>1</v>
      </c>
      <c r="D61" s="18">
        <v>0</v>
      </c>
      <c r="E61" s="18">
        <v>1</v>
      </c>
      <c r="F61" s="18">
        <v>14</v>
      </c>
      <c r="G61" s="18" t="b">
        <v>0</v>
      </c>
      <c r="H61" s="18">
        <v>1</v>
      </c>
      <c r="I61" s="18">
        <v>1</v>
      </c>
      <c r="J61" s="18">
        <v>0.26</v>
      </c>
    </row>
    <row r="62" spans="1:10" ht="12.5" x14ac:dyDescent="0.25">
      <c r="A62" s="16">
        <v>61</v>
      </c>
      <c r="B62" s="17">
        <v>40546</v>
      </c>
      <c r="C62" s="18">
        <v>1</v>
      </c>
      <c r="D62" s="18">
        <v>0</v>
      </c>
      <c r="E62" s="18">
        <v>1</v>
      </c>
      <c r="F62" s="18">
        <v>15</v>
      </c>
      <c r="G62" s="18" t="b">
        <v>0</v>
      </c>
      <c r="H62" s="18">
        <v>1</v>
      </c>
      <c r="I62" s="18">
        <v>1</v>
      </c>
      <c r="J62" s="18">
        <v>0.26</v>
      </c>
    </row>
    <row r="63" spans="1:10" ht="12.5" x14ac:dyDescent="0.25">
      <c r="A63" s="16">
        <v>62</v>
      </c>
      <c r="B63" s="17">
        <v>40546</v>
      </c>
      <c r="C63" s="18">
        <v>1</v>
      </c>
      <c r="D63" s="18">
        <v>0</v>
      </c>
      <c r="E63" s="18">
        <v>1</v>
      </c>
      <c r="F63" s="18">
        <v>16</v>
      </c>
      <c r="G63" s="18" t="b">
        <v>0</v>
      </c>
      <c r="H63" s="18">
        <v>1</v>
      </c>
      <c r="I63" s="18">
        <v>1</v>
      </c>
      <c r="J63" s="18">
        <v>0.26</v>
      </c>
    </row>
    <row r="64" spans="1:10" ht="12.5" x14ac:dyDescent="0.25">
      <c r="A64" s="16">
        <v>63</v>
      </c>
      <c r="B64" s="17">
        <v>40546</v>
      </c>
      <c r="C64" s="18">
        <v>1</v>
      </c>
      <c r="D64" s="18">
        <v>0</v>
      </c>
      <c r="E64" s="18">
        <v>1</v>
      </c>
      <c r="F64" s="18">
        <v>17</v>
      </c>
      <c r="G64" s="18" t="b">
        <v>0</v>
      </c>
      <c r="H64" s="18">
        <v>1</v>
      </c>
      <c r="I64" s="18">
        <v>1</v>
      </c>
      <c r="J64" s="18">
        <v>0.24</v>
      </c>
    </row>
    <row r="65" spans="1:10" ht="12.5" x14ac:dyDescent="0.25">
      <c r="A65" s="16">
        <v>64</v>
      </c>
      <c r="B65" s="17">
        <v>40546</v>
      </c>
      <c r="C65" s="18">
        <v>1</v>
      </c>
      <c r="D65" s="18">
        <v>0</v>
      </c>
      <c r="E65" s="18">
        <v>1</v>
      </c>
      <c r="F65" s="18">
        <v>18</v>
      </c>
      <c r="G65" s="18" t="b">
        <v>0</v>
      </c>
      <c r="H65" s="18">
        <v>1</v>
      </c>
      <c r="I65" s="18">
        <v>1</v>
      </c>
      <c r="J65" s="18">
        <v>0.24</v>
      </c>
    </row>
    <row r="66" spans="1:10" ht="12.5" x14ac:dyDescent="0.25">
      <c r="A66" s="16">
        <v>65</v>
      </c>
      <c r="B66" s="17">
        <v>40546</v>
      </c>
      <c r="C66" s="18">
        <v>1</v>
      </c>
      <c r="D66" s="18">
        <v>0</v>
      </c>
      <c r="E66" s="18">
        <v>1</v>
      </c>
      <c r="F66" s="18">
        <v>19</v>
      </c>
      <c r="G66" s="18" t="b">
        <v>0</v>
      </c>
      <c r="H66" s="18">
        <v>1</v>
      </c>
      <c r="I66" s="18">
        <v>1</v>
      </c>
      <c r="J66" s="18">
        <v>0.2</v>
      </c>
    </row>
    <row r="67" spans="1:10" ht="12.5" x14ac:dyDescent="0.25">
      <c r="A67" s="16">
        <v>66</v>
      </c>
      <c r="B67" s="17">
        <v>40546</v>
      </c>
      <c r="C67" s="18">
        <v>1</v>
      </c>
      <c r="D67" s="18">
        <v>0</v>
      </c>
      <c r="E67" s="18">
        <v>1</v>
      </c>
      <c r="F67" s="18">
        <v>20</v>
      </c>
      <c r="G67" s="18" t="b">
        <v>0</v>
      </c>
      <c r="H67" s="18">
        <v>1</v>
      </c>
      <c r="I67" s="18">
        <v>1</v>
      </c>
      <c r="J67" s="18">
        <v>0.2</v>
      </c>
    </row>
    <row r="68" spans="1:10" ht="12.5" x14ac:dyDescent="0.25">
      <c r="A68" s="16">
        <v>67</v>
      </c>
      <c r="B68" s="17">
        <v>40546</v>
      </c>
      <c r="C68" s="18">
        <v>1</v>
      </c>
      <c r="D68" s="18">
        <v>0</v>
      </c>
      <c r="E68" s="18">
        <v>1</v>
      </c>
      <c r="F68" s="18">
        <v>21</v>
      </c>
      <c r="G68" s="18" t="b">
        <v>0</v>
      </c>
      <c r="H68" s="18">
        <v>1</v>
      </c>
      <c r="I68" s="18">
        <v>1</v>
      </c>
      <c r="J68" s="18">
        <v>0.18</v>
      </c>
    </row>
    <row r="69" spans="1:10" ht="12.5" x14ac:dyDescent="0.25">
      <c r="A69" s="16">
        <v>68</v>
      </c>
      <c r="B69" s="17">
        <v>40546</v>
      </c>
      <c r="C69" s="18">
        <v>1</v>
      </c>
      <c r="D69" s="18">
        <v>0</v>
      </c>
      <c r="E69" s="18">
        <v>1</v>
      </c>
      <c r="F69" s="18">
        <v>22</v>
      </c>
      <c r="G69" s="18" t="b">
        <v>0</v>
      </c>
      <c r="H69" s="18">
        <v>1</v>
      </c>
      <c r="I69" s="18">
        <v>1</v>
      </c>
      <c r="J69" s="18">
        <v>0.14000000000000001</v>
      </c>
    </row>
    <row r="70" spans="1:10" ht="12.5" x14ac:dyDescent="0.25">
      <c r="A70" s="16">
        <v>69</v>
      </c>
      <c r="B70" s="17">
        <v>40546</v>
      </c>
      <c r="C70" s="18">
        <v>1</v>
      </c>
      <c r="D70" s="18">
        <v>0</v>
      </c>
      <c r="E70" s="18">
        <v>1</v>
      </c>
      <c r="F70" s="18">
        <v>23</v>
      </c>
      <c r="G70" s="18" t="b">
        <v>0</v>
      </c>
      <c r="H70" s="18">
        <v>1</v>
      </c>
      <c r="I70" s="18">
        <v>1</v>
      </c>
      <c r="J70" s="18">
        <v>0.18</v>
      </c>
    </row>
    <row r="71" spans="1:10" ht="12.5" x14ac:dyDescent="0.25">
      <c r="A71" s="16">
        <v>70</v>
      </c>
      <c r="B71" s="17">
        <v>40547</v>
      </c>
      <c r="C71" s="18">
        <v>1</v>
      </c>
      <c r="D71" s="18">
        <v>0</v>
      </c>
      <c r="E71" s="18">
        <v>1</v>
      </c>
      <c r="F71" s="18">
        <v>0</v>
      </c>
      <c r="G71" s="18" t="b">
        <v>0</v>
      </c>
      <c r="H71" s="18">
        <v>2</v>
      </c>
      <c r="I71" s="18">
        <v>1</v>
      </c>
      <c r="J71" s="18">
        <v>0.16</v>
      </c>
    </row>
    <row r="72" spans="1:10" ht="12.5" x14ac:dyDescent="0.25">
      <c r="A72" s="16">
        <v>71</v>
      </c>
      <c r="B72" s="17">
        <v>40547</v>
      </c>
      <c r="C72" s="18">
        <v>1</v>
      </c>
      <c r="D72" s="18">
        <v>0</v>
      </c>
      <c r="E72" s="18">
        <v>1</v>
      </c>
      <c r="F72" s="18">
        <v>1</v>
      </c>
      <c r="G72" s="18" t="b">
        <v>0</v>
      </c>
      <c r="H72" s="18">
        <v>2</v>
      </c>
      <c r="I72" s="18">
        <v>1</v>
      </c>
      <c r="J72" s="18">
        <v>0.16</v>
      </c>
    </row>
    <row r="73" spans="1:10" ht="12.5" x14ac:dyDescent="0.25">
      <c r="A73" s="16">
        <v>72</v>
      </c>
      <c r="B73" s="17">
        <v>40547</v>
      </c>
      <c r="C73" s="18">
        <v>1</v>
      </c>
      <c r="D73" s="18">
        <v>0</v>
      </c>
      <c r="E73" s="18">
        <v>1</v>
      </c>
      <c r="F73" s="18">
        <v>2</v>
      </c>
      <c r="G73" s="18" t="b">
        <v>0</v>
      </c>
      <c r="H73" s="18">
        <v>2</v>
      </c>
      <c r="I73" s="18">
        <v>1</v>
      </c>
      <c r="J73" s="18">
        <v>0.14000000000000001</v>
      </c>
    </row>
    <row r="74" spans="1:10" ht="12.5" x14ac:dyDescent="0.25">
      <c r="A74" s="16">
        <v>73</v>
      </c>
      <c r="B74" s="17">
        <v>40547</v>
      </c>
      <c r="C74" s="18">
        <v>1</v>
      </c>
      <c r="D74" s="18">
        <v>0</v>
      </c>
      <c r="E74" s="18">
        <v>1</v>
      </c>
      <c r="F74" s="18">
        <v>4</v>
      </c>
      <c r="G74" s="18" t="b">
        <v>0</v>
      </c>
      <c r="H74" s="18">
        <v>2</v>
      </c>
      <c r="I74" s="18">
        <v>1</v>
      </c>
      <c r="J74" s="18">
        <v>0.14000000000000001</v>
      </c>
    </row>
    <row r="75" spans="1:10" ht="12.5" x14ac:dyDescent="0.25">
      <c r="A75" s="16">
        <v>74</v>
      </c>
      <c r="B75" s="17">
        <v>40547</v>
      </c>
      <c r="C75" s="18">
        <v>1</v>
      </c>
      <c r="D75" s="18">
        <v>0</v>
      </c>
      <c r="E75" s="18">
        <v>1</v>
      </c>
      <c r="F75" s="18">
        <v>5</v>
      </c>
      <c r="G75" s="18" t="b">
        <v>0</v>
      </c>
      <c r="H75" s="18">
        <v>2</v>
      </c>
      <c r="I75" s="18">
        <v>1</v>
      </c>
      <c r="J75" s="18">
        <v>0.12</v>
      </c>
    </row>
    <row r="76" spans="1:10" ht="12.5" x14ac:dyDescent="0.25">
      <c r="A76" s="16">
        <v>75</v>
      </c>
      <c r="B76" s="17">
        <v>40547</v>
      </c>
      <c r="C76" s="18">
        <v>1</v>
      </c>
      <c r="D76" s="18">
        <v>0</v>
      </c>
      <c r="E76" s="18">
        <v>1</v>
      </c>
      <c r="F76" s="18">
        <v>6</v>
      </c>
      <c r="G76" s="18" t="b">
        <v>0</v>
      </c>
      <c r="H76" s="18">
        <v>2</v>
      </c>
      <c r="I76" s="18">
        <v>1</v>
      </c>
      <c r="J76" s="18">
        <v>0.12</v>
      </c>
    </row>
    <row r="77" spans="1:10" ht="12.5" x14ac:dyDescent="0.25">
      <c r="A77" s="16">
        <v>76</v>
      </c>
      <c r="B77" s="17">
        <v>40547</v>
      </c>
      <c r="C77" s="18">
        <v>1</v>
      </c>
      <c r="D77" s="18">
        <v>0</v>
      </c>
      <c r="E77" s="18">
        <v>1</v>
      </c>
      <c r="F77" s="18">
        <v>7</v>
      </c>
      <c r="G77" s="18" t="b">
        <v>0</v>
      </c>
      <c r="H77" s="18">
        <v>2</v>
      </c>
      <c r="I77" s="18">
        <v>1</v>
      </c>
      <c r="J77" s="18">
        <v>0.12</v>
      </c>
    </row>
    <row r="78" spans="1:10" ht="12.5" x14ac:dyDescent="0.25">
      <c r="A78" s="16">
        <v>77</v>
      </c>
      <c r="B78" s="17">
        <v>40547</v>
      </c>
      <c r="C78" s="18">
        <v>1</v>
      </c>
      <c r="D78" s="18">
        <v>0</v>
      </c>
      <c r="E78" s="18">
        <v>1</v>
      </c>
      <c r="F78" s="18">
        <v>8</v>
      </c>
      <c r="G78" s="18" t="b">
        <v>0</v>
      </c>
      <c r="H78" s="18">
        <v>2</v>
      </c>
      <c r="I78" s="18">
        <v>1</v>
      </c>
      <c r="J78" s="18">
        <v>0.14000000000000001</v>
      </c>
    </row>
    <row r="79" spans="1:10" ht="12.5" x14ac:dyDescent="0.25">
      <c r="A79" s="16">
        <v>78</v>
      </c>
      <c r="B79" s="17">
        <v>40547</v>
      </c>
      <c r="C79" s="18">
        <v>1</v>
      </c>
      <c r="D79" s="18">
        <v>0</v>
      </c>
      <c r="E79" s="18">
        <v>1</v>
      </c>
      <c r="F79" s="18">
        <v>9</v>
      </c>
      <c r="G79" s="18" t="b">
        <v>0</v>
      </c>
      <c r="H79" s="18">
        <v>2</v>
      </c>
      <c r="I79" s="18">
        <v>1</v>
      </c>
      <c r="J79" s="18">
        <v>0.16</v>
      </c>
    </row>
    <row r="80" spans="1:10" ht="12.5" x14ac:dyDescent="0.25">
      <c r="A80" s="16">
        <v>79</v>
      </c>
      <c r="B80" s="17">
        <v>40547</v>
      </c>
      <c r="C80" s="18">
        <v>1</v>
      </c>
      <c r="D80" s="18">
        <v>0</v>
      </c>
      <c r="E80" s="18">
        <v>1</v>
      </c>
      <c r="F80" s="18">
        <v>10</v>
      </c>
      <c r="G80" s="18" t="b">
        <v>0</v>
      </c>
      <c r="H80" s="18">
        <v>2</v>
      </c>
      <c r="I80" s="18">
        <v>2</v>
      </c>
      <c r="J80" s="18">
        <v>0.16</v>
      </c>
    </row>
    <row r="81" spans="1:10" ht="12.5" x14ac:dyDescent="0.25">
      <c r="A81" s="16">
        <v>80</v>
      </c>
      <c r="B81" s="17">
        <v>40547</v>
      </c>
      <c r="C81" s="18">
        <v>1</v>
      </c>
      <c r="D81" s="18">
        <v>0</v>
      </c>
      <c r="E81" s="18">
        <v>1</v>
      </c>
      <c r="F81" s="18">
        <v>11</v>
      </c>
      <c r="G81" s="18" t="b">
        <v>0</v>
      </c>
      <c r="H81" s="18">
        <v>2</v>
      </c>
      <c r="I81" s="18">
        <v>1</v>
      </c>
      <c r="J81" s="18">
        <v>0.22</v>
      </c>
    </row>
    <row r="82" spans="1:10" ht="12.5" x14ac:dyDescent="0.25">
      <c r="A82" s="16">
        <v>81</v>
      </c>
      <c r="B82" s="17">
        <v>40547</v>
      </c>
      <c r="C82" s="18">
        <v>1</v>
      </c>
      <c r="D82" s="18">
        <v>0</v>
      </c>
      <c r="E82" s="18">
        <v>1</v>
      </c>
      <c r="F82" s="18">
        <v>12</v>
      </c>
      <c r="G82" s="18" t="b">
        <v>0</v>
      </c>
      <c r="H82" s="18">
        <v>2</v>
      </c>
      <c r="I82" s="18">
        <v>1</v>
      </c>
      <c r="J82" s="18">
        <v>0.22</v>
      </c>
    </row>
    <row r="83" spans="1:10" ht="12.5" x14ac:dyDescent="0.25">
      <c r="A83" s="16">
        <v>82</v>
      </c>
      <c r="B83" s="17">
        <v>40547</v>
      </c>
      <c r="C83" s="18">
        <v>1</v>
      </c>
      <c r="D83" s="18">
        <v>0</v>
      </c>
      <c r="E83" s="18">
        <v>1</v>
      </c>
      <c r="F83" s="18">
        <v>13</v>
      </c>
      <c r="G83" s="18" t="b">
        <v>0</v>
      </c>
      <c r="H83" s="18">
        <v>2</v>
      </c>
      <c r="I83" s="18">
        <v>1</v>
      </c>
      <c r="J83" s="18">
        <v>0.24</v>
      </c>
    </row>
    <row r="84" spans="1:10" ht="12.5" x14ac:dyDescent="0.25">
      <c r="A84" s="16">
        <v>83</v>
      </c>
      <c r="B84" s="17">
        <v>40547</v>
      </c>
      <c r="C84" s="18">
        <v>1</v>
      </c>
      <c r="D84" s="18">
        <v>0</v>
      </c>
      <c r="E84" s="18">
        <v>1</v>
      </c>
      <c r="F84" s="18">
        <v>14</v>
      </c>
      <c r="G84" s="18" t="b">
        <v>0</v>
      </c>
      <c r="H84" s="18">
        <v>2</v>
      </c>
      <c r="I84" s="18">
        <v>1</v>
      </c>
      <c r="J84" s="18">
        <v>0.26</v>
      </c>
    </row>
    <row r="85" spans="1:10" ht="12.5" x14ac:dyDescent="0.25">
      <c r="A85" s="16">
        <v>84</v>
      </c>
      <c r="B85" s="17">
        <v>40547</v>
      </c>
      <c r="C85" s="18">
        <v>1</v>
      </c>
      <c r="D85" s="18">
        <v>0</v>
      </c>
      <c r="E85" s="18">
        <v>1</v>
      </c>
      <c r="F85" s="18">
        <v>15</v>
      </c>
      <c r="G85" s="18" t="b">
        <v>0</v>
      </c>
      <c r="H85" s="18">
        <v>2</v>
      </c>
      <c r="I85" s="18">
        <v>1</v>
      </c>
      <c r="J85" s="18">
        <v>0.28000000000000003</v>
      </c>
    </row>
    <row r="86" spans="1:10" ht="12.5" x14ac:dyDescent="0.25">
      <c r="A86" s="16">
        <v>85</v>
      </c>
      <c r="B86" s="17">
        <v>40547</v>
      </c>
      <c r="C86" s="18">
        <v>1</v>
      </c>
      <c r="D86" s="18">
        <v>0</v>
      </c>
      <c r="E86" s="18">
        <v>1</v>
      </c>
      <c r="F86" s="18">
        <v>16</v>
      </c>
      <c r="G86" s="18" t="b">
        <v>0</v>
      </c>
      <c r="H86" s="18">
        <v>2</v>
      </c>
      <c r="I86" s="18">
        <v>1</v>
      </c>
      <c r="J86" s="18">
        <v>0.3</v>
      </c>
    </row>
    <row r="87" spans="1:10" ht="12.5" x14ac:dyDescent="0.25">
      <c r="A87" s="16">
        <v>86</v>
      </c>
      <c r="B87" s="17">
        <v>40547</v>
      </c>
      <c r="C87" s="18">
        <v>1</v>
      </c>
      <c r="D87" s="18">
        <v>0</v>
      </c>
      <c r="E87" s="18">
        <v>1</v>
      </c>
      <c r="F87" s="18">
        <v>17</v>
      </c>
      <c r="G87" s="18" t="b">
        <v>0</v>
      </c>
      <c r="H87" s="18">
        <v>2</v>
      </c>
      <c r="I87" s="18">
        <v>1</v>
      </c>
      <c r="J87" s="18">
        <v>0.28000000000000003</v>
      </c>
    </row>
    <row r="88" spans="1:10" ht="12.5" x14ac:dyDescent="0.25">
      <c r="A88" s="16">
        <v>87</v>
      </c>
      <c r="B88" s="17">
        <v>40547</v>
      </c>
      <c r="C88" s="18">
        <v>1</v>
      </c>
      <c r="D88" s="18">
        <v>0</v>
      </c>
      <c r="E88" s="18">
        <v>1</v>
      </c>
      <c r="F88" s="18">
        <v>18</v>
      </c>
      <c r="G88" s="18" t="b">
        <v>0</v>
      </c>
      <c r="H88" s="18">
        <v>2</v>
      </c>
      <c r="I88" s="18">
        <v>1</v>
      </c>
      <c r="J88" s="18">
        <v>0.26</v>
      </c>
    </row>
    <row r="89" spans="1:10" ht="12.5" x14ac:dyDescent="0.25">
      <c r="A89" s="16">
        <v>88</v>
      </c>
      <c r="B89" s="17">
        <v>40547</v>
      </c>
      <c r="C89" s="18">
        <v>1</v>
      </c>
      <c r="D89" s="18">
        <v>0</v>
      </c>
      <c r="E89" s="18">
        <v>1</v>
      </c>
      <c r="F89" s="18">
        <v>19</v>
      </c>
      <c r="G89" s="18" t="b">
        <v>0</v>
      </c>
      <c r="H89" s="18">
        <v>2</v>
      </c>
      <c r="I89" s="18">
        <v>1</v>
      </c>
      <c r="J89" s="18">
        <v>0.24</v>
      </c>
    </row>
    <row r="90" spans="1:10" ht="12.5" x14ac:dyDescent="0.25">
      <c r="A90" s="16">
        <v>89</v>
      </c>
      <c r="B90" s="17">
        <v>40547</v>
      </c>
      <c r="C90" s="18">
        <v>1</v>
      </c>
      <c r="D90" s="18">
        <v>0</v>
      </c>
      <c r="E90" s="18">
        <v>1</v>
      </c>
      <c r="F90" s="18">
        <v>20</v>
      </c>
      <c r="G90" s="18" t="b">
        <v>0</v>
      </c>
      <c r="H90" s="18">
        <v>2</v>
      </c>
      <c r="I90" s="18">
        <v>1</v>
      </c>
      <c r="J90" s="18">
        <v>0.24</v>
      </c>
    </row>
    <row r="91" spans="1:10" ht="12.5" x14ac:dyDescent="0.25">
      <c r="A91" s="16">
        <v>90</v>
      </c>
      <c r="B91" s="17">
        <v>40547</v>
      </c>
      <c r="C91" s="18">
        <v>1</v>
      </c>
      <c r="D91" s="18">
        <v>0</v>
      </c>
      <c r="E91" s="18">
        <v>1</v>
      </c>
      <c r="F91" s="18">
        <v>21</v>
      </c>
      <c r="G91" s="18" t="b">
        <v>0</v>
      </c>
      <c r="H91" s="18">
        <v>2</v>
      </c>
      <c r="I91" s="18">
        <v>1</v>
      </c>
      <c r="J91" s="18">
        <v>0.22</v>
      </c>
    </row>
    <row r="92" spans="1:10" ht="12.5" x14ac:dyDescent="0.25">
      <c r="A92" s="16">
        <v>91</v>
      </c>
      <c r="B92" s="17">
        <v>40547</v>
      </c>
      <c r="C92" s="18">
        <v>1</v>
      </c>
      <c r="D92" s="18">
        <v>0</v>
      </c>
      <c r="E92" s="18">
        <v>1</v>
      </c>
      <c r="F92" s="18">
        <v>22</v>
      </c>
      <c r="G92" s="18" t="b">
        <v>0</v>
      </c>
      <c r="H92" s="18">
        <v>2</v>
      </c>
      <c r="I92" s="18">
        <v>1</v>
      </c>
      <c r="J92" s="18">
        <v>0.22</v>
      </c>
    </row>
    <row r="93" spans="1:10" ht="12.5" x14ac:dyDescent="0.25">
      <c r="A93" s="16">
        <v>92</v>
      </c>
      <c r="B93" s="17">
        <v>40547</v>
      </c>
      <c r="C93" s="18">
        <v>1</v>
      </c>
      <c r="D93" s="18">
        <v>0</v>
      </c>
      <c r="E93" s="18">
        <v>1</v>
      </c>
      <c r="F93" s="18">
        <v>23</v>
      </c>
      <c r="G93" s="18" t="b">
        <v>0</v>
      </c>
      <c r="H93" s="18">
        <v>2</v>
      </c>
      <c r="I93" s="18">
        <v>1</v>
      </c>
      <c r="J93" s="18">
        <v>0.2</v>
      </c>
    </row>
    <row r="94" spans="1:10" ht="12.5" x14ac:dyDescent="0.25">
      <c r="A94" s="16">
        <v>93</v>
      </c>
      <c r="B94" s="17">
        <v>40548</v>
      </c>
      <c r="C94" s="18">
        <v>1</v>
      </c>
      <c r="D94" s="18">
        <v>0</v>
      </c>
      <c r="E94" s="18">
        <v>1</v>
      </c>
      <c r="F94" s="18">
        <v>0</v>
      </c>
      <c r="G94" s="18" t="b">
        <v>0</v>
      </c>
      <c r="H94" s="18">
        <v>3</v>
      </c>
      <c r="I94" s="18">
        <v>1</v>
      </c>
      <c r="J94" s="18">
        <v>0.2</v>
      </c>
    </row>
    <row r="95" spans="1:10" ht="12.5" x14ac:dyDescent="0.25">
      <c r="A95" s="16">
        <v>94</v>
      </c>
      <c r="B95" s="17">
        <v>40548</v>
      </c>
      <c r="C95" s="18">
        <v>1</v>
      </c>
      <c r="D95" s="18">
        <v>0</v>
      </c>
      <c r="E95" s="18">
        <v>1</v>
      </c>
      <c r="F95" s="18">
        <v>1</v>
      </c>
      <c r="G95" s="18" t="b">
        <v>0</v>
      </c>
      <c r="H95" s="18">
        <v>3</v>
      </c>
      <c r="I95" s="18">
        <v>1</v>
      </c>
      <c r="J95" s="18">
        <v>0.16</v>
      </c>
    </row>
    <row r="96" spans="1:10" ht="12.5" x14ac:dyDescent="0.25">
      <c r="A96" s="16">
        <v>95</v>
      </c>
      <c r="B96" s="17">
        <v>40548</v>
      </c>
      <c r="C96" s="18">
        <v>1</v>
      </c>
      <c r="D96" s="18">
        <v>0</v>
      </c>
      <c r="E96" s="18">
        <v>1</v>
      </c>
      <c r="F96" s="18">
        <v>2</v>
      </c>
      <c r="G96" s="18" t="b">
        <v>0</v>
      </c>
      <c r="H96" s="18">
        <v>3</v>
      </c>
      <c r="I96" s="18">
        <v>1</v>
      </c>
      <c r="J96" s="18">
        <v>0.16</v>
      </c>
    </row>
    <row r="97" spans="1:10" ht="12.5" x14ac:dyDescent="0.25">
      <c r="A97" s="16">
        <v>96</v>
      </c>
      <c r="B97" s="17">
        <v>40548</v>
      </c>
      <c r="C97" s="18">
        <v>1</v>
      </c>
      <c r="D97" s="18">
        <v>0</v>
      </c>
      <c r="E97" s="18">
        <v>1</v>
      </c>
      <c r="F97" s="18">
        <v>4</v>
      </c>
      <c r="G97" s="18" t="b">
        <v>0</v>
      </c>
      <c r="H97" s="18">
        <v>3</v>
      </c>
      <c r="I97" s="18">
        <v>1</v>
      </c>
      <c r="J97" s="18">
        <v>0.24</v>
      </c>
    </row>
    <row r="98" spans="1:10" ht="12.5" x14ac:dyDescent="0.25">
      <c r="A98" s="16">
        <v>97</v>
      </c>
      <c r="B98" s="17">
        <v>40548</v>
      </c>
      <c r="C98" s="18">
        <v>1</v>
      </c>
      <c r="D98" s="18">
        <v>0</v>
      </c>
      <c r="E98" s="18">
        <v>1</v>
      </c>
      <c r="F98" s="18">
        <v>5</v>
      </c>
      <c r="G98" s="18" t="b">
        <v>0</v>
      </c>
      <c r="H98" s="18">
        <v>3</v>
      </c>
      <c r="I98" s="18">
        <v>1</v>
      </c>
      <c r="J98" s="18">
        <v>0.22</v>
      </c>
    </row>
    <row r="99" spans="1:10" ht="12.5" x14ac:dyDescent="0.25">
      <c r="A99" s="16">
        <v>98</v>
      </c>
      <c r="B99" s="17">
        <v>40548</v>
      </c>
      <c r="C99" s="18">
        <v>1</v>
      </c>
      <c r="D99" s="18">
        <v>0</v>
      </c>
      <c r="E99" s="18">
        <v>1</v>
      </c>
      <c r="F99" s="18">
        <v>6</v>
      </c>
      <c r="G99" s="18" t="b">
        <v>0</v>
      </c>
      <c r="H99" s="18">
        <v>3</v>
      </c>
      <c r="I99" s="18">
        <v>1</v>
      </c>
      <c r="J99" s="18">
        <v>0.2</v>
      </c>
    </row>
    <row r="100" spans="1:10" ht="12.5" x14ac:dyDescent="0.25">
      <c r="A100" s="16">
        <v>99</v>
      </c>
      <c r="B100" s="17">
        <v>40548</v>
      </c>
      <c r="C100" s="18">
        <v>1</v>
      </c>
      <c r="D100" s="18">
        <v>0</v>
      </c>
      <c r="E100" s="18">
        <v>1</v>
      </c>
      <c r="F100" s="18">
        <v>7</v>
      </c>
      <c r="G100" s="18" t="b">
        <v>0</v>
      </c>
      <c r="H100" s="18">
        <v>3</v>
      </c>
      <c r="I100" s="18">
        <v>1</v>
      </c>
      <c r="J100" s="18">
        <v>0.18</v>
      </c>
    </row>
    <row r="101" spans="1:10" ht="12.5" x14ac:dyDescent="0.25">
      <c r="A101" s="16">
        <v>100</v>
      </c>
      <c r="B101" s="17">
        <v>40548</v>
      </c>
      <c r="C101" s="18">
        <v>1</v>
      </c>
      <c r="D101" s="18">
        <v>0</v>
      </c>
      <c r="E101" s="18">
        <v>1</v>
      </c>
      <c r="F101" s="18">
        <v>8</v>
      </c>
      <c r="G101" s="18" t="b">
        <v>0</v>
      </c>
      <c r="H101" s="18">
        <v>3</v>
      </c>
      <c r="I101" s="18">
        <v>1</v>
      </c>
      <c r="J101" s="18">
        <v>0.2</v>
      </c>
    </row>
    <row r="102" spans="1:10" ht="12.5" x14ac:dyDescent="0.25">
      <c r="A102" s="16">
        <v>101</v>
      </c>
      <c r="B102" s="17">
        <v>40548</v>
      </c>
      <c r="C102" s="18">
        <v>1</v>
      </c>
      <c r="D102" s="18">
        <v>0</v>
      </c>
      <c r="E102" s="18">
        <v>1</v>
      </c>
      <c r="F102" s="18">
        <v>9</v>
      </c>
      <c r="G102" s="18" t="b">
        <v>0</v>
      </c>
      <c r="H102" s="18">
        <v>3</v>
      </c>
      <c r="I102" s="18">
        <v>1</v>
      </c>
      <c r="J102" s="18">
        <v>0.22</v>
      </c>
    </row>
    <row r="103" spans="1:10" ht="12.5" x14ac:dyDescent="0.25">
      <c r="A103" s="16">
        <v>102</v>
      </c>
      <c r="B103" s="17">
        <v>40548</v>
      </c>
      <c r="C103" s="18">
        <v>1</v>
      </c>
      <c r="D103" s="18">
        <v>0</v>
      </c>
      <c r="E103" s="18">
        <v>1</v>
      </c>
      <c r="F103" s="18">
        <v>10</v>
      </c>
      <c r="G103" s="18" t="b">
        <v>0</v>
      </c>
      <c r="H103" s="18">
        <v>3</v>
      </c>
      <c r="I103" s="18">
        <v>1</v>
      </c>
      <c r="J103" s="18">
        <v>0.22</v>
      </c>
    </row>
    <row r="104" spans="1:10" ht="12.5" x14ac:dyDescent="0.25">
      <c r="A104" s="16">
        <v>103</v>
      </c>
      <c r="B104" s="17">
        <v>40548</v>
      </c>
      <c r="C104" s="18">
        <v>1</v>
      </c>
      <c r="D104" s="18">
        <v>0</v>
      </c>
      <c r="E104" s="18">
        <v>1</v>
      </c>
      <c r="F104" s="18">
        <v>11</v>
      </c>
      <c r="G104" s="18" t="b">
        <v>0</v>
      </c>
      <c r="H104" s="18">
        <v>3</v>
      </c>
      <c r="I104" s="18">
        <v>1</v>
      </c>
      <c r="J104" s="18">
        <v>0.26</v>
      </c>
    </row>
    <row r="105" spans="1:10" ht="12.5" x14ac:dyDescent="0.25">
      <c r="A105" s="16">
        <v>104</v>
      </c>
      <c r="B105" s="17">
        <v>40548</v>
      </c>
      <c r="C105" s="18">
        <v>1</v>
      </c>
      <c r="D105" s="18">
        <v>0</v>
      </c>
      <c r="E105" s="18">
        <v>1</v>
      </c>
      <c r="F105" s="18">
        <v>12</v>
      </c>
      <c r="G105" s="18" t="b">
        <v>0</v>
      </c>
      <c r="H105" s="18">
        <v>3</v>
      </c>
      <c r="I105" s="18">
        <v>1</v>
      </c>
      <c r="J105" s="18">
        <v>0.26</v>
      </c>
    </row>
    <row r="106" spans="1:10" ht="12.5" x14ac:dyDescent="0.25">
      <c r="A106" s="16">
        <v>105</v>
      </c>
      <c r="B106" s="17">
        <v>40548</v>
      </c>
      <c r="C106" s="18">
        <v>1</v>
      </c>
      <c r="D106" s="18">
        <v>0</v>
      </c>
      <c r="E106" s="18">
        <v>1</v>
      </c>
      <c r="F106" s="18">
        <v>13</v>
      </c>
      <c r="G106" s="18" t="b">
        <v>0</v>
      </c>
      <c r="H106" s="18">
        <v>3</v>
      </c>
      <c r="I106" s="18">
        <v>1</v>
      </c>
      <c r="J106" s="18">
        <v>0.28000000000000003</v>
      </c>
    </row>
    <row r="107" spans="1:10" ht="12.5" x14ac:dyDescent="0.25">
      <c r="A107" s="16">
        <v>106</v>
      </c>
      <c r="B107" s="17">
        <v>40548</v>
      </c>
      <c r="C107" s="18">
        <v>1</v>
      </c>
      <c r="D107" s="18">
        <v>0</v>
      </c>
      <c r="E107" s="18">
        <v>1</v>
      </c>
      <c r="F107" s="18">
        <v>14</v>
      </c>
      <c r="G107" s="18" t="b">
        <v>0</v>
      </c>
      <c r="H107" s="18">
        <v>3</v>
      </c>
      <c r="I107" s="18">
        <v>1</v>
      </c>
      <c r="J107" s="18">
        <v>0.3</v>
      </c>
    </row>
    <row r="108" spans="1:10" ht="12.5" x14ac:dyDescent="0.25">
      <c r="A108" s="16">
        <v>107</v>
      </c>
      <c r="B108" s="17">
        <v>40548</v>
      </c>
      <c r="C108" s="18">
        <v>1</v>
      </c>
      <c r="D108" s="18">
        <v>0</v>
      </c>
      <c r="E108" s="18">
        <v>1</v>
      </c>
      <c r="F108" s="18">
        <v>15</v>
      </c>
      <c r="G108" s="18" t="b">
        <v>0</v>
      </c>
      <c r="H108" s="18">
        <v>3</v>
      </c>
      <c r="I108" s="18">
        <v>1</v>
      </c>
      <c r="J108" s="18">
        <v>0.3</v>
      </c>
    </row>
    <row r="109" spans="1:10" ht="12.5" x14ac:dyDescent="0.25">
      <c r="A109" s="16">
        <v>108</v>
      </c>
      <c r="B109" s="17">
        <v>40548</v>
      </c>
      <c r="C109" s="18">
        <v>1</v>
      </c>
      <c r="D109" s="18">
        <v>0</v>
      </c>
      <c r="E109" s="18">
        <v>1</v>
      </c>
      <c r="F109" s="18">
        <v>16</v>
      </c>
      <c r="G109" s="18" t="b">
        <v>0</v>
      </c>
      <c r="H109" s="18">
        <v>3</v>
      </c>
      <c r="I109" s="18">
        <v>1</v>
      </c>
      <c r="J109" s="18">
        <v>0.3</v>
      </c>
    </row>
    <row r="110" spans="1:10" ht="12.5" x14ac:dyDescent="0.25">
      <c r="A110" s="16">
        <v>109</v>
      </c>
      <c r="B110" s="17">
        <v>40548</v>
      </c>
      <c r="C110" s="18">
        <v>1</v>
      </c>
      <c r="D110" s="18">
        <v>0</v>
      </c>
      <c r="E110" s="18">
        <v>1</v>
      </c>
      <c r="F110" s="18">
        <v>17</v>
      </c>
      <c r="G110" s="18" t="b">
        <v>0</v>
      </c>
      <c r="H110" s="18">
        <v>3</v>
      </c>
      <c r="I110" s="18">
        <v>1</v>
      </c>
      <c r="J110" s="18">
        <v>0.24</v>
      </c>
    </row>
    <row r="111" spans="1:10" ht="12.5" x14ac:dyDescent="0.25">
      <c r="A111" s="16">
        <v>110</v>
      </c>
      <c r="B111" s="17">
        <v>40548</v>
      </c>
      <c r="C111" s="18">
        <v>1</v>
      </c>
      <c r="D111" s="18">
        <v>0</v>
      </c>
      <c r="E111" s="18">
        <v>1</v>
      </c>
      <c r="F111" s="18">
        <v>18</v>
      </c>
      <c r="G111" s="18" t="b">
        <v>0</v>
      </c>
      <c r="H111" s="18">
        <v>3</v>
      </c>
      <c r="I111" s="18">
        <v>1</v>
      </c>
      <c r="J111" s="18">
        <v>0.24</v>
      </c>
    </row>
    <row r="112" spans="1:10" ht="12.5" x14ac:dyDescent="0.25">
      <c r="A112" s="16">
        <v>111</v>
      </c>
      <c r="B112" s="17">
        <v>40548</v>
      </c>
      <c r="C112" s="18">
        <v>1</v>
      </c>
      <c r="D112" s="18">
        <v>0</v>
      </c>
      <c r="E112" s="18">
        <v>1</v>
      </c>
      <c r="F112" s="18">
        <v>19</v>
      </c>
      <c r="G112" s="18" t="b">
        <v>0</v>
      </c>
      <c r="H112" s="18">
        <v>3</v>
      </c>
      <c r="I112" s="18">
        <v>1</v>
      </c>
      <c r="J112" s="18">
        <v>0.24</v>
      </c>
    </row>
    <row r="113" spans="1:10" ht="12.5" x14ac:dyDescent="0.25">
      <c r="A113" s="16">
        <v>112</v>
      </c>
      <c r="B113" s="17">
        <v>40548</v>
      </c>
      <c r="C113" s="18">
        <v>1</v>
      </c>
      <c r="D113" s="18">
        <v>0</v>
      </c>
      <c r="E113" s="18">
        <v>1</v>
      </c>
      <c r="F113" s="18">
        <v>20</v>
      </c>
      <c r="G113" s="18" t="b">
        <v>0</v>
      </c>
      <c r="H113" s="18">
        <v>3</v>
      </c>
      <c r="I113" s="18">
        <v>1</v>
      </c>
      <c r="J113" s="18">
        <v>0.22</v>
      </c>
    </row>
    <row r="114" spans="1:10" ht="12.5" x14ac:dyDescent="0.25">
      <c r="A114" s="16">
        <v>113</v>
      </c>
      <c r="B114" s="17">
        <v>40548</v>
      </c>
      <c r="C114" s="18">
        <v>1</v>
      </c>
      <c r="D114" s="18">
        <v>0</v>
      </c>
      <c r="E114" s="18">
        <v>1</v>
      </c>
      <c r="F114" s="18">
        <v>21</v>
      </c>
      <c r="G114" s="18" t="b">
        <v>0</v>
      </c>
      <c r="H114" s="18">
        <v>3</v>
      </c>
      <c r="I114" s="18">
        <v>1</v>
      </c>
      <c r="J114" s="18">
        <v>0.2</v>
      </c>
    </row>
    <row r="115" spans="1:10" ht="12.5" x14ac:dyDescent="0.25">
      <c r="A115" s="16">
        <v>114</v>
      </c>
      <c r="B115" s="17">
        <v>40548</v>
      </c>
      <c r="C115" s="18">
        <v>1</v>
      </c>
      <c r="D115" s="18">
        <v>0</v>
      </c>
      <c r="E115" s="18">
        <v>1</v>
      </c>
      <c r="F115" s="18">
        <v>22</v>
      </c>
      <c r="G115" s="18" t="b">
        <v>0</v>
      </c>
      <c r="H115" s="18">
        <v>3</v>
      </c>
      <c r="I115" s="18">
        <v>1</v>
      </c>
      <c r="J115" s="18">
        <v>0.18</v>
      </c>
    </row>
    <row r="116" spans="1:10" ht="12.5" x14ac:dyDescent="0.25">
      <c r="A116" s="16">
        <v>115</v>
      </c>
      <c r="B116" s="17">
        <v>40548</v>
      </c>
      <c r="C116" s="18">
        <v>1</v>
      </c>
      <c r="D116" s="18">
        <v>0</v>
      </c>
      <c r="E116" s="18">
        <v>1</v>
      </c>
      <c r="F116" s="18">
        <v>23</v>
      </c>
      <c r="G116" s="18" t="b">
        <v>0</v>
      </c>
      <c r="H116" s="18">
        <v>3</v>
      </c>
      <c r="I116" s="18">
        <v>1</v>
      </c>
      <c r="J116" s="18">
        <v>0.2</v>
      </c>
    </row>
    <row r="117" spans="1:10" ht="12.5" x14ac:dyDescent="0.25">
      <c r="A117" s="16">
        <v>116</v>
      </c>
      <c r="B117" s="17">
        <v>40549</v>
      </c>
      <c r="C117" s="18">
        <v>1</v>
      </c>
      <c r="D117" s="18">
        <v>0</v>
      </c>
      <c r="E117" s="18">
        <v>1</v>
      </c>
      <c r="F117" s="18">
        <v>0</v>
      </c>
      <c r="G117" s="18" t="b">
        <v>0</v>
      </c>
      <c r="H117" s="18">
        <v>4</v>
      </c>
      <c r="I117" s="18">
        <v>1</v>
      </c>
      <c r="J117" s="18">
        <v>0.18</v>
      </c>
    </row>
    <row r="118" spans="1:10" ht="12.5" x14ac:dyDescent="0.25">
      <c r="A118" s="16">
        <v>117</v>
      </c>
      <c r="B118" s="17">
        <v>40549</v>
      </c>
      <c r="C118" s="18">
        <v>1</v>
      </c>
      <c r="D118" s="18">
        <v>0</v>
      </c>
      <c r="E118" s="18">
        <v>1</v>
      </c>
      <c r="F118" s="18">
        <v>1</v>
      </c>
      <c r="G118" s="18" t="b">
        <v>0</v>
      </c>
      <c r="H118" s="18">
        <v>4</v>
      </c>
      <c r="I118" s="18">
        <v>1</v>
      </c>
      <c r="J118" s="18">
        <v>0.16</v>
      </c>
    </row>
    <row r="119" spans="1:10" ht="12.5" x14ac:dyDescent="0.25">
      <c r="A119" s="16">
        <v>118</v>
      </c>
      <c r="B119" s="17">
        <v>40549</v>
      </c>
      <c r="C119" s="18">
        <v>1</v>
      </c>
      <c r="D119" s="18">
        <v>0</v>
      </c>
      <c r="E119" s="18">
        <v>1</v>
      </c>
      <c r="F119" s="18">
        <v>2</v>
      </c>
      <c r="G119" s="18" t="b">
        <v>0</v>
      </c>
      <c r="H119" s="18">
        <v>4</v>
      </c>
      <c r="I119" s="18">
        <v>1</v>
      </c>
      <c r="J119" s="18">
        <v>0.16</v>
      </c>
    </row>
    <row r="120" spans="1:10" ht="12.5" x14ac:dyDescent="0.25">
      <c r="A120" s="16">
        <v>119</v>
      </c>
      <c r="B120" s="17">
        <v>40549</v>
      </c>
      <c r="C120" s="18">
        <v>1</v>
      </c>
      <c r="D120" s="18">
        <v>0</v>
      </c>
      <c r="E120" s="18">
        <v>1</v>
      </c>
      <c r="F120" s="18">
        <v>4</v>
      </c>
      <c r="G120" s="18" t="b">
        <v>0</v>
      </c>
      <c r="H120" s="18">
        <v>4</v>
      </c>
      <c r="I120" s="18">
        <v>2</v>
      </c>
      <c r="J120" s="18">
        <v>0.16</v>
      </c>
    </row>
    <row r="121" spans="1:10" ht="12.5" x14ac:dyDescent="0.25">
      <c r="A121" s="16">
        <v>120</v>
      </c>
      <c r="B121" s="17">
        <v>40549</v>
      </c>
      <c r="C121" s="18">
        <v>1</v>
      </c>
      <c r="D121" s="18">
        <v>0</v>
      </c>
      <c r="E121" s="18">
        <v>1</v>
      </c>
      <c r="F121" s="18">
        <v>5</v>
      </c>
      <c r="G121" s="18" t="b">
        <v>0</v>
      </c>
      <c r="H121" s="18">
        <v>4</v>
      </c>
      <c r="I121" s="18">
        <v>2</v>
      </c>
      <c r="J121" s="18">
        <v>0.14000000000000001</v>
      </c>
    </row>
    <row r="122" spans="1:10" ht="12.5" x14ac:dyDescent="0.25">
      <c r="A122" s="16">
        <v>121</v>
      </c>
      <c r="B122" s="17">
        <v>40549</v>
      </c>
      <c r="C122" s="18">
        <v>1</v>
      </c>
      <c r="D122" s="18">
        <v>0</v>
      </c>
      <c r="E122" s="18">
        <v>1</v>
      </c>
      <c r="F122" s="18">
        <v>6</v>
      </c>
      <c r="G122" s="18" t="b">
        <v>0</v>
      </c>
      <c r="H122" s="18">
        <v>4</v>
      </c>
      <c r="I122" s="18">
        <v>2</v>
      </c>
      <c r="J122" s="18">
        <v>0.14000000000000001</v>
      </c>
    </row>
    <row r="123" spans="1:10" ht="12.5" x14ac:dyDescent="0.25">
      <c r="A123" s="16">
        <v>122</v>
      </c>
      <c r="B123" s="17">
        <v>40549</v>
      </c>
      <c r="C123" s="18">
        <v>1</v>
      </c>
      <c r="D123" s="18">
        <v>0</v>
      </c>
      <c r="E123" s="18">
        <v>1</v>
      </c>
      <c r="F123" s="18">
        <v>7</v>
      </c>
      <c r="G123" s="18" t="b">
        <v>0</v>
      </c>
      <c r="H123" s="18">
        <v>4</v>
      </c>
      <c r="I123" s="18">
        <v>2</v>
      </c>
      <c r="J123" s="18">
        <v>0.16</v>
      </c>
    </row>
    <row r="124" spans="1:10" ht="12.5" x14ac:dyDescent="0.25">
      <c r="A124" s="16">
        <v>123</v>
      </c>
      <c r="B124" s="17">
        <v>40549</v>
      </c>
      <c r="C124" s="18">
        <v>1</v>
      </c>
      <c r="D124" s="18">
        <v>0</v>
      </c>
      <c r="E124" s="18">
        <v>1</v>
      </c>
      <c r="F124" s="18">
        <v>8</v>
      </c>
      <c r="G124" s="18" t="b">
        <v>0</v>
      </c>
      <c r="H124" s="18">
        <v>4</v>
      </c>
      <c r="I124" s="18">
        <v>1</v>
      </c>
      <c r="J124" s="18">
        <v>0.16</v>
      </c>
    </row>
    <row r="125" spans="1:10" ht="12.5" x14ac:dyDescent="0.25">
      <c r="A125" s="16">
        <v>124</v>
      </c>
      <c r="B125" s="17">
        <v>40549</v>
      </c>
      <c r="C125" s="18">
        <v>1</v>
      </c>
      <c r="D125" s="18">
        <v>0</v>
      </c>
      <c r="E125" s="18">
        <v>1</v>
      </c>
      <c r="F125" s="18">
        <v>9</v>
      </c>
      <c r="G125" s="18" t="b">
        <v>0</v>
      </c>
      <c r="H125" s="18">
        <v>4</v>
      </c>
      <c r="I125" s="18">
        <v>2</v>
      </c>
      <c r="J125" s="18">
        <v>0.18</v>
      </c>
    </row>
    <row r="126" spans="1:10" ht="12.5" x14ac:dyDescent="0.25">
      <c r="A126" s="16">
        <v>125</v>
      </c>
      <c r="B126" s="17">
        <v>40549</v>
      </c>
      <c r="C126" s="18">
        <v>1</v>
      </c>
      <c r="D126" s="18">
        <v>0</v>
      </c>
      <c r="E126" s="18">
        <v>1</v>
      </c>
      <c r="F126" s="18">
        <v>10</v>
      </c>
      <c r="G126" s="18" t="b">
        <v>0</v>
      </c>
      <c r="H126" s="18">
        <v>4</v>
      </c>
      <c r="I126" s="18">
        <v>1</v>
      </c>
      <c r="J126" s="18">
        <v>0.2</v>
      </c>
    </row>
    <row r="127" spans="1:10" ht="12.5" x14ac:dyDescent="0.25">
      <c r="A127" s="16">
        <v>126</v>
      </c>
      <c r="B127" s="17">
        <v>40549</v>
      </c>
      <c r="C127" s="18">
        <v>1</v>
      </c>
      <c r="D127" s="18">
        <v>0</v>
      </c>
      <c r="E127" s="18">
        <v>1</v>
      </c>
      <c r="F127" s="18">
        <v>11</v>
      </c>
      <c r="G127" s="18" t="b">
        <v>0</v>
      </c>
      <c r="H127" s="18">
        <v>4</v>
      </c>
      <c r="I127" s="18">
        <v>1</v>
      </c>
      <c r="J127" s="18">
        <v>0.22</v>
      </c>
    </row>
    <row r="128" spans="1:10" ht="12.5" x14ac:dyDescent="0.25">
      <c r="A128" s="16">
        <v>127</v>
      </c>
      <c r="B128" s="17">
        <v>40549</v>
      </c>
      <c r="C128" s="18">
        <v>1</v>
      </c>
      <c r="D128" s="18">
        <v>0</v>
      </c>
      <c r="E128" s="18">
        <v>1</v>
      </c>
      <c r="F128" s="18">
        <v>12</v>
      </c>
      <c r="G128" s="18" t="b">
        <v>0</v>
      </c>
      <c r="H128" s="18">
        <v>4</v>
      </c>
      <c r="I128" s="18">
        <v>1</v>
      </c>
      <c r="J128" s="18">
        <v>0.26</v>
      </c>
    </row>
    <row r="129" spans="1:10" ht="12.5" x14ac:dyDescent="0.25">
      <c r="A129" s="16">
        <v>128</v>
      </c>
      <c r="B129" s="17">
        <v>40549</v>
      </c>
      <c r="C129" s="18">
        <v>1</v>
      </c>
      <c r="D129" s="18">
        <v>0</v>
      </c>
      <c r="E129" s="18">
        <v>1</v>
      </c>
      <c r="F129" s="18">
        <v>13</v>
      </c>
      <c r="G129" s="18" t="b">
        <v>0</v>
      </c>
      <c r="H129" s="18">
        <v>4</v>
      </c>
      <c r="I129" s="18">
        <v>1</v>
      </c>
      <c r="J129" s="18">
        <v>0.26</v>
      </c>
    </row>
    <row r="130" spans="1:10" ht="12.5" x14ac:dyDescent="0.25">
      <c r="A130" s="16">
        <v>129</v>
      </c>
      <c r="B130" s="17">
        <v>40549</v>
      </c>
      <c r="C130" s="18">
        <v>1</v>
      </c>
      <c r="D130" s="18">
        <v>0</v>
      </c>
      <c r="E130" s="18">
        <v>1</v>
      </c>
      <c r="F130" s="18">
        <v>14</v>
      </c>
      <c r="G130" s="18" t="b">
        <v>0</v>
      </c>
      <c r="H130" s="18">
        <v>4</v>
      </c>
      <c r="I130" s="18">
        <v>1</v>
      </c>
      <c r="J130" s="18">
        <v>0.28000000000000003</v>
      </c>
    </row>
    <row r="131" spans="1:10" ht="12.5" x14ac:dyDescent="0.25">
      <c r="A131" s="16">
        <v>130</v>
      </c>
      <c r="B131" s="17">
        <v>40549</v>
      </c>
      <c r="C131" s="18">
        <v>1</v>
      </c>
      <c r="D131" s="18">
        <v>0</v>
      </c>
      <c r="E131" s="18">
        <v>1</v>
      </c>
      <c r="F131" s="18">
        <v>15</v>
      </c>
      <c r="G131" s="18" t="b">
        <v>0</v>
      </c>
      <c r="H131" s="18">
        <v>4</v>
      </c>
      <c r="I131" s="18">
        <v>1</v>
      </c>
      <c r="J131" s="18">
        <v>0.28000000000000003</v>
      </c>
    </row>
    <row r="132" spans="1:10" ht="12.5" x14ac:dyDescent="0.25">
      <c r="A132" s="16">
        <v>131</v>
      </c>
      <c r="B132" s="17">
        <v>40549</v>
      </c>
      <c r="C132" s="18">
        <v>1</v>
      </c>
      <c r="D132" s="18">
        <v>0</v>
      </c>
      <c r="E132" s="18">
        <v>1</v>
      </c>
      <c r="F132" s="18">
        <v>16</v>
      </c>
      <c r="G132" s="18" t="b">
        <v>0</v>
      </c>
      <c r="H132" s="18">
        <v>4</v>
      </c>
      <c r="I132" s="18">
        <v>1</v>
      </c>
      <c r="J132" s="18">
        <v>0.26</v>
      </c>
    </row>
    <row r="133" spans="1:10" ht="12.5" x14ac:dyDescent="0.25">
      <c r="A133" s="16">
        <v>132</v>
      </c>
      <c r="B133" s="17">
        <v>40549</v>
      </c>
      <c r="C133" s="18">
        <v>1</v>
      </c>
      <c r="D133" s="18">
        <v>0</v>
      </c>
      <c r="E133" s="18">
        <v>1</v>
      </c>
      <c r="F133" s="18">
        <v>17</v>
      </c>
      <c r="G133" s="18" t="b">
        <v>0</v>
      </c>
      <c r="H133" s="18">
        <v>4</v>
      </c>
      <c r="I133" s="18">
        <v>1</v>
      </c>
      <c r="J133" s="18">
        <v>0.22</v>
      </c>
    </row>
    <row r="134" spans="1:10" ht="12.5" x14ac:dyDescent="0.25">
      <c r="A134" s="16">
        <v>133</v>
      </c>
      <c r="B134" s="17">
        <v>40549</v>
      </c>
      <c r="C134" s="18">
        <v>1</v>
      </c>
      <c r="D134" s="18">
        <v>0</v>
      </c>
      <c r="E134" s="18">
        <v>1</v>
      </c>
      <c r="F134" s="18">
        <v>18</v>
      </c>
      <c r="G134" s="18" t="b">
        <v>0</v>
      </c>
      <c r="H134" s="18">
        <v>4</v>
      </c>
      <c r="I134" s="18">
        <v>1</v>
      </c>
      <c r="J134" s="18">
        <v>0.22</v>
      </c>
    </row>
    <row r="135" spans="1:10" ht="12.5" x14ac:dyDescent="0.25">
      <c r="A135" s="16">
        <v>134</v>
      </c>
      <c r="B135" s="17">
        <v>40549</v>
      </c>
      <c r="C135" s="18">
        <v>1</v>
      </c>
      <c r="D135" s="18">
        <v>0</v>
      </c>
      <c r="E135" s="18">
        <v>1</v>
      </c>
      <c r="F135" s="18">
        <v>19</v>
      </c>
      <c r="G135" s="18" t="b">
        <v>0</v>
      </c>
      <c r="H135" s="18">
        <v>4</v>
      </c>
      <c r="I135" s="18">
        <v>1</v>
      </c>
      <c r="J135" s="18">
        <v>0.22</v>
      </c>
    </row>
    <row r="136" spans="1:10" ht="12.5" x14ac:dyDescent="0.25">
      <c r="A136" s="16">
        <v>135</v>
      </c>
      <c r="B136" s="17">
        <v>40549</v>
      </c>
      <c r="C136" s="18">
        <v>1</v>
      </c>
      <c r="D136" s="18">
        <v>0</v>
      </c>
      <c r="E136" s="18">
        <v>1</v>
      </c>
      <c r="F136" s="18">
        <v>20</v>
      </c>
      <c r="G136" s="18" t="b">
        <v>0</v>
      </c>
      <c r="H136" s="18">
        <v>4</v>
      </c>
      <c r="I136" s="18">
        <v>1</v>
      </c>
      <c r="J136" s="18">
        <v>0.2</v>
      </c>
    </row>
    <row r="137" spans="1:10" ht="12.5" x14ac:dyDescent="0.25">
      <c r="A137" s="16">
        <v>136</v>
      </c>
      <c r="B137" s="17">
        <v>40549</v>
      </c>
      <c r="C137" s="18">
        <v>1</v>
      </c>
      <c r="D137" s="18">
        <v>0</v>
      </c>
      <c r="E137" s="18">
        <v>1</v>
      </c>
      <c r="F137" s="18">
        <v>21</v>
      </c>
      <c r="G137" s="18" t="b">
        <v>0</v>
      </c>
      <c r="H137" s="18">
        <v>4</v>
      </c>
      <c r="I137" s="18">
        <v>2</v>
      </c>
      <c r="J137" s="18">
        <v>0.22</v>
      </c>
    </row>
    <row r="138" spans="1:10" ht="12.5" x14ac:dyDescent="0.25">
      <c r="A138" s="16">
        <v>137</v>
      </c>
      <c r="B138" s="17">
        <v>40549</v>
      </c>
      <c r="C138" s="18">
        <v>1</v>
      </c>
      <c r="D138" s="18">
        <v>0</v>
      </c>
      <c r="E138" s="18">
        <v>1</v>
      </c>
      <c r="F138" s="18">
        <v>22</v>
      </c>
      <c r="G138" s="18" t="b">
        <v>0</v>
      </c>
      <c r="H138" s="18">
        <v>4</v>
      </c>
      <c r="I138" s="18">
        <v>2</v>
      </c>
      <c r="J138" s="18">
        <v>0.22</v>
      </c>
    </row>
    <row r="139" spans="1:10" ht="12.5" x14ac:dyDescent="0.25">
      <c r="A139" s="16">
        <v>138</v>
      </c>
      <c r="B139" s="17">
        <v>40549</v>
      </c>
      <c r="C139" s="18">
        <v>1</v>
      </c>
      <c r="D139" s="18">
        <v>0</v>
      </c>
      <c r="E139" s="18">
        <v>1</v>
      </c>
      <c r="F139" s="18">
        <v>23</v>
      </c>
      <c r="G139" s="18" t="b">
        <v>0</v>
      </c>
      <c r="H139" s="18">
        <v>4</v>
      </c>
      <c r="I139" s="18">
        <v>2</v>
      </c>
      <c r="J139" s="18">
        <v>0.2</v>
      </c>
    </row>
    <row r="140" spans="1:10" ht="12.5" x14ac:dyDescent="0.25">
      <c r="A140" s="16">
        <v>139</v>
      </c>
      <c r="B140" s="17">
        <v>40550</v>
      </c>
      <c r="C140" s="18">
        <v>1</v>
      </c>
      <c r="D140" s="18">
        <v>0</v>
      </c>
      <c r="E140" s="18">
        <v>1</v>
      </c>
      <c r="F140" s="18">
        <v>0</v>
      </c>
      <c r="G140" s="18" t="b">
        <v>0</v>
      </c>
      <c r="H140" s="18">
        <v>5</v>
      </c>
      <c r="I140" s="18">
        <v>2</v>
      </c>
      <c r="J140" s="18">
        <v>0.2</v>
      </c>
    </row>
    <row r="141" spans="1:10" ht="12.5" x14ac:dyDescent="0.25">
      <c r="A141" s="16">
        <v>140</v>
      </c>
      <c r="B141" s="17">
        <v>40550</v>
      </c>
      <c r="C141" s="18">
        <v>1</v>
      </c>
      <c r="D141" s="18">
        <v>0</v>
      </c>
      <c r="E141" s="18">
        <v>1</v>
      </c>
      <c r="F141" s="18">
        <v>1</v>
      </c>
      <c r="G141" s="18" t="b">
        <v>0</v>
      </c>
      <c r="H141" s="18">
        <v>5</v>
      </c>
      <c r="I141" s="18">
        <v>2</v>
      </c>
      <c r="J141" s="18">
        <v>0.2</v>
      </c>
    </row>
    <row r="142" spans="1:10" ht="12.5" x14ac:dyDescent="0.25">
      <c r="A142" s="16">
        <v>141</v>
      </c>
      <c r="B142" s="17">
        <v>40550</v>
      </c>
      <c r="C142" s="18">
        <v>1</v>
      </c>
      <c r="D142" s="18">
        <v>0</v>
      </c>
      <c r="E142" s="18">
        <v>1</v>
      </c>
      <c r="F142" s="18">
        <v>2</v>
      </c>
      <c r="G142" s="18" t="b">
        <v>0</v>
      </c>
      <c r="H142" s="18">
        <v>5</v>
      </c>
      <c r="I142" s="18">
        <v>2</v>
      </c>
      <c r="J142" s="18">
        <v>0.2</v>
      </c>
    </row>
    <row r="143" spans="1:10" ht="12.5" x14ac:dyDescent="0.25">
      <c r="A143" s="16">
        <v>142</v>
      </c>
      <c r="B143" s="17">
        <v>40550</v>
      </c>
      <c r="C143" s="18">
        <v>1</v>
      </c>
      <c r="D143" s="18">
        <v>0</v>
      </c>
      <c r="E143" s="18">
        <v>1</v>
      </c>
      <c r="F143" s="18">
        <v>4</v>
      </c>
      <c r="G143" s="18" t="b">
        <v>0</v>
      </c>
      <c r="H143" s="18">
        <v>5</v>
      </c>
      <c r="I143" s="18">
        <v>2</v>
      </c>
      <c r="J143" s="18">
        <v>0.2</v>
      </c>
    </row>
    <row r="144" spans="1:10" ht="12.5" x14ac:dyDescent="0.25">
      <c r="A144" s="16">
        <v>143</v>
      </c>
      <c r="B144" s="17">
        <v>40550</v>
      </c>
      <c r="C144" s="18">
        <v>1</v>
      </c>
      <c r="D144" s="18">
        <v>0</v>
      </c>
      <c r="E144" s="18">
        <v>1</v>
      </c>
      <c r="F144" s="18">
        <v>5</v>
      </c>
      <c r="G144" s="18" t="b">
        <v>0</v>
      </c>
      <c r="H144" s="18">
        <v>5</v>
      </c>
      <c r="I144" s="18">
        <v>3</v>
      </c>
      <c r="J144" s="18">
        <v>0.22</v>
      </c>
    </row>
    <row r="145" spans="1:10" ht="12.5" x14ac:dyDescent="0.25">
      <c r="A145" s="16">
        <v>144</v>
      </c>
      <c r="B145" s="17">
        <v>40550</v>
      </c>
      <c r="C145" s="18">
        <v>1</v>
      </c>
      <c r="D145" s="18">
        <v>0</v>
      </c>
      <c r="E145" s="18">
        <v>1</v>
      </c>
      <c r="F145" s="18">
        <v>6</v>
      </c>
      <c r="G145" s="18" t="b">
        <v>0</v>
      </c>
      <c r="H145" s="18">
        <v>5</v>
      </c>
      <c r="I145" s="18">
        <v>2</v>
      </c>
      <c r="J145" s="18">
        <v>0.2</v>
      </c>
    </row>
    <row r="146" spans="1:10" ht="12.5" x14ac:dyDescent="0.25">
      <c r="A146" s="16">
        <v>145</v>
      </c>
      <c r="B146" s="17">
        <v>40550</v>
      </c>
      <c r="C146" s="18">
        <v>1</v>
      </c>
      <c r="D146" s="18">
        <v>0</v>
      </c>
      <c r="E146" s="18">
        <v>1</v>
      </c>
      <c r="F146" s="18">
        <v>7</v>
      </c>
      <c r="G146" s="18" t="b">
        <v>0</v>
      </c>
      <c r="H146" s="18">
        <v>5</v>
      </c>
      <c r="I146" s="18">
        <v>1</v>
      </c>
      <c r="J146" s="18">
        <v>0.2</v>
      </c>
    </row>
    <row r="147" spans="1:10" ht="12.5" x14ac:dyDescent="0.25">
      <c r="A147" s="16">
        <v>146</v>
      </c>
      <c r="B147" s="17">
        <v>40550</v>
      </c>
      <c r="C147" s="18">
        <v>1</v>
      </c>
      <c r="D147" s="18">
        <v>0</v>
      </c>
      <c r="E147" s="18">
        <v>1</v>
      </c>
      <c r="F147" s="18">
        <v>8</v>
      </c>
      <c r="G147" s="18" t="b">
        <v>0</v>
      </c>
      <c r="H147" s="18">
        <v>5</v>
      </c>
      <c r="I147" s="18">
        <v>1</v>
      </c>
      <c r="J147" s="18">
        <v>0.2</v>
      </c>
    </row>
    <row r="148" spans="1:10" ht="12.5" x14ac:dyDescent="0.25">
      <c r="A148" s="16">
        <v>147</v>
      </c>
      <c r="B148" s="17">
        <v>40550</v>
      </c>
      <c r="C148" s="18">
        <v>1</v>
      </c>
      <c r="D148" s="18">
        <v>0</v>
      </c>
      <c r="E148" s="18">
        <v>1</v>
      </c>
      <c r="F148" s="18">
        <v>9</v>
      </c>
      <c r="G148" s="18" t="b">
        <v>0</v>
      </c>
      <c r="H148" s="18">
        <v>5</v>
      </c>
      <c r="I148" s="18">
        <v>1</v>
      </c>
      <c r="J148" s="18">
        <v>0.2</v>
      </c>
    </row>
    <row r="149" spans="1:10" ht="12.5" x14ac:dyDescent="0.25">
      <c r="A149" s="16">
        <v>148</v>
      </c>
      <c r="B149" s="17">
        <v>40550</v>
      </c>
      <c r="C149" s="18">
        <v>1</v>
      </c>
      <c r="D149" s="18">
        <v>0</v>
      </c>
      <c r="E149" s="18">
        <v>1</v>
      </c>
      <c r="F149" s="18">
        <v>10</v>
      </c>
      <c r="G149" s="18" t="b">
        <v>0</v>
      </c>
      <c r="H149" s="18">
        <v>5</v>
      </c>
      <c r="I149" s="18">
        <v>1</v>
      </c>
      <c r="J149" s="18">
        <v>0.22</v>
      </c>
    </row>
    <row r="150" spans="1:10" ht="12.5" x14ac:dyDescent="0.25">
      <c r="A150" s="16">
        <v>149</v>
      </c>
      <c r="B150" s="17">
        <v>40550</v>
      </c>
      <c r="C150" s="18">
        <v>1</v>
      </c>
      <c r="D150" s="18">
        <v>0</v>
      </c>
      <c r="E150" s="18">
        <v>1</v>
      </c>
      <c r="F150" s="18">
        <v>11</v>
      </c>
      <c r="G150" s="18" t="b">
        <v>0</v>
      </c>
      <c r="H150" s="18">
        <v>5</v>
      </c>
      <c r="I150" s="18">
        <v>2</v>
      </c>
      <c r="J150" s="18">
        <v>0.2</v>
      </c>
    </row>
    <row r="151" spans="1:10" ht="12.5" x14ac:dyDescent="0.25">
      <c r="A151" s="16">
        <v>150</v>
      </c>
      <c r="B151" s="17">
        <v>40550</v>
      </c>
      <c r="C151" s="18">
        <v>1</v>
      </c>
      <c r="D151" s="18">
        <v>0</v>
      </c>
      <c r="E151" s="18">
        <v>1</v>
      </c>
      <c r="F151" s="18">
        <v>12</v>
      </c>
      <c r="G151" s="18" t="b">
        <v>0</v>
      </c>
      <c r="H151" s="18">
        <v>5</v>
      </c>
      <c r="I151" s="18">
        <v>2</v>
      </c>
      <c r="J151" s="18">
        <v>0.2</v>
      </c>
    </row>
    <row r="152" spans="1:10" ht="12.5" x14ac:dyDescent="0.25">
      <c r="A152" s="16">
        <v>151</v>
      </c>
      <c r="B152" s="17">
        <v>40550</v>
      </c>
      <c r="C152" s="18">
        <v>1</v>
      </c>
      <c r="D152" s="18">
        <v>0</v>
      </c>
      <c r="E152" s="18">
        <v>1</v>
      </c>
      <c r="F152" s="18">
        <v>13</v>
      </c>
      <c r="G152" s="18" t="b">
        <v>0</v>
      </c>
      <c r="H152" s="18">
        <v>5</v>
      </c>
      <c r="I152" s="18">
        <v>2</v>
      </c>
      <c r="J152" s="18">
        <v>0.2</v>
      </c>
    </row>
    <row r="153" spans="1:10" ht="12.5" x14ac:dyDescent="0.25">
      <c r="A153" s="16">
        <v>152</v>
      </c>
      <c r="B153" s="17">
        <v>40550</v>
      </c>
      <c r="C153" s="18">
        <v>1</v>
      </c>
      <c r="D153" s="18">
        <v>0</v>
      </c>
      <c r="E153" s="18">
        <v>1</v>
      </c>
      <c r="F153" s="18">
        <v>14</v>
      </c>
      <c r="G153" s="18" t="b">
        <v>0</v>
      </c>
      <c r="H153" s="18">
        <v>5</v>
      </c>
      <c r="I153" s="18">
        <v>2</v>
      </c>
      <c r="J153" s="18">
        <v>0.2</v>
      </c>
    </row>
    <row r="154" spans="1:10" ht="12.5" x14ac:dyDescent="0.25">
      <c r="A154" s="16">
        <v>153</v>
      </c>
      <c r="B154" s="17">
        <v>40550</v>
      </c>
      <c r="C154" s="18">
        <v>1</v>
      </c>
      <c r="D154" s="18">
        <v>0</v>
      </c>
      <c r="E154" s="18">
        <v>1</v>
      </c>
      <c r="F154" s="18">
        <v>15</v>
      </c>
      <c r="G154" s="18" t="b">
        <v>0</v>
      </c>
      <c r="H154" s="18">
        <v>5</v>
      </c>
      <c r="I154" s="18">
        <v>2</v>
      </c>
      <c r="J154" s="18">
        <v>0.2</v>
      </c>
    </row>
    <row r="155" spans="1:10" ht="12.5" x14ac:dyDescent="0.25">
      <c r="A155" s="16">
        <v>154</v>
      </c>
      <c r="B155" s="17">
        <v>40550</v>
      </c>
      <c r="C155" s="18">
        <v>1</v>
      </c>
      <c r="D155" s="18">
        <v>0</v>
      </c>
      <c r="E155" s="18">
        <v>1</v>
      </c>
      <c r="F155" s="18">
        <v>16</v>
      </c>
      <c r="G155" s="18" t="b">
        <v>0</v>
      </c>
      <c r="H155" s="18">
        <v>5</v>
      </c>
      <c r="I155" s="18">
        <v>2</v>
      </c>
      <c r="J155" s="18">
        <v>0.2</v>
      </c>
    </row>
    <row r="156" spans="1:10" ht="12.5" x14ac:dyDescent="0.25">
      <c r="A156" s="16">
        <v>155</v>
      </c>
      <c r="B156" s="17">
        <v>40550</v>
      </c>
      <c r="C156" s="18">
        <v>1</v>
      </c>
      <c r="D156" s="18">
        <v>0</v>
      </c>
      <c r="E156" s="18">
        <v>1</v>
      </c>
      <c r="F156" s="18">
        <v>17</v>
      </c>
      <c r="G156" s="18" t="b">
        <v>0</v>
      </c>
      <c r="H156" s="18">
        <v>5</v>
      </c>
      <c r="I156" s="18">
        <v>2</v>
      </c>
      <c r="J156" s="18">
        <v>0.2</v>
      </c>
    </row>
    <row r="157" spans="1:10" ht="12.5" x14ac:dyDescent="0.25">
      <c r="A157" s="16">
        <v>156</v>
      </c>
      <c r="B157" s="17">
        <v>40550</v>
      </c>
      <c r="C157" s="18">
        <v>1</v>
      </c>
      <c r="D157" s="18">
        <v>0</v>
      </c>
      <c r="E157" s="18">
        <v>1</v>
      </c>
      <c r="F157" s="18">
        <v>18</v>
      </c>
      <c r="G157" s="18" t="b">
        <v>0</v>
      </c>
      <c r="H157" s="18">
        <v>5</v>
      </c>
      <c r="I157" s="18">
        <v>1</v>
      </c>
      <c r="J157" s="18">
        <v>0.2</v>
      </c>
    </row>
    <row r="158" spans="1:10" ht="12.5" x14ac:dyDescent="0.25">
      <c r="A158" s="16">
        <v>157</v>
      </c>
      <c r="B158" s="17">
        <v>40550</v>
      </c>
      <c r="C158" s="18">
        <v>1</v>
      </c>
      <c r="D158" s="18">
        <v>0</v>
      </c>
      <c r="E158" s="18">
        <v>1</v>
      </c>
      <c r="F158" s="18">
        <v>19</v>
      </c>
      <c r="G158" s="18" t="b">
        <v>0</v>
      </c>
      <c r="H158" s="18">
        <v>5</v>
      </c>
      <c r="I158" s="18">
        <v>1</v>
      </c>
      <c r="J158" s="18">
        <v>0.16</v>
      </c>
    </row>
    <row r="159" spans="1:10" ht="12.5" x14ac:dyDescent="0.25">
      <c r="A159" s="16">
        <v>158</v>
      </c>
      <c r="B159" s="17">
        <v>40550</v>
      </c>
      <c r="C159" s="18">
        <v>1</v>
      </c>
      <c r="D159" s="18">
        <v>0</v>
      </c>
      <c r="E159" s="18">
        <v>1</v>
      </c>
      <c r="F159" s="18">
        <v>20</v>
      </c>
      <c r="G159" s="18" t="b">
        <v>0</v>
      </c>
      <c r="H159" s="18">
        <v>5</v>
      </c>
      <c r="I159" s="18">
        <v>1</v>
      </c>
      <c r="J159" s="18">
        <v>0.18</v>
      </c>
    </row>
    <row r="160" spans="1:10" ht="12.5" x14ac:dyDescent="0.25">
      <c r="A160" s="16">
        <v>159</v>
      </c>
      <c r="B160" s="17">
        <v>40550</v>
      </c>
      <c r="C160" s="18">
        <v>1</v>
      </c>
      <c r="D160" s="18">
        <v>0</v>
      </c>
      <c r="E160" s="18">
        <v>1</v>
      </c>
      <c r="F160" s="18">
        <v>21</v>
      </c>
      <c r="G160" s="18" t="b">
        <v>0</v>
      </c>
      <c r="H160" s="18">
        <v>5</v>
      </c>
      <c r="I160" s="18">
        <v>1</v>
      </c>
      <c r="J160" s="18">
        <v>0.18</v>
      </c>
    </row>
    <row r="161" spans="1:10" ht="12.5" x14ac:dyDescent="0.25">
      <c r="A161" s="16">
        <v>160</v>
      </c>
      <c r="B161" s="17">
        <v>40550</v>
      </c>
      <c r="C161" s="18">
        <v>1</v>
      </c>
      <c r="D161" s="18">
        <v>0</v>
      </c>
      <c r="E161" s="18">
        <v>1</v>
      </c>
      <c r="F161" s="18">
        <v>22</v>
      </c>
      <c r="G161" s="18" t="b">
        <v>0</v>
      </c>
      <c r="H161" s="18">
        <v>5</v>
      </c>
      <c r="I161" s="18">
        <v>2</v>
      </c>
      <c r="J161" s="18">
        <v>0.18</v>
      </c>
    </row>
    <row r="162" spans="1:10" ht="12.5" x14ac:dyDescent="0.25">
      <c r="A162" s="16">
        <v>161</v>
      </c>
      <c r="B162" s="17">
        <v>40550</v>
      </c>
      <c r="C162" s="18">
        <v>1</v>
      </c>
      <c r="D162" s="18">
        <v>0</v>
      </c>
      <c r="E162" s="18">
        <v>1</v>
      </c>
      <c r="F162" s="18">
        <v>23</v>
      </c>
      <c r="G162" s="18" t="b">
        <v>0</v>
      </c>
      <c r="H162" s="18">
        <v>5</v>
      </c>
      <c r="I162" s="18">
        <v>2</v>
      </c>
      <c r="J162" s="18">
        <v>0.18</v>
      </c>
    </row>
    <row r="163" spans="1:10" ht="12.5" x14ac:dyDescent="0.25">
      <c r="A163" s="16">
        <v>162</v>
      </c>
      <c r="B163" s="17">
        <v>40551</v>
      </c>
      <c r="C163" s="18">
        <v>1</v>
      </c>
      <c r="D163" s="18">
        <v>0</v>
      </c>
      <c r="E163" s="18">
        <v>1</v>
      </c>
      <c r="F163" s="18">
        <v>0</v>
      </c>
      <c r="G163" s="18" t="b">
        <v>0</v>
      </c>
      <c r="H163" s="18">
        <v>6</v>
      </c>
      <c r="I163" s="18">
        <v>2</v>
      </c>
      <c r="J163" s="18">
        <v>0.18</v>
      </c>
    </row>
    <row r="164" spans="1:10" ht="12.5" x14ac:dyDescent="0.25">
      <c r="A164" s="16">
        <v>163</v>
      </c>
      <c r="B164" s="17">
        <v>40551</v>
      </c>
      <c r="C164" s="18">
        <v>1</v>
      </c>
      <c r="D164" s="18">
        <v>0</v>
      </c>
      <c r="E164" s="18">
        <v>1</v>
      </c>
      <c r="F164" s="18">
        <v>1</v>
      </c>
      <c r="G164" s="18" t="b">
        <v>0</v>
      </c>
      <c r="H164" s="18">
        <v>6</v>
      </c>
      <c r="I164" s="18">
        <v>2</v>
      </c>
      <c r="J164" s="18">
        <v>0.18</v>
      </c>
    </row>
    <row r="165" spans="1:10" ht="12.5" x14ac:dyDescent="0.25">
      <c r="A165" s="16">
        <v>164</v>
      </c>
      <c r="B165" s="17">
        <v>40551</v>
      </c>
      <c r="C165" s="18">
        <v>1</v>
      </c>
      <c r="D165" s="18">
        <v>0</v>
      </c>
      <c r="E165" s="18">
        <v>1</v>
      </c>
      <c r="F165" s="18">
        <v>2</v>
      </c>
      <c r="G165" s="18" t="b">
        <v>0</v>
      </c>
      <c r="H165" s="18">
        <v>6</v>
      </c>
      <c r="I165" s="18">
        <v>2</v>
      </c>
      <c r="J165" s="18">
        <v>0.18</v>
      </c>
    </row>
    <row r="166" spans="1:10" ht="12.5" x14ac:dyDescent="0.25">
      <c r="A166" s="16">
        <v>165</v>
      </c>
      <c r="B166" s="17">
        <v>40551</v>
      </c>
      <c r="C166" s="18">
        <v>1</v>
      </c>
      <c r="D166" s="18">
        <v>0</v>
      </c>
      <c r="E166" s="18">
        <v>1</v>
      </c>
      <c r="F166" s="18">
        <v>3</v>
      </c>
      <c r="G166" s="18" t="b">
        <v>0</v>
      </c>
      <c r="H166" s="18">
        <v>6</v>
      </c>
      <c r="I166" s="18">
        <v>3</v>
      </c>
      <c r="J166" s="18">
        <v>0.18</v>
      </c>
    </row>
    <row r="167" spans="1:10" ht="12.5" x14ac:dyDescent="0.25">
      <c r="A167" s="16">
        <v>166</v>
      </c>
      <c r="B167" s="17">
        <v>40551</v>
      </c>
      <c r="C167" s="18">
        <v>1</v>
      </c>
      <c r="D167" s="18">
        <v>0</v>
      </c>
      <c r="E167" s="18">
        <v>1</v>
      </c>
      <c r="F167" s="18">
        <v>4</v>
      </c>
      <c r="G167" s="18" t="b">
        <v>0</v>
      </c>
      <c r="H167" s="18">
        <v>6</v>
      </c>
      <c r="I167" s="18">
        <v>3</v>
      </c>
      <c r="J167" s="18">
        <v>0.18</v>
      </c>
    </row>
    <row r="168" spans="1:10" ht="12.5" x14ac:dyDescent="0.25">
      <c r="A168" s="16">
        <v>167</v>
      </c>
      <c r="B168" s="17">
        <v>40551</v>
      </c>
      <c r="C168" s="18">
        <v>1</v>
      </c>
      <c r="D168" s="18">
        <v>0</v>
      </c>
      <c r="E168" s="18">
        <v>1</v>
      </c>
      <c r="F168" s="18">
        <v>5</v>
      </c>
      <c r="G168" s="18" t="b">
        <v>0</v>
      </c>
      <c r="H168" s="18">
        <v>6</v>
      </c>
      <c r="I168" s="18">
        <v>2</v>
      </c>
      <c r="J168" s="18">
        <v>0.16</v>
      </c>
    </row>
    <row r="169" spans="1:10" ht="12.5" x14ac:dyDescent="0.25">
      <c r="A169" s="16">
        <v>168</v>
      </c>
      <c r="B169" s="17">
        <v>40551</v>
      </c>
      <c r="C169" s="18">
        <v>1</v>
      </c>
      <c r="D169" s="18">
        <v>0</v>
      </c>
      <c r="E169" s="18">
        <v>1</v>
      </c>
      <c r="F169" s="18">
        <v>6</v>
      </c>
      <c r="G169" s="18" t="b">
        <v>0</v>
      </c>
      <c r="H169" s="18">
        <v>6</v>
      </c>
      <c r="I169" s="18">
        <v>2</v>
      </c>
      <c r="J169" s="18">
        <v>0.16</v>
      </c>
    </row>
    <row r="170" spans="1:10" ht="12.5" x14ac:dyDescent="0.25">
      <c r="A170" s="16">
        <v>169</v>
      </c>
      <c r="B170" s="17">
        <v>40551</v>
      </c>
      <c r="C170" s="18">
        <v>1</v>
      </c>
      <c r="D170" s="18">
        <v>0</v>
      </c>
      <c r="E170" s="18">
        <v>1</v>
      </c>
      <c r="F170" s="18">
        <v>7</v>
      </c>
      <c r="G170" s="18" t="b">
        <v>0</v>
      </c>
      <c r="H170" s="18">
        <v>6</v>
      </c>
      <c r="I170" s="18">
        <v>2</v>
      </c>
      <c r="J170" s="18">
        <v>0.16</v>
      </c>
    </row>
    <row r="171" spans="1:10" ht="12.5" x14ac:dyDescent="0.25">
      <c r="A171" s="16">
        <v>170</v>
      </c>
      <c r="B171" s="17">
        <v>40551</v>
      </c>
      <c r="C171" s="18">
        <v>1</v>
      </c>
      <c r="D171" s="18">
        <v>0</v>
      </c>
      <c r="E171" s="18">
        <v>1</v>
      </c>
      <c r="F171" s="18">
        <v>8</v>
      </c>
      <c r="G171" s="18" t="b">
        <v>0</v>
      </c>
      <c r="H171" s="18">
        <v>6</v>
      </c>
      <c r="I171" s="18">
        <v>3</v>
      </c>
      <c r="J171" s="18">
        <v>0.16</v>
      </c>
    </row>
    <row r="172" spans="1:10" ht="12.5" x14ac:dyDescent="0.25">
      <c r="A172" s="16">
        <v>171</v>
      </c>
      <c r="B172" s="17">
        <v>40551</v>
      </c>
      <c r="C172" s="18">
        <v>1</v>
      </c>
      <c r="D172" s="18">
        <v>0</v>
      </c>
      <c r="E172" s="18">
        <v>1</v>
      </c>
      <c r="F172" s="18">
        <v>9</v>
      </c>
      <c r="G172" s="18" t="b">
        <v>0</v>
      </c>
      <c r="H172" s="18">
        <v>6</v>
      </c>
      <c r="I172" s="18">
        <v>3</v>
      </c>
      <c r="J172" s="18">
        <v>0.16</v>
      </c>
    </row>
    <row r="173" spans="1:10" ht="12.5" x14ac:dyDescent="0.25">
      <c r="A173" s="16">
        <v>172</v>
      </c>
      <c r="B173" s="17">
        <v>40551</v>
      </c>
      <c r="C173" s="18">
        <v>1</v>
      </c>
      <c r="D173" s="18">
        <v>0</v>
      </c>
      <c r="E173" s="18">
        <v>1</v>
      </c>
      <c r="F173" s="18">
        <v>10</v>
      </c>
      <c r="G173" s="18" t="b">
        <v>0</v>
      </c>
      <c r="H173" s="18">
        <v>6</v>
      </c>
      <c r="I173" s="18">
        <v>2</v>
      </c>
      <c r="J173" s="18">
        <v>0.18</v>
      </c>
    </row>
    <row r="174" spans="1:10" ht="12.5" x14ac:dyDescent="0.25">
      <c r="A174" s="16">
        <v>173</v>
      </c>
      <c r="B174" s="17">
        <v>40551</v>
      </c>
      <c r="C174" s="18">
        <v>1</v>
      </c>
      <c r="D174" s="18">
        <v>0</v>
      </c>
      <c r="E174" s="18">
        <v>1</v>
      </c>
      <c r="F174" s="18">
        <v>11</v>
      </c>
      <c r="G174" s="18" t="b">
        <v>0</v>
      </c>
      <c r="H174" s="18">
        <v>6</v>
      </c>
      <c r="I174" s="18">
        <v>2</v>
      </c>
      <c r="J174" s="18">
        <v>0.2</v>
      </c>
    </row>
    <row r="175" spans="1:10" ht="12.5" x14ac:dyDescent="0.25">
      <c r="A175" s="16">
        <v>174</v>
      </c>
      <c r="B175" s="17">
        <v>40551</v>
      </c>
      <c r="C175" s="18">
        <v>1</v>
      </c>
      <c r="D175" s="18">
        <v>0</v>
      </c>
      <c r="E175" s="18">
        <v>1</v>
      </c>
      <c r="F175" s="18">
        <v>12</v>
      </c>
      <c r="G175" s="18" t="b">
        <v>0</v>
      </c>
      <c r="H175" s="18">
        <v>6</v>
      </c>
      <c r="I175" s="18">
        <v>2</v>
      </c>
      <c r="J175" s="18">
        <v>0.2</v>
      </c>
    </row>
    <row r="176" spans="1:10" ht="12.5" x14ac:dyDescent="0.25">
      <c r="A176" s="16">
        <v>175</v>
      </c>
      <c r="B176" s="17">
        <v>40551</v>
      </c>
      <c r="C176" s="18">
        <v>1</v>
      </c>
      <c r="D176" s="18">
        <v>0</v>
      </c>
      <c r="E176" s="18">
        <v>1</v>
      </c>
      <c r="F176" s="18">
        <v>13</v>
      </c>
      <c r="G176" s="18" t="b">
        <v>0</v>
      </c>
      <c r="H176" s="18">
        <v>6</v>
      </c>
      <c r="I176" s="18">
        <v>1</v>
      </c>
      <c r="J176" s="18">
        <v>0.2</v>
      </c>
    </row>
    <row r="177" spans="1:10" ht="12.5" x14ac:dyDescent="0.25">
      <c r="A177" s="16">
        <v>176</v>
      </c>
      <c r="B177" s="17">
        <v>40551</v>
      </c>
      <c r="C177" s="18">
        <v>1</v>
      </c>
      <c r="D177" s="18">
        <v>0</v>
      </c>
      <c r="E177" s="18">
        <v>1</v>
      </c>
      <c r="F177" s="18">
        <v>14</v>
      </c>
      <c r="G177" s="18" t="b">
        <v>0</v>
      </c>
      <c r="H177" s="18">
        <v>6</v>
      </c>
      <c r="I177" s="18">
        <v>1</v>
      </c>
      <c r="J177" s="18">
        <v>0.2</v>
      </c>
    </row>
    <row r="178" spans="1:10" ht="12.5" x14ac:dyDescent="0.25">
      <c r="A178" s="16">
        <v>177</v>
      </c>
      <c r="B178" s="17">
        <v>40551</v>
      </c>
      <c r="C178" s="18">
        <v>1</v>
      </c>
      <c r="D178" s="18">
        <v>0</v>
      </c>
      <c r="E178" s="18">
        <v>1</v>
      </c>
      <c r="F178" s="18">
        <v>15</v>
      </c>
      <c r="G178" s="18" t="b">
        <v>0</v>
      </c>
      <c r="H178" s="18">
        <v>6</v>
      </c>
      <c r="I178" s="18">
        <v>1</v>
      </c>
      <c r="J178" s="18">
        <v>0.2</v>
      </c>
    </row>
    <row r="179" spans="1:10" ht="12.5" x14ac:dyDescent="0.25">
      <c r="A179" s="16">
        <v>178</v>
      </c>
      <c r="B179" s="17">
        <v>40551</v>
      </c>
      <c r="C179" s="18">
        <v>1</v>
      </c>
      <c r="D179" s="18">
        <v>0</v>
      </c>
      <c r="E179" s="18">
        <v>1</v>
      </c>
      <c r="F179" s="18">
        <v>16</v>
      </c>
      <c r="G179" s="18" t="b">
        <v>0</v>
      </c>
      <c r="H179" s="18">
        <v>6</v>
      </c>
      <c r="I179" s="18">
        <v>1</v>
      </c>
      <c r="J179" s="18">
        <v>0.18</v>
      </c>
    </row>
    <row r="180" spans="1:10" ht="12.5" x14ac:dyDescent="0.25">
      <c r="A180" s="16">
        <v>179</v>
      </c>
      <c r="B180" s="17">
        <v>40551</v>
      </c>
      <c r="C180" s="18">
        <v>1</v>
      </c>
      <c r="D180" s="18">
        <v>0</v>
      </c>
      <c r="E180" s="18">
        <v>1</v>
      </c>
      <c r="F180" s="18">
        <v>17</v>
      </c>
      <c r="G180" s="18" t="b">
        <v>0</v>
      </c>
      <c r="H180" s="18">
        <v>6</v>
      </c>
      <c r="I180" s="18">
        <v>1</v>
      </c>
      <c r="J180" s="18">
        <v>0.16</v>
      </c>
    </row>
    <row r="181" spans="1:10" ht="12.5" x14ac:dyDescent="0.25">
      <c r="A181" s="16">
        <v>180</v>
      </c>
      <c r="B181" s="17">
        <v>40551</v>
      </c>
      <c r="C181" s="18">
        <v>1</v>
      </c>
      <c r="D181" s="18">
        <v>0</v>
      </c>
      <c r="E181" s="18">
        <v>1</v>
      </c>
      <c r="F181" s="18">
        <v>18</v>
      </c>
      <c r="G181" s="18" t="b">
        <v>0</v>
      </c>
      <c r="H181" s="18">
        <v>6</v>
      </c>
      <c r="I181" s="18">
        <v>1</v>
      </c>
      <c r="J181" s="18">
        <v>0.14000000000000001</v>
      </c>
    </row>
    <row r="182" spans="1:10" ht="12.5" x14ac:dyDescent="0.25">
      <c r="A182" s="16">
        <v>181</v>
      </c>
      <c r="B182" s="17">
        <v>40551</v>
      </c>
      <c r="C182" s="18">
        <v>1</v>
      </c>
      <c r="D182" s="18">
        <v>0</v>
      </c>
      <c r="E182" s="18">
        <v>1</v>
      </c>
      <c r="F182" s="18">
        <v>19</v>
      </c>
      <c r="G182" s="18" t="b">
        <v>0</v>
      </c>
      <c r="H182" s="18">
        <v>6</v>
      </c>
      <c r="I182" s="18">
        <v>1</v>
      </c>
      <c r="J182" s="18">
        <v>0.14000000000000001</v>
      </c>
    </row>
    <row r="183" spans="1:10" ht="12.5" x14ac:dyDescent="0.25">
      <c r="A183" s="16">
        <v>182</v>
      </c>
      <c r="B183" s="17">
        <v>40551</v>
      </c>
      <c r="C183" s="18">
        <v>1</v>
      </c>
      <c r="D183" s="18">
        <v>0</v>
      </c>
      <c r="E183" s="18">
        <v>1</v>
      </c>
      <c r="F183" s="18">
        <v>20</v>
      </c>
      <c r="G183" s="18" t="b">
        <v>0</v>
      </c>
      <c r="H183" s="18">
        <v>6</v>
      </c>
      <c r="I183" s="18">
        <v>1</v>
      </c>
      <c r="J183" s="18">
        <v>0.12</v>
      </c>
    </row>
    <row r="184" spans="1:10" ht="12.5" x14ac:dyDescent="0.25">
      <c r="A184" s="16">
        <v>183</v>
      </c>
      <c r="B184" s="17">
        <v>40551</v>
      </c>
      <c r="C184" s="18">
        <v>1</v>
      </c>
      <c r="D184" s="18">
        <v>0</v>
      </c>
      <c r="E184" s="18">
        <v>1</v>
      </c>
      <c r="F184" s="18">
        <v>21</v>
      </c>
      <c r="G184" s="18" t="b">
        <v>0</v>
      </c>
      <c r="H184" s="18">
        <v>6</v>
      </c>
      <c r="I184" s="18">
        <v>1</v>
      </c>
      <c r="J184" s="18">
        <v>0.12</v>
      </c>
    </row>
    <row r="185" spans="1:10" ht="12.5" x14ac:dyDescent="0.25">
      <c r="A185" s="16">
        <v>184</v>
      </c>
      <c r="B185" s="17">
        <v>40551</v>
      </c>
      <c r="C185" s="18">
        <v>1</v>
      </c>
      <c r="D185" s="18">
        <v>0</v>
      </c>
      <c r="E185" s="18">
        <v>1</v>
      </c>
      <c r="F185" s="18">
        <v>22</v>
      </c>
      <c r="G185" s="18" t="b">
        <v>0</v>
      </c>
      <c r="H185" s="18">
        <v>6</v>
      </c>
      <c r="I185" s="18">
        <v>1</v>
      </c>
      <c r="J185" s="18">
        <v>0.12</v>
      </c>
    </row>
    <row r="186" spans="1:10" ht="12.5" x14ac:dyDescent="0.25">
      <c r="A186" s="16">
        <v>185</v>
      </c>
      <c r="B186" s="17">
        <v>40551</v>
      </c>
      <c r="C186" s="18">
        <v>1</v>
      </c>
      <c r="D186" s="18">
        <v>0</v>
      </c>
      <c r="E186" s="18">
        <v>1</v>
      </c>
      <c r="F186" s="18">
        <v>23</v>
      </c>
      <c r="G186" s="18" t="b">
        <v>0</v>
      </c>
      <c r="H186" s="18">
        <v>6</v>
      </c>
      <c r="I186" s="18">
        <v>1</v>
      </c>
      <c r="J186" s="18">
        <v>0.1</v>
      </c>
    </row>
    <row r="187" spans="1:10" ht="12.5" x14ac:dyDescent="0.25">
      <c r="A187" s="16">
        <v>186</v>
      </c>
      <c r="B187" s="17">
        <v>40552</v>
      </c>
      <c r="C187" s="18">
        <v>1</v>
      </c>
      <c r="D187" s="18">
        <v>0</v>
      </c>
      <c r="E187" s="18">
        <v>1</v>
      </c>
      <c r="F187" s="18">
        <v>0</v>
      </c>
      <c r="G187" s="18" t="b">
        <v>0</v>
      </c>
      <c r="H187" s="18">
        <v>0</v>
      </c>
      <c r="I187" s="18">
        <v>1</v>
      </c>
      <c r="J187" s="18">
        <v>0.1</v>
      </c>
    </row>
    <row r="188" spans="1:10" ht="12.5" x14ac:dyDescent="0.25">
      <c r="A188" s="16">
        <v>187</v>
      </c>
      <c r="B188" s="17">
        <v>40552</v>
      </c>
      <c r="C188" s="18">
        <v>1</v>
      </c>
      <c r="D188" s="18">
        <v>0</v>
      </c>
      <c r="E188" s="18">
        <v>1</v>
      </c>
      <c r="F188" s="18">
        <v>1</v>
      </c>
      <c r="G188" s="18" t="b">
        <v>0</v>
      </c>
      <c r="H188" s="18">
        <v>0</v>
      </c>
      <c r="I188" s="18">
        <v>1</v>
      </c>
      <c r="J188" s="18">
        <v>0.1</v>
      </c>
    </row>
    <row r="189" spans="1:10" ht="12.5" x14ac:dyDescent="0.25">
      <c r="A189" s="16">
        <v>188</v>
      </c>
      <c r="B189" s="17">
        <v>40552</v>
      </c>
      <c r="C189" s="18">
        <v>1</v>
      </c>
      <c r="D189" s="18">
        <v>0</v>
      </c>
      <c r="E189" s="18">
        <v>1</v>
      </c>
      <c r="F189" s="18">
        <v>2</v>
      </c>
      <c r="G189" s="18" t="b">
        <v>0</v>
      </c>
      <c r="H189" s="18">
        <v>0</v>
      </c>
      <c r="I189" s="18">
        <v>1</v>
      </c>
      <c r="J189" s="18">
        <v>0.1</v>
      </c>
    </row>
    <row r="190" spans="1:10" ht="12.5" x14ac:dyDescent="0.25">
      <c r="A190" s="16">
        <v>189</v>
      </c>
      <c r="B190" s="17">
        <v>40552</v>
      </c>
      <c r="C190" s="18">
        <v>1</v>
      </c>
      <c r="D190" s="18">
        <v>0</v>
      </c>
      <c r="E190" s="18">
        <v>1</v>
      </c>
      <c r="F190" s="18">
        <v>3</v>
      </c>
      <c r="G190" s="18" t="b">
        <v>0</v>
      </c>
      <c r="H190" s="18">
        <v>0</v>
      </c>
      <c r="I190" s="18">
        <v>1</v>
      </c>
      <c r="J190" s="18">
        <v>0.1</v>
      </c>
    </row>
    <row r="191" spans="1:10" ht="12.5" x14ac:dyDescent="0.25">
      <c r="A191" s="16">
        <v>190</v>
      </c>
      <c r="B191" s="17">
        <v>40552</v>
      </c>
      <c r="C191" s="18">
        <v>1</v>
      </c>
      <c r="D191" s="18">
        <v>0</v>
      </c>
      <c r="E191" s="18">
        <v>1</v>
      </c>
      <c r="F191" s="18">
        <v>4</v>
      </c>
      <c r="G191" s="18" t="b">
        <v>0</v>
      </c>
      <c r="H191" s="18">
        <v>0</v>
      </c>
      <c r="I191" s="18">
        <v>1</v>
      </c>
      <c r="J191" s="18">
        <v>0.08</v>
      </c>
    </row>
    <row r="192" spans="1:10" ht="12.5" x14ac:dyDescent="0.25">
      <c r="A192" s="16">
        <v>191</v>
      </c>
      <c r="B192" s="17">
        <v>40552</v>
      </c>
      <c r="C192" s="18">
        <v>1</v>
      </c>
      <c r="D192" s="18">
        <v>0</v>
      </c>
      <c r="E192" s="18">
        <v>1</v>
      </c>
      <c r="F192" s="18">
        <v>5</v>
      </c>
      <c r="G192" s="18" t="b">
        <v>0</v>
      </c>
      <c r="H192" s="18">
        <v>0</v>
      </c>
      <c r="I192" s="18">
        <v>1</v>
      </c>
      <c r="J192" s="18">
        <v>0.08</v>
      </c>
    </row>
    <row r="193" spans="1:10" ht="12.5" x14ac:dyDescent="0.25">
      <c r="A193" s="16">
        <v>192</v>
      </c>
      <c r="B193" s="17">
        <v>40552</v>
      </c>
      <c r="C193" s="18">
        <v>1</v>
      </c>
      <c r="D193" s="18">
        <v>0</v>
      </c>
      <c r="E193" s="18">
        <v>1</v>
      </c>
      <c r="F193" s="18">
        <v>6</v>
      </c>
      <c r="G193" s="18" t="b">
        <v>0</v>
      </c>
      <c r="H193" s="18">
        <v>0</v>
      </c>
      <c r="I193" s="18">
        <v>1</v>
      </c>
      <c r="J193" s="18">
        <v>0.1</v>
      </c>
    </row>
    <row r="194" spans="1:10" ht="12.5" x14ac:dyDescent="0.25">
      <c r="A194" s="16">
        <v>193</v>
      </c>
      <c r="B194" s="17">
        <v>40552</v>
      </c>
      <c r="C194" s="18">
        <v>1</v>
      </c>
      <c r="D194" s="18">
        <v>0</v>
      </c>
      <c r="E194" s="18">
        <v>1</v>
      </c>
      <c r="F194" s="18">
        <v>7</v>
      </c>
      <c r="G194" s="18" t="b">
        <v>0</v>
      </c>
      <c r="H194" s="18">
        <v>0</v>
      </c>
      <c r="I194" s="18">
        <v>1</v>
      </c>
      <c r="J194" s="18">
        <v>0.08</v>
      </c>
    </row>
    <row r="195" spans="1:10" ht="12.5" x14ac:dyDescent="0.25">
      <c r="A195" s="16">
        <v>194</v>
      </c>
      <c r="B195" s="17">
        <v>40552</v>
      </c>
      <c r="C195" s="18">
        <v>1</v>
      </c>
      <c r="D195" s="18">
        <v>0</v>
      </c>
      <c r="E195" s="18">
        <v>1</v>
      </c>
      <c r="F195" s="18">
        <v>8</v>
      </c>
      <c r="G195" s="18" t="b">
        <v>0</v>
      </c>
      <c r="H195" s="18">
        <v>0</v>
      </c>
      <c r="I195" s="18">
        <v>1</v>
      </c>
      <c r="J195" s="18">
        <v>0.1</v>
      </c>
    </row>
    <row r="196" spans="1:10" ht="12.5" x14ac:dyDescent="0.25">
      <c r="A196" s="16">
        <v>195</v>
      </c>
      <c r="B196" s="17">
        <v>40552</v>
      </c>
      <c r="C196" s="18">
        <v>1</v>
      </c>
      <c r="D196" s="18">
        <v>0</v>
      </c>
      <c r="E196" s="18">
        <v>1</v>
      </c>
      <c r="F196" s="18">
        <v>9</v>
      </c>
      <c r="G196" s="18" t="b">
        <v>0</v>
      </c>
      <c r="H196" s="18">
        <v>0</v>
      </c>
      <c r="I196" s="18">
        <v>1</v>
      </c>
      <c r="J196" s="18">
        <v>0.12</v>
      </c>
    </row>
    <row r="197" spans="1:10" ht="12.5" x14ac:dyDescent="0.25">
      <c r="A197" s="16">
        <v>196</v>
      </c>
      <c r="B197" s="17">
        <v>40552</v>
      </c>
      <c r="C197" s="18">
        <v>1</v>
      </c>
      <c r="D197" s="18">
        <v>0</v>
      </c>
      <c r="E197" s="18">
        <v>1</v>
      </c>
      <c r="F197" s="18">
        <v>10</v>
      </c>
      <c r="G197" s="18" t="b">
        <v>0</v>
      </c>
      <c r="H197" s="18">
        <v>0</v>
      </c>
      <c r="I197" s="18">
        <v>1</v>
      </c>
      <c r="J197" s="18">
        <v>0.14000000000000001</v>
      </c>
    </row>
    <row r="198" spans="1:10" ht="12.5" x14ac:dyDescent="0.25">
      <c r="A198" s="16">
        <v>197</v>
      </c>
      <c r="B198" s="17">
        <v>40552</v>
      </c>
      <c r="C198" s="18">
        <v>1</v>
      </c>
      <c r="D198" s="18">
        <v>0</v>
      </c>
      <c r="E198" s="18">
        <v>1</v>
      </c>
      <c r="F198" s="18">
        <v>11</v>
      </c>
      <c r="G198" s="18" t="b">
        <v>0</v>
      </c>
      <c r="H198" s="18">
        <v>0</v>
      </c>
      <c r="I198" s="18">
        <v>1</v>
      </c>
      <c r="J198" s="18">
        <v>0.16</v>
      </c>
    </row>
    <row r="199" spans="1:10" ht="12.5" x14ac:dyDescent="0.25">
      <c r="A199" s="16">
        <v>198</v>
      </c>
      <c r="B199" s="17">
        <v>40552</v>
      </c>
      <c r="C199" s="18">
        <v>1</v>
      </c>
      <c r="D199" s="18">
        <v>0</v>
      </c>
      <c r="E199" s="18">
        <v>1</v>
      </c>
      <c r="F199" s="18">
        <v>12</v>
      </c>
      <c r="G199" s="18" t="b">
        <v>0</v>
      </c>
      <c r="H199" s="18">
        <v>0</v>
      </c>
      <c r="I199" s="18">
        <v>1</v>
      </c>
      <c r="J199" s="18">
        <v>0.18</v>
      </c>
    </row>
    <row r="200" spans="1:10" ht="12.5" x14ac:dyDescent="0.25">
      <c r="A200" s="16">
        <v>199</v>
      </c>
      <c r="B200" s="17">
        <v>40552</v>
      </c>
      <c r="C200" s="18">
        <v>1</v>
      </c>
      <c r="D200" s="18">
        <v>0</v>
      </c>
      <c r="E200" s="18">
        <v>1</v>
      </c>
      <c r="F200" s="18">
        <v>13</v>
      </c>
      <c r="G200" s="18" t="b">
        <v>0</v>
      </c>
      <c r="H200" s="18">
        <v>0</v>
      </c>
      <c r="I200" s="18">
        <v>1</v>
      </c>
      <c r="J200" s="18">
        <v>0.2</v>
      </c>
    </row>
    <row r="201" spans="1:10" ht="12.5" x14ac:dyDescent="0.25">
      <c r="A201" s="16">
        <v>200</v>
      </c>
      <c r="B201" s="17">
        <v>40552</v>
      </c>
      <c r="C201" s="18">
        <v>1</v>
      </c>
      <c r="D201" s="18">
        <v>0</v>
      </c>
      <c r="E201" s="18">
        <v>1</v>
      </c>
      <c r="F201" s="18">
        <v>14</v>
      </c>
      <c r="G201" s="18" t="b">
        <v>0</v>
      </c>
      <c r="H201" s="18">
        <v>0</v>
      </c>
      <c r="I201" s="18">
        <v>1</v>
      </c>
      <c r="J201" s="18">
        <v>0.22</v>
      </c>
    </row>
    <row r="202" spans="1:10" ht="12.5" x14ac:dyDescent="0.25">
      <c r="A202" s="16">
        <v>201</v>
      </c>
      <c r="B202" s="17">
        <v>40552</v>
      </c>
      <c r="C202" s="18">
        <v>1</v>
      </c>
      <c r="D202" s="18">
        <v>0</v>
      </c>
      <c r="E202" s="18">
        <v>1</v>
      </c>
      <c r="F202" s="18">
        <v>15</v>
      </c>
      <c r="G202" s="18" t="b">
        <v>0</v>
      </c>
      <c r="H202" s="18">
        <v>0</v>
      </c>
      <c r="I202" s="18">
        <v>1</v>
      </c>
      <c r="J202" s="18">
        <v>0.22</v>
      </c>
    </row>
    <row r="203" spans="1:10" ht="12.5" x14ac:dyDescent="0.25">
      <c r="A203" s="16">
        <v>202</v>
      </c>
      <c r="B203" s="17">
        <v>40552</v>
      </c>
      <c r="C203" s="18">
        <v>1</v>
      </c>
      <c r="D203" s="18">
        <v>0</v>
      </c>
      <c r="E203" s="18">
        <v>1</v>
      </c>
      <c r="F203" s="18">
        <v>16</v>
      </c>
      <c r="G203" s="18" t="b">
        <v>0</v>
      </c>
      <c r="H203" s="18">
        <v>0</v>
      </c>
      <c r="I203" s="18">
        <v>1</v>
      </c>
      <c r="J203" s="18">
        <v>0.2</v>
      </c>
    </row>
    <row r="204" spans="1:10" ht="12.5" x14ac:dyDescent="0.25">
      <c r="A204" s="16">
        <v>203</v>
      </c>
      <c r="B204" s="17">
        <v>40552</v>
      </c>
      <c r="C204" s="18">
        <v>1</v>
      </c>
      <c r="D204" s="18">
        <v>0</v>
      </c>
      <c r="E204" s="18">
        <v>1</v>
      </c>
      <c r="F204" s="18">
        <v>17</v>
      </c>
      <c r="G204" s="18" t="b">
        <v>0</v>
      </c>
      <c r="H204" s="18">
        <v>0</v>
      </c>
      <c r="I204" s="18">
        <v>1</v>
      </c>
      <c r="J204" s="18">
        <v>0.18</v>
      </c>
    </row>
    <row r="205" spans="1:10" ht="12.5" x14ac:dyDescent="0.25">
      <c r="A205" s="16">
        <v>204</v>
      </c>
      <c r="B205" s="17">
        <v>40552</v>
      </c>
      <c r="C205" s="18">
        <v>1</v>
      </c>
      <c r="D205" s="18">
        <v>0</v>
      </c>
      <c r="E205" s="18">
        <v>1</v>
      </c>
      <c r="F205" s="18">
        <v>18</v>
      </c>
      <c r="G205" s="18" t="b">
        <v>0</v>
      </c>
      <c r="H205" s="18">
        <v>0</v>
      </c>
      <c r="I205" s="18">
        <v>1</v>
      </c>
      <c r="J205" s="18">
        <v>0.16</v>
      </c>
    </row>
    <row r="206" spans="1:10" ht="12.5" x14ac:dyDescent="0.25">
      <c r="A206" s="16">
        <v>205</v>
      </c>
      <c r="B206" s="17">
        <v>40552</v>
      </c>
      <c r="C206" s="18">
        <v>1</v>
      </c>
      <c r="D206" s="18">
        <v>0</v>
      </c>
      <c r="E206" s="18">
        <v>1</v>
      </c>
      <c r="F206" s="18">
        <v>19</v>
      </c>
      <c r="G206" s="18" t="b">
        <v>0</v>
      </c>
      <c r="H206" s="18">
        <v>0</v>
      </c>
      <c r="I206" s="18">
        <v>1</v>
      </c>
      <c r="J206" s="18">
        <v>0.16</v>
      </c>
    </row>
    <row r="207" spans="1:10" ht="12.5" x14ac:dyDescent="0.25">
      <c r="A207" s="16">
        <v>206</v>
      </c>
      <c r="B207" s="17">
        <v>40552</v>
      </c>
      <c r="C207" s="18">
        <v>1</v>
      </c>
      <c r="D207" s="18">
        <v>0</v>
      </c>
      <c r="E207" s="18">
        <v>1</v>
      </c>
      <c r="F207" s="18">
        <v>20</v>
      </c>
      <c r="G207" s="18" t="b">
        <v>0</v>
      </c>
      <c r="H207" s="18">
        <v>0</v>
      </c>
      <c r="I207" s="18">
        <v>1</v>
      </c>
      <c r="J207" s="18">
        <v>0.14000000000000001</v>
      </c>
    </row>
    <row r="208" spans="1:10" ht="12.5" x14ac:dyDescent="0.25">
      <c r="A208" s="16">
        <v>207</v>
      </c>
      <c r="B208" s="17">
        <v>40552</v>
      </c>
      <c r="C208" s="18">
        <v>1</v>
      </c>
      <c r="D208" s="18">
        <v>0</v>
      </c>
      <c r="E208" s="18">
        <v>1</v>
      </c>
      <c r="F208" s="18">
        <v>21</v>
      </c>
      <c r="G208" s="18" t="b">
        <v>0</v>
      </c>
      <c r="H208" s="18">
        <v>0</v>
      </c>
      <c r="I208" s="18">
        <v>1</v>
      </c>
      <c r="J208" s="18">
        <v>0.14000000000000001</v>
      </c>
    </row>
    <row r="209" spans="1:10" ht="12.5" x14ac:dyDescent="0.25">
      <c r="A209" s="16">
        <v>208</v>
      </c>
      <c r="B209" s="17">
        <v>40552</v>
      </c>
      <c r="C209" s="18">
        <v>1</v>
      </c>
      <c r="D209" s="18">
        <v>0</v>
      </c>
      <c r="E209" s="18">
        <v>1</v>
      </c>
      <c r="F209" s="18">
        <v>22</v>
      </c>
      <c r="G209" s="18" t="b">
        <v>0</v>
      </c>
      <c r="H209" s="18">
        <v>0</v>
      </c>
      <c r="I209" s="18">
        <v>1</v>
      </c>
      <c r="J209" s="18">
        <v>0.14000000000000001</v>
      </c>
    </row>
    <row r="210" spans="1:10" ht="12.5" x14ac:dyDescent="0.25">
      <c r="A210" s="16">
        <v>209</v>
      </c>
      <c r="B210" s="17">
        <v>40552</v>
      </c>
      <c r="C210" s="18">
        <v>1</v>
      </c>
      <c r="D210" s="18">
        <v>0</v>
      </c>
      <c r="E210" s="18">
        <v>1</v>
      </c>
      <c r="F210" s="18">
        <v>23</v>
      </c>
      <c r="G210" s="18" t="b">
        <v>0</v>
      </c>
      <c r="H210" s="18">
        <v>0</v>
      </c>
      <c r="I210" s="18">
        <v>1</v>
      </c>
      <c r="J210" s="18">
        <v>0.12</v>
      </c>
    </row>
    <row r="211" spans="1:10" ht="12.5" x14ac:dyDescent="0.25">
      <c r="A211" s="16">
        <v>210</v>
      </c>
      <c r="B211" s="17">
        <v>40553</v>
      </c>
      <c r="C211" s="18">
        <v>1</v>
      </c>
      <c r="D211" s="18">
        <v>0</v>
      </c>
      <c r="E211" s="18">
        <v>1</v>
      </c>
      <c r="F211" s="18">
        <v>0</v>
      </c>
      <c r="G211" s="18" t="b">
        <v>0</v>
      </c>
      <c r="H211" s="18">
        <v>1</v>
      </c>
      <c r="I211" s="18">
        <v>1</v>
      </c>
      <c r="J211" s="18">
        <v>0.12</v>
      </c>
    </row>
    <row r="212" spans="1:10" ht="12.5" x14ac:dyDescent="0.25">
      <c r="A212" s="16">
        <v>211</v>
      </c>
      <c r="B212" s="17">
        <v>40553</v>
      </c>
      <c r="C212" s="18">
        <v>1</v>
      </c>
      <c r="D212" s="18">
        <v>0</v>
      </c>
      <c r="E212" s="18">
        <v>1</v>
      </c>
      <c r="F212" s="18">
        <v>1</v>
      </c>
      <c r="G212" s="18" t="b">
        <v>0</v>
      </c>
      <c r="H212" s="18">
        <v>1</v>
      </c>
      <c r="I212" s="18">
        <v>1</v>
      </c>
      <c r="J212" s="18">
        <v>0.12</v>
      </c>
    </row>
    <row r="213" spans="1:10" ht="12.5" x14ac:dyDescent="0.25">
      <c r="A213" s="16">
        <v>212</v>
      </c>
      <c r="B213" s="17">
        <v>40553</v>
      </c>
      <c r="C213" s="18">
        <v>1</v>
      </c>
      <c r="D213" s="18">
        <v>0</v>
      </c>
      <c r="E213" s="18">
        <v>1</v>
      </c>
      <c r="F213" s="18">
        <v>2</v>
      </c>
      <c r="G213" s="18" t="b">
        <v>0</v>
      </c>
      <c r="H213" s="18">
        <v>1</v>
      </c>
      <c r="I213" s="18">
        <v>1</v>
      </c>
      <c r="J213" s="18">
        <v>0.12</v>
      </c>
    </row>
    <row r="214" spans="1:10" ht="12.5" x14ac:dyDescent="0.25">
      <c r="A214" s="16">
        <v>213</v>
      </c>
      <c r="B214" s="17">
        <v>40553</v>
      </c>
      <c r="C214" s="18">
        <v>1</v>
      </c>
      <c r="D214" s="18">
        <v>0</v>
      </c>
      <c r="E214" s="18">
        <v>1</v>
      </c>
      <c r="F214" s="18">
        <v>3</v>
      </c>
      <c r="G214" s="18" t="b">
        <v>0</v>
      </c>
      <c r="H214" s="18">
        <v>1</v>
      </c>
      <c r="I214" s="18">
        <v>1</v>
      </c>
      <c r="J214" s="18">
        <v>0.12</v>
      </c>
    </row>
    <row r="215" spans="1:10" ht="12.5" x14ac:dyDescent="0.25">
      <c r="A215" s="16">
        <v>214</v>
      </c>
      <c r="B215" s="17">
        <v>40553</v>
      </c>
      <c r="C215" s="18">
        <v>1</v>
      </c>
      <c r="D215" s="18">
        <v>0</v>
      </c>
      <c r="E215" s="18">
        <v>1</v>
      </c>
      <c r="F215" s="18">
        <v>4</v>
      </c>
      <c r="G215" s="18" t="b">
        <v>0</v>
      </c>
      <c r="H215" s="18">
        <v>1</v>
      </c>
      <c r="I215" s="18">
        <v>1</v>
      </c>
      <c r="J215" s="18">
        <v>0.1</v>
      </c>
    </row>
    <row r="216" spans="1:10" ht="12.5" x14ac:dyDescent="0.25">
      <c r="A216" s="16">
        <v>215</v>
      </c>
      <c r="B216" s="17">
        <v>40553</v>
      </c>
      <c r="C216" s="18">
        <v>1</v>
      </c>
      <c r="D216" s="18">
        <v>0</v>
      </c>
      <c r="E216" s="18">
        <v>1</v>
      </c>
      <c r="F216" s="18">
        <v>5</v>
      </c>
      <c r="G216" s="18" t="b">
        <v>0</v>
      </c>
      <c r="H216" s="18">
        <v>1</v>
      </c>
      <c r="I216" s="18">
        <v>1</v>
      </c>
      <c r="J216" s="18">
        <v>0.1</v>
      </c>
    </row>
    <row r="217" spans="1:10" ht="12.5" x14ac:dyDescent="0.25">
      <c r="A217" s="16">
        <v>216</v>
      </c>
      <c r="B217" s="17">
        <v>40553</v>
      </c>
      <c r="C217" s="18">
        <v>1</v>
      </c>
      <c r="D217" s="18">
        <v>0</v>
      </c>
      <c r="E217" s="18">
        <v>1</v>
      </c>
      <c r="F217" s="18">
        <v>6</v>
      </c>
      <c r="G217" s="18" t="b">
        <v>0</v>
      </c>
      <c r="H217" s="18">
        <v>1</v>
      </c>
      <c r="I217" s="18">
        <v>1</v>
      </c>
      <c r="J217" s="18">
        <v>0.12</v>
      </c>
    </row>
    <row r="218" spans="1:10" ht="12.5" x14ac:dyDescent="0.25">
      <c r="A218" s="16">
        <v>217</v>
      </c>
      <c r="B218" s="17">
        <v>40553</v>
      </c>
      <c r="C218" s="18">
        <v>1</v>
      </c>
      <c r="D218" s="18">
        <v>0</v>
      </c>
      <c r="E218" s="18">
        <v>1</v>
      </c>
      <c r="F218" s="18">
        <v>7</v>
      </c>
      <c r="G218" s="18" t="b">
        <v>0</v>
      </c>
      <c r="H218" s="18">
        <v>1</v>
      </c>
      <c r="I218" s="18">
        <v>1</v>
      </c>
      <c r="J218" s="18">
        <v>0.12</v>
      </c>
    </row>
    <row r="219" spans="1:10" ht="12.5" x14ac:dyDescent="0.25">
      <c r="A219" s="16">
        <v>218</v>
      </c>
      <c r="B219" s="17">
        <v>40553</v>
      </c>
      <c r="C219" s="18">
        <v>1</v>
      </c>
      <c r="D219" s="18">
        <v>0</v>
      </c>
      <c r="E219" s="18">
        <v>1</v>
      </c>
      <c r="F219" s="18">
        <v>8</v>
      </c>
      <c r="G219" s="18" t="b">
        <v>0</v>
      </c>
      <c r="H219" s="18">
        <v>1</v>
      </c>
      <c r="I219" s="18">
        <v>2</v>
      </c>
      <c r="J219" s="18">
        <v>0.12</v>
      </c>
    </row>
    <row r="220" spans="1:10" ht="12.5" x14ac:dyDescent="0.25">
      <c r="A220" s="16">
        <v>219</v>
      </c>
      <c r="B220" s="17">
        <v>40553</v>
      </c>
      <c r="C220" s="18">
        <v>1</v>
      </c>
      <c r="D220" s="18">
        <v>0</v>
      </c>
      <c r="E220" s="18">
        <v>1</v>
      </c>
      <c r="F220" s="18">
        <v>9</v>
      </c>
      <c r="G220" s="18" t="b">
        <v>0</v>
      </c>
      <c r="H220" s="18">
        <v>1</v>
      </c>
      <c r="I220" s="18">
        <v>2</v>
      </c>
      <c r="J220" s="18">
        <v>0.14000000000000001</v>
      </c>
    </row>
    <row r="221" spans="1:10" ht="12.5" x14ac:dyDescent="0.25">
      <c r="A221" s="16">
        <v>220</v>
      </c>
      <c r="B221" s="17">
        <v>40553</v>
      </c>
      <c r="C221" s="18">
        <v>1</v>
      </c>
      <c r="D221" s="18">
        <v>0</v>
      </c>
      <c r="E221" s="18">
        <v>1</v>
      </c>
      <c r="F221" s="18">
        <v>10</v>
      </c>
      <c r="G221" s="18" t="b">
        <v>0</v>
      </c>
      <c r="H221" s="18">
        <v>1</v>
      </c>
      <c r="I221" s="18">
        <v>2</v>
      </c>
      <c r="J221" s="18">
        <v>0.14000000000000001</v>
      </c>
    </row>
    <row r="222" spans="1:10" ht="12.5" x14ac:dyDescent="0.25">
      <c r="A222" s="16">
        <v>221</v>
      </c>
      <c r="B222" s="17">
        <v>40553</v>
      </c>
      <c r="C222" s="18">
        <v>1</v>
      </c>
      <c r="D222" s="18">
        <v>0</v>
      </c>
      <c r="E222" s="18">
        <v>1</v>
      </c>
      <c r="F222" s="18">
        <v>11</v>
      </c>
      <c r="G222" s="18" t="b">
        <v>0</v>
      </c>
      <c r="H222" s="18">
        <v>1</v>
      </c>
      <c r="I222" s="18">
        <v>2</v>
      </c>
      <c r="J222" s="18">
        <v>0.16</v>
      </c>
    </row>
    <row r="223" spans="1:10" ht="12.5" x14ac:dyDescent="0.25">
      <c r="A223" s="16">
        <v>222</v>
      </c>
      <c r="B223" s="17">
        <v>40553</v>
      </c>
      <c r="C223" s="18">
        <v>1</v>
      </c>
      <c r="D223" s="18">
        <v>0</v>
      </c>
      <c r="E223" s="18">
        <v>1</v>
      </c>
      <c r="F223" s="18">
        <v>12</v>
      </c>
      <c r="G223" s="18" t="b">
        <v>0</v>
      </c>
      <c r="H223" s="18">
        <v>1</v>
      </c>
      <c r="I223" s="18">
        <v>2</v>
      </c>
      <c r="J223" s="18">
        <v>0.2</v>
      </c>
    </row>
    <row r="224" spans="1:10" ht="12.5" x14ac:dyDescent="0.25">
      <c r="A224" s="16">
        <v>223</v>
      </c>
      <c r="B224" s="17">
        <v>40553</v>
      </c>
      <c r="C224" s="18">
        <v>1</v>
      </c>
      <c r="D224" s="18">
        <v>0</v>
      </c>
      <c r="E224" s="18">
        <v>1</v>
      </c>
      <c r="F224" s="18">
        <v>13</v>
      </c>
      <c r="G224" s="18" t="b">
        <v>0</v>
      </c>
      <c r="H224" s="18">
        <v>1</v>
      </c>
      <c r="I224" s="18">
        <v>2</v>
      </c>
      <c r="J224" s="18">
        <v>0.2</v>
      </c>
    </row>
    <row r="225" spans="1:10" ht="12.5" x14ac:dyDescent="0.25">
      <c r="A225" s="16">
        <v>224</v>
      </c>
      <c r="B225" s="17">
        <v>40553</v>
      </c>
      <c r="C225" s="18">
        <v>1</v>
      </c>
      <c r="D225" s="18">
        <v>0</v>
      </c>
      <c r="E225" s="18">
        <v>1</v>
      </c>
      <c r="F225" s="18">
        <v>14</v>
      </c>
      <c r="G225" s="18" t="b">
        <v>0</v>
      </c>
      <c r="H225" s="18">
        <v>1</v>
      </c>
      <c r="I225" s="18">
        <v>2</v>
      </c>
      <c r="J225" s="18">
        <v>0.2</v>
      </c>
    </row>
    <row r="226" spans="1:10" ht="12.5" x14ac:dyDescent="0.25">
      <c r="A226" s="16">
        <v>225</v>
      </c>
      <c r="B226" s="17">
        <v>40553</v>
      </c>
      <c r="C226" s="18">
        <v>1</v>
      </c>
      <c r="D226" s="18">
        <v>0</v>
      </c>
      <c r="E226" s="18">
        <v>1</v>
      </c>
      <c r="F226" s="18">
        <v>15</v>
      </c>
      <c r="G226" s="18" t="b">
        <v>0</v>
      </c>
      <c r="H226" s="18">
        <v>1</v>
      </c>
      <c r="I226" s="18">
        <v>2</v>
      </c>
      <c r="J226" s="18">
        <v>0.2</v>
      </c>
    </row>
    <row r="227" spans="1:10" ht="12.5" x14ac:dyDescent="0.25">
      <c r="A227" s="16">
        <v>226</v>
      </c>
      <c r="B227" s="17">
        <v>40553</v>
      </c>
      <c r="C227" s="18">
        <v>1</v>
      </c>
      <c r="D227" s="18">
        <v>0</v>
      </c>
      <c r="E227" s="18">
        <v>1</v>
      </c>
      <c r="F227" s="18">
        <v>16</v>
      </c>
      <c r="G227" s="18" t="b">
        <v>0</v>
      </c>
      <c r="H227" s="18">
        <v>1</v>
      </c>
      <c r="I227" s="18">
        <v>1</v>
      </c>
      <c r="J227" s="18">
        <v>0.2</v>
      </c>
    </row>
    <row r="228" spans="1:10" ht="12.5" x14ac:dyDescent="0.25">
      <c r="A228" s="16">
        <v>227</v>
      </c>
      <c r="B228" s="17">
        <v>40553</v>
      </c>
      <c r="C228" s="18">
        <v>1</v>
      </c>
      <c r="D228" s="18">
        <v>0</v>
      </c>
      <c r="E228" s="18">
        <v>1</v>
      </c>
      <c r="F228" s="18">
        <v>17</v>
      </c>
      <c r="G228" s="18" t="b">
        <v>0</v>
      </c>
      <c r="H228" s="18">
        <v>1</v>
      </c>
      <c r="I228" s="18">
        <v>1</v>
      </c>
      <c r="J228" s="18">
        <v>0.2</v>
      </c>
    </row>
    <row r="229" spans="1:10" ht="12.5" x14ac:dyDescent="0.25">
      <c r="A229" s="16">
        <v>228</v>
      </c>
      <c r="B229" s="17">
        <v>40553</v>
      </c>
      <c r="C229" s="18">
        <v>1</v>
      </c>
      <c r="D229" s="18">
        <v>0</v>
      </c>
      <c r="E229" s="18">
        <v>1</v>
      </c>
      <c r="F229" s="18">
        <v>18</v>
      </c>
      <c r="G229" s="18" t="b">
        <v>0</v>
      </c>
      <c r="H229" s="18">
        <v>1</v>
      </c>
      <c r="I229" s="18">
        <v>1</v>
      </c>
      <c r="J229" s="18">
        <v>0.2</v>
      </c>
    </row>
    <row r="230" spans="1:10" ht="12.5" x14ac:dyDescent="0.25">
      <c r="A230" s="16">
        <v>229</v>
      </c>
      <c r="B230" s="17">
        <v>40553</v>
      </c>
      <c r="C230" s="18">
        <v>1</v>
      </c>
      <c r="D230" s="18">
        <v>0</v>
      </c>
      <c r="E230" s="18">
        <v>1</v>
      </c>
      <c r="F230" s="18">
        <v>19</v>
      </c>
      <c r="G230" s="18" t="b">
        <v>0</v>
      </c>
      <c r="H230" s="18">
        <v>1</v>
      </c>
      <c r="I230" s="18">
        <v>1</v>
      </c>
      <c r="J230" s="18">
        <v>0.16</v>
      </c>
    </row>
    <row r="231" spans="1:10" ht="12.5" x14ac:dyDescent="0.25">
      <c r="A231" s="16">
        <v>230</v>
      </c>
      <c r="B231" s="17">
        <v>40553</v>
      </c>
      <c r="C231" s="18">
        <v>1</v>
      </c>
      <c r="D231" s="18">
        <v>0</v>
      </c>
      <c r="E231" s="18">
        <v>1</v>
      </c>
      <c r="F231" s="18">
        <v>20</v>
      </c>
      <c r="G231" s="18" t="b">
        <v>0</v>
      </c>
      <c r="H231" s="18">
        <v>1</v>
      </c>
      <c r="I231" s="18">
        <v>1</v>
      </c>
      <c r="J231" s="18">
        <v>0.16</v>
      </c>
    </row>
    <row r="232" spans="1:10" ht="12.5" x14ac:dyDescent="0.25">
      <c r="A232" s="16">
        <v>231</v>
      </c>
      <c r="B232" s="17">
        <v>40553</v>
      </c>
      <c r="C232" s="18">
        <v>1</v>
      </c>
      <c r="D232" s="18">
        <v>0</v>
      </c>
      <c r="E232" s="18">
        <v>1</v>
      </c>
      <c r="F232" s="18">
        <v>21</v>
      </c>
      <c r="G232" s="18" t="b">
        <v>0</v>
      </c>
      <c r="H232" s="18">
        <v>1</v>
      </c>
      <c r="I232" s="18">
        <v>1</v>
      </c>
      <c r="J232" s="18">
        <v>0.14000000000000001</v>
      </c>
    </row>
    <row r="233" spans="1:10" ht="12.5" x14ac:dyDescent="0.25">
      <c r="A233" s="16">
        <v>232</v>
      </c>
      <c r="B233" s="17">
        <v>40553</v>
      </c>
      <c r="C233" s="18">
        <v>1</v>
      </c>
      <c r="D233" s="18">
        <v>0</v>
      </c>
      <c r="E233" s="18">
        <v>1</v>
      </c>
      <c r="F233" s="18">
        <v>22</v>
      </c>
      <c r="G233" s="18" t="b">
        <v>0</v>
      </c>
      <c r="H233" s="18">
        <v>1</v>
      </c>
      <c r="I233" s="18">
        <v>1</v>
      </c>
      <c r="J233" s="18">
        <v>0.14000000000000001</v>
      </c>
    </row>
    <row r="234" spans="1:10" ht="12.5" x14ac:dyDescent="0.25">
      <c r="A234" s="16">
        <v>233</v>
      </c>
      <c r="B234" s="17">
        <v>40553</v>
      </c>
      <c r="C234" s="18">
        <v>1</v>
      </c>
      <c r="D234" s="18">
        <v>0</v>
      </c>
      <c r="E234" s="18">
        <v>1</v>
      </c>
      <c r="F234" s="18">
        <v>23</v>
      </c>
      <c r="G234" s="18" t="b">
        <v>0</v>
      </c>
      <c r="H234" s="18">
        <v>1</v>
      </c>
      <c r="I234" s="18">
        <v>1</v>
      </c>
      <c r="J234" s="18">
        <v>0.14000000000000001</v>
      </c>
    </row>
    <row r="235" spans="1:10" ht="12.5" x14ac:dyDescent="0.25">
      <c r="A235" s="16">
        <v>234</v>
      </c>
      <c r="B235" s="17">
        <v>40554</v>
      </c>
      <c r="C235" s="18">
        <v>1</v>
      </c>
      <c r="D235" s="18">
        <v>0</v>
      </c>
      <c r="E235" s="18">
        <v>1</v>
      </c>
      <c r="F235" s="18">
        <v>0</v>
      </c>
      <c r="G235" s="18" t="b">
        <v>0</v>
      </c>
      <c r="H235" s="18">
        <v>2</v>
      </c>
      <c r="I235" s="18">
        <v>1</v>
      </c>
      <c r="J235" s="18">
        <v>0.14000000000000001</v>
      </c>
    </row>
    <row r="236" spans="1:10" ht="12.5" x14ac:dyDescent="0.25">
      <c r="A236" s="16">
        <v>235</v>
      </c>
      <c r="B236" s="17">
        <v>40554</v>
      </c>
      <c r="C236" s="18">
        <v>1</v>
      </c>
      <c r="D236" s="18">
        <v>0</v>
      </c>
      <c r="E236" s="18">
        <v>1</v>
      </c>
      <c r="F236" s="18">
        <v>1</v>
      </c>
      <c r="G236" s="18" t="b">
        <v>0</v>
      </c>
      <c r="H236" s="18">
        <v>2</v>
      </c>
      <c r="I236" s="18">
        <v>1</v>
      </c>
      <c r="J236" s="18">
        <v>0.14000000000000001</v>
      </c>
    </row>
    <row r="237" spans="1:10" ht="12.5" x14ac:dyDescent="0.25">
      <c r="A237" s="16">
        <v>236</v>
      </c>
      <c r="B237" s="17">
        <v>40554</v>
      </c>
      <c r="C237" s="18">
        <v>1</v>
      </c>
      <c r="D237" s="18">
        <v>0</v>
      </c>
      <c r="E237" s="18">
        <v>1</v>
      </c>
      <c r="F237" s="18">
        <v>2</v>
      </c>
      <c r="G237" s="18" t="b">
        <v>0</v>
      </c>
      <c r="H237" s="18">
        <v>2</v>
      </c>
      <c r="I237" s="18">
        <v>2</v>
      </c>
      <c r="J237" s="18">
        <v>0.16</v>
      </c>
    </row>
    <row r="238" spans="1:10" ht="12.5" x14ac:dyDescent="0.25">
      <c r="A238" s="16">
        <v>237</v>
      </c>
      <c r="B238" s="17">
        <v>40554</v>
      </c>
      <c r="C238" s="18">
        <v>1</v>
      </c>
      <c r="D238" s="18">
        <v>0</v>
      </c>
      <c r="E238" s="18">
        <v>1</v>
      </c>
      <c r="F238" s="18">
        <v>5</v>
      </c>
      <c r="G238" s="18" t="b">
        <v>0</v>
      </c>
      <c r="H238" s="18">
        <v>2</v>
      </c>
      <c r="I238" s="18">
        <v>2</v>
      </c>
      <c r="J238" s="18">
        <v>0.16</v>
      </c>
    </row>
    <row r="239" spans="1:10" ht="12.5" x14ac:dyDescent="0.25">
      <c r="A239" s="16">
        <v>238</v>
      </c>
      <c r="B239" s="17">
        <v>40554</v>
      </c>
      <c r="C239" s="18">
        <v>1</v>
      </c>
      <c r="D239" s="18">
        <v>0</v>
      </c>
      <c r="E239" s="18">
        <v>1</v>
      </c>
      <c r="F239" s="18">
        <v>6</v>
      </c>
      <c r="G239" s="18" t="b">
        <v>0</v>
      </c>
      <c r="H239" s="18">
        <v>2</v>
      </c>
      <c r="I239" s="18">
        <v>2</v>
      </c>
      <c r="J239" s="18">
        <v>0.16</v>
      </c>
    </row>
    <row r="240" spans="1:10" ht="12.5" x14ac:dyDescent="0.25">
      <c r="A240" s="16">
        <v>239</v>
      </c>
      <c r="B240" s="17">
        <v>40554</v>
      </c>
      <c r="C240" s="18">
        <v>1</v>
      </c>
      <c r="D240" s="18">
        <v>0</v>
      </c>
      <c r="E240" s="18">
        <v>1</v>
      </c>
      <c r="F240" s="18">
        <v>7</v>
      </c>
      <c r="G240" s="18" t="b">
        <v>0</v>
      </c>
      <c r="H240" s="18">
        <v>2</v>
      </c>
      <c r="I240" s="18">
        <v>2</v>
      </c>
      <c r="J240" s="18">
        <v>0.16</v>
      </c>
    </row>
    <row r="241" spans="1:10" ht="12.5" x14ac:dyDescent="0.25">
      <c r="A241" s="16">
        <v>240</v>
      </c>
      <c r="B241" s="17">
        <v>40554</v>
      </c>
      <c r="C241" s="18">
        <v>1</v>
      </c>
      <c r="D241" s="18">
        <v>0</v>
      </c>
      <c r="E241" s="18">
        <v>1</v>
      </c>
      <c r="F241" s="18">
        <v>8</v>
      </c>
      <c r="G241" s="18" t="b">
        <v>0</v>
      </c>
      <c r="H241" s="18">
        <v>2</v>
      </c>
      <c r="I241" s="18">
        <v>2</v>
      </c>
      <c r="J241" s="18">
        <v>0.18</v>
      </c>
    </row>
    <row r="242" spans="1:10" ht="12.5" x14ac:dyDescent="0.25">
      <c r="A242" s="16">
        <v>241</v>
      </c>
      <c r="B242" s="17">
        <v>40554</v>
      </c>
      <c r="C242" s="18">
        <v>1</v>
      </c>
      <c r="D242" s="18">
        <v>0</v>
      </c>
      <c r="E242" s="18">
        <v>1</v>
      </c>
      <c r="F242" s="18">
        <v>9</v>
      </c>
      <c r="G242" s="18" t="b">
        <v>0</v>
      </c>
      <c r="H242" s="18">
        <v>2</v>
      </c>
      <c r="I242" s="18">
        <v>2</v>
      </c>
      <c r="J242" s="18">
        <v>0.18</v>
      </c>
    </row>
    <row r="243" spans="1:10" ht="12.5" x14ac:dyDescent="0.25">
      <c r="A243" s="16">
        <v>242</v>
      </c>
      <c r="B243" s="17">
        <v>40554</v>
      </c>
      <c r="C243" s="18">
        <v>1</v>
      </c>
      <c r="D243" s="18">
        <v>0</v>
      </c>
      <c r="E243" s="18">
        <v>1</v>
      </c>
      <c r="F243" s="18">
        <v>10</v>
      </c>
      <c r="G243" s="18" t="b">
        <v>0</v>
      </c>
      <c r="H243" s="18">
        <v>2</v>
      </c>
      <c r="I243" s="18">
        <v>2</v>
      </c>
      <c r="J243" s="18">
        <v>0.2</v>
      </c>
    </row>
    <row r="244" spans="1:10" ht="12.5" x14ac:dyDescent="0.25">
      <c r="A244" s="16">
        <v>243</v>
      </c>
      <c r="B244" s="17">
        <v>40554</v>
      </c>
      <c r="C244" s="18">
        <v>1</v>
      </c>
      <c r="D244" s="18">
        <v>0</v>
      </c>
      <c r="E244" s="18">
        <v>1</v>
      </c>
      <c r="F244" s="18">
        <v>11</v>
      </c>
      <c r="G244" s="18" t="b">
        <v>0</v>
      </c>
      <c r="H244" s="18">
        <v>2</v>
      </c>
      <c r="I244" s="18">
        <v>2</v>
      </c>
      <c r="J244" s="18">
        <v>0.2</v>
      </c>
    </row>
    <row r="245" spans="1:10" ht="12.5" x14ac:dyDescent="0.25">
      <c r="A245" s="16">
        <v>244</v>
      </c>
      <c r="B245" s="17">
        <v>40554</v>
      </c>
      <c r="C245" s="18">
        <v>1</v>
      </c>
      <c r="D245" s="18">
        <v>0</v>
      </c>
      <c r="E245" s="18">
        <v>1</v>
      </c>
      <c r="F245" s="18">
        <v>12</v>
      </c>
      <c r="G245" s="18" t="b">
        <v>0</v>
      </c>
      <c r="H245" s="18">
        <v>2</v>
      </c>
      <c r="I245" s="18">
        <v>2</v>
      </c>
      <c r="J245" s="18">
        <v>0.2</v>
      </c>
    </row>
    <row r="246" spans="1:10" ht="12.5" x14ac:dyDescent="0.25">
      <c r="A246" s="16">
        <v>245</v>
      </c>
      <c r="B246" s="17">
        <v>40554</v>
      </c>
      <c r="C246" s="18">
        <v>1</v>
      </c>
      <c r="D246" s="18">
        <v>0</v>
      </c>
      <c r="E246" s="18">
        <v>1</v>
      </c>
      <c r="F246" s="18">
        <v>13</v>
      </c>
      <c r="G246" s="18" t="b">
        <v>0</v>
      </c>
      <c r="H246" s="18">
        <v>2</v>
      </c>
      <c r="I246" s="18">
        <v>2</v>
      </c>
      <c r="J246" s="18">
        <v>0.2</v>
      </c>
    </row>
    <row r="247" spans="1:10" ht="12.5" x14ac:dyDescent="0.25">
      <c r="A247" s="16">
        <v>246</v>
      </c>
      <c r="B247" s="17">
        <v>40554</v>
      </c>
      <c r="C247" s="18">
        <v>1</v>
      </c>
      <c r="D247" s="18">
        <v>0</v>
      </c>
      <c r="E247" s="18">
        <v>1</v>
      </c>
      <c r="F247" s="18">
        <v>14</v>
      </c>
      <c r="G247" s="18" t="b">
        <v>0</v>
      </c>
      <c r="H247" s="18">
        <v>2</v>
      </c>
      <c r="I247" s="18">
        <v>2</v>
      </c>
      <c r="J247" s="18">
        <v>0.2</v>
      </c>
    </row>
    <row r="248" spans="1:10" ht="12.5" x14ac:dyDescent="0.25">
      <c r="A248" s="16">
        <v>247</v>
      </c>
      <c r="B248" s="17">
        <v>40554</v>
      </c>
      <c r="C248" s="18">
        <v>1</v>
      </c>
      <c r="D248" s="18">
        <v>0</v>
      </c>
      <c r="E248" s="18">
        <v>1</v>
      </c>
      <c r="F248" s="18">
        <v>15</v>
      </c>
      <c r="G248" s="18" t="b">
        <v>0</v>
      </c>
      <c r="H248" s="18">
        <v>2</v>
      </c>
      <c r="I248" s="18">
        <v>2</v>
      </c>
      <c r="J248" s="18">
        <v>0.16</v>
      </c>
    </row>
    <row r="249" spans="1:10" ht="12.5" x14ac:dyDescent="0.25">
      <c r="A249" s="16">
        <v>248</v>
      </c>
      <c r="B249" s="17">
        <v>40554</v>
      </c>
      <c r="C249" s="18">
        <v>1</v>
      </c>
      <c r="D249" s="18">
        <v>0</v>
      </c>
      <c r="E249" s="18">
        <v>1</v>
      </c>
      <c r="F249" s="18">
        <v>16</v>
      </c>
      <c r="G249" s="18" t="b">
        <v>0</v>
      </c>
      <c r="H249" s="18">
        <v>2</v>
      </c>
      <c r="I249" s="18">
        <v>2</v>
      </c>
      <c r="J249" s="18">
        <v>0.16</v>
      </c>
    </row>
    <row r="250" spans="1:10" ht="12.5" x14ac:dyDescent="0.25">
      <c r="A250" s="16">
        <v>249</v>
      </c>
      <c r="B250" s="17">
        <v>40554</v>
      </c>
      <c r="C250" s="18">
        <v>1</v>
      </c>
      <c r="D250" s="18">
        <v>0</v>
      </c>
      <c r="E250" s="18">
        <v>1</v>
      </c>
      <c r="F250" s="18">
        <v>17</v>
      </c>
      <c r="G250" s="18" t="b">
        <v>0</v>
      </c>
      <c r="H250" s="18">
        <v>2</v>
      </c>
      <c r="I250" s="18">
        <v>2</v>
      </c>
      <c r="J250" s="18">
        <v>0.16</v>
      </c>
    </row>
    <row r="251" spans="1:10" ht="12.5" x14ac:dyDescent="0.25">
      <c r="A251" s="16">
        <v>250</v>
      </c>
      <c r="B251" s="17">
        <v>40554</v>
      </c>
      <c r="C251" s="18">
        <v>1</v>
      </c>
      <c r="D251" s="18">
        <v>0</v>
      </c>
      <c r="E251" s="18">
        <v>1</v>
      </c>
      <c r="F251" s="18">
        <v>18</v>
      </c>
      <c r="G251" s="18" t="b">
        <v>0</v>
      </c>
      <c r="H251" s="18">
        <v>2</v>
      </c>
      <c r="I251" s="18">
        <v>3</v>
      </c>
      <c r="J251" s="18">
        <v>0.16</v>
      </c>
    </row>
    <row r="252" spans="1:10" ht="12.5" x14ac:dyDescent="0.25">
      <c r="A252" s="16">
        <v>251</v>
      </c>
      <c r="B252" s="17">
        <v>40554</v>
      </c>
      <c r="C252" s="18">
        <v>1</v>
      </c>
      <c r="D252" s="18">
        <v>0</v>
      </c>
      <c r="E252" s="18">
        <v>1</v>
      </c>
      <c r="F252" s="18">
        <v>19</v>
      </c>
      <c r="G252" s="18" t="b">
        <v>0</v>
      </c>
      <c r="H252" s="18">
        <v>2</v>
      </c>
      <c r="I252" s="18">
        <v>3</v>
      </c>
      <c r="J252" s="18">
        <v>0.16</v>
      </c>
    </row>
    <row r="253" spans="1:10" ht="12.5" x14ac:dyDescent="0.25">
      <c r="A253" s="16">
        <v>252</v>
      </c>
      <c r="B253" s="17">
        <v>40554</v>
      </c>
      <c r="C253" s="18">
        <v>1</v>
      </c>
      <c r="D253" s="18">
        <v>0</v>
      </c>
      <c r="E253" s="18">
        <v>1</v>
      </c>
      <c r="F253" s="18">
        <v>20</v>
      </c>
      <c r="G253" s="18" t="b">
        <v>0</v>
      </c>
      <c r="H253" s="18">
        <v>2</v>
      </c>
      <c r="I253" s="18">
        <v>3</v>
      </c>
      <c r="J253" s="18">
        <v>0.16</v>
      </c>
    </row>
    <row r="254" spans="1:10" ht="12.5" x14ac:dyDescent="0.25">
      <c r="A254" s="16">
        <v>253</v>
      </c>
      <c r="B254" s="17">
        <v>40554</v>
      </c>
      <c r="C254" s="18">
        <v>1</v>
      </c>
      <c r="D254" s="18">
        <v>0</v>
      </c>
      <c r="E254" s="18">
        <v>1</v>
      </c>
      <c r="F254" s="18">
        <v>21</v>
      </c>
      <c r="G254" s="18" t="b">
        <v>0</v>
      </c>
      <c r="H254" s="18">
        <v>2</v>
      </c>
      <c r="I254" s="18">
        <v>3</v>
      </c>
      <c r="J254" s="18">
        <v>0.16</v>
      </c>
    </row>
    <row r="255" spans="1:10" ht="12.5" x14ac:dyDescent="0.25">
      <c r="A255" s="16">
        <v>254</v>
      </c>
      <c r="B255" s="17">
        <v>40554</v>
      </c>
      <c r="C255" s="18">
        <v>1</v>
      </c>
      <c r="D255" s="18">
        <v>0</v>
      </c>
      <c r="E255" s="18">
        <v>1</v>
      </c>
      <c r="F255" s="18">
        <v>22</v>
      </c>
      <c r="G255" s="18" t="b">
        <v>0</v>
      </c>
      <c r="H255" s="18">
        <v>2</v>
      </c>
      <c r="I255" s="18">
        <v>3</v>
      </c>
      <c r="J255" s="18">
        <v>0.16</v>
      </c>
    </row>
    <row r="256" spans="1:10" ht="12.5" x14ac:dyDescent="0.25">
      <c r="A256" s="16">
        <v>255</v>
      </c>
      <c r="B256" s="17">
        <v>40554</v>
      </c>
      <c r="C256" s="18">
        <v>1</v>
      </c>
      <c r="D256" s="18">
        <v>0</v>
      </c>
      <c r="E256" s="18">
        <v>1</v>
      </c>
      <c r="F256" s="18">
        <v>23</v>
      </c>
      <c r="G256" s="18" t="b">
        <v>0</v>
      </c>
      <c r="H256" s="18">
        <v>2</v>
      </c>
      <c r="I256" s="18">
        <v>3</v>
      </c>
      <c r="J256" s="18">
        <v>0.16</v>
      </c>
    </row>
    <row r="257" spans="1:10" ht="12.5" x14ac:dyDescent="0.25">
      <c r="A257" s="16">
        <v>256</v>
      </c>
      <c r="B257" s="17">
        <v>40555</v>
      </c>
      <c r="C257" s="18">
        <v>1</v>
      </c>
      <c r="D257" s="18">
        <v>0</v>
      </c>
      <c r="E257" s="18">
        <v>1</v>
      </c>
      <c r="F257" s="18">
        <v>0</v>
      </c>
      <c r="G257" s="18" t="b">
        <v>0</v>
      </c>
      <c r="H257" s="18">
        <v>3</v>
      </c>
      <c r="I257" s="18">
        <v>2</v>
      </c>
      <c r="J257" s="18">
        <v>0.16</v>
      </c>
    </row>
    <row r="258" spans="1:10" ht="12.5" x14ac:dyDescent="0.25">
      <c r="A258" s="16">
        <v>257</v>
      </c>
      <c r="B258" s="17">
        <v>40555</v>
      </c>
      <c r="C258" s="18">
        <v>1</v>
      </c>
      <c r="D258" s="18">
        <v>0</v>
      </c>
      <c r="E258" s="18">
        <v>1</v>
      </c>
      <c r="F258" s="18">
        <v>1</v>
      </c>
      <c r="G258" s="18" t="b">
        <v>0</v>
      </c>
      <c r="H258" s="18">
        <v>3</v>
      </c>
      <c r="I258" s="18">
        <v>2</v>
      </c>
      <c r="J258" s="18">
        <v>0.16</v>
      </c>
    </row>
    <row r="259" spans="1:10" ht="12.5" x14ac:dyDescent="0.25">
      <c r="A259" s="16">
        <v>258</v>
      </c>
      <c r="B259" s="17">
        <v>40555</v>
      </c>
      <c r="C259" s="18">
        <v>1</v>
      </c>
      <c r="D259" s="18">
        <v>0</v>
      </c>
      <c r="E259" s="18">
        <v>1</v>
      </c>
      <c r="F259" s="18">
        <v>2</v>
      </c>
      <c r="G259" s="18" t="b">
        <v>0</v>
      </c>
      <c r="H259" s="18">
        <v>3</v>
      </c>
      <c r="I259" s="18">
        <v>1</v>
      </c>
      <c r="J259" s="18">
        <v>0.14000000000000001</v>
      </c>
    </row>
    <row r="260" spans="1:10" ht="12.5" x14ac:dyDescent="0.25">
      <c r="A260" s="16">
        <v>259</v>
      </c>
      <c r="B260" s="17">
        <v>40555</v>
      </c>
      <c r="C260" s="18">
        <v>1</v>
      </c>
      <c r="D260" s="18">
        <v>0</v>
      </c>
      <c r="E260" s="18">
        <v>1</v>
      </c>
      <c r="F260" s="18">
        <v>5</v>
      </c>
      <c r="G260" s="18" t="b">
        <v>0</v>
      </c>
      <c r="H260" s="18">
        <v>3</v>
      </c>
      <c r="I260" s="18">
        <v>1</v>
      </c>
      <c r="J260" s="18">
        <v>0.14000000000000001</v>
      </c>
    </row>
    <row r="261" spans="1:10" ht="12.5" x14ac:dyDescent="0.25">
      <c r="A261" s="16">
        <v>260</v>
      </c>
      <c r="B261" s="17">
        <v>40555</v>
      </c>
      <c r="C261" s="18">
        <v>1</v>
      </c>
      <c r="D261" s="18">
        <v>0</v>
      </c>
      <c r="E261" s="18">
        <v>1</v>
      </c>
      <c r="F261" s="18">
        <v>6</v>
      </c>
      <c r="G261" s="18" t="b">
        <v>0</v>
      </c>
      <c r="H261" s="18">
        <v>3</v>
      </c>
      <c r="I261" s="18">
        <v>1</v>
      </c>
      <c r="J261" s="18">
        <v>0.12</v>
      </c>
    </row>
    <row r="262" spans="1:10" ht="12.5" x14ac:dyDescent="0.25">
      <c r="A262" s="16">
        <v>261</v>
      </c>
      <c r="B262" s="17">
        <v>40555</v>
      </c>
      <c r="C262" s="18">
        <v>1</v>
      </c>
      <c r="D262" s="18">
        <v>0</v>
      </c>
      <c r="E262" s="18">
        <v>1</v>
      </c>
      <c r="F262" s="18">
        <v>7</v>
      </c>
      <c r="G262" s="18" t="b">
        <v>0</v>
      </c>
      <c r="H262" s="18">
        <v>3</v>
      </c>
      <c r="I262" s="18">
        <v>1</v>
      </c>
      <c r="J262" s="18">
        <v>0.14000000000000001</v>
      </c>
    </row>
    <row r="263" spans="1:10" ht="12.5" x14ac:dyDescent="0.25">
      <c r="A263" s="16">
        <v>262</v>
      </c>
      <c r="B263" s="17">
        <v>40555</v>
      </c>
      <c r="C263" s="18">
        <v>1</v>
      </c>
      <c r="D263" s="18">
        <v>0</v>
      </c>
      <c r="E263" s="18">
        <v>1</v>
      </c>
      <c r="F263" s="18">
        <v>8</v>
      </c>
      <c r="G263" s="18" t="b">
        <v>0</v>
      </c>
      <c r="H263" s="18">
        <v>3</v>
      </c>
      <c r="I263" s="18">
        <v>1</v>
      </c>
      <c r="J263" s="18">
        <v>0.16</v>
      </c>
    </row>
    <row r="264" spans="1:10" ht="12.5" x14ac:dyDescent="0.25">
      <c r="A264" s="16">
        <v>263</v>
      </c>
      <c r="B264" s="17">
        <v>40555</v>
      </c>
      <c r="C264" s="18">
        <v>1</v>
      </c>
      <c r="D264" s="18">
        <v>0</v>
      </c>
      <c r="E264" s="18">
        <v>1</v>
      </c>
      <c r="F264" s="18">
        <v>9</v>
      </c>
      <c r="G264" s="18" t="b">
        <v>0</v>
      </c>
      <c r="H264" s="18">
        <v>3</v>
      </c>
      <c r="I264" s="18">
        <v>1</v>
      </c>
      <c r="J264" s="18">
        <v>0.16</v>
      </c>
    </row>
    <row r="265" spans="1:10" ht="12.5" x14ac:dyDescent="0.25">
      <c r="A265" s="16">
        <v>264</v>
      </c>
      <c r="B265" s="17">
        <v>40555</v>
      </c>
      <c r="C265" s="18">
        <v>1</v>
      </c>
      <c r="D265" s="18">
        <v>0</v>
      </c>
      <c r="E265" s="18">
        <v>1</v>
      </c>
      <c r="F265" s="18">
        <v>10</v>
      </c>
      <c r="G265" s="18" t="b">
        <v>0</v>
      </c>
      <c r="H265" s="18">
        <v>3</v>
      </c>
      <c r="I265" s="18">
        <v>1</v>
      </c>
      <c r="J265" s="18">
        <v>0.18</v>
      </c>
    </row>
    <row r="266" spans="1:10" ht="12.5" x14ac:dyDescent="0.25">
      <c r="A266" s="16">
        <v>265</v>
      </c>
      <c r="B266" s="17">
        <v>40555</v>
      </c>
      <c r="C266" s="18">
        <v>1</v>
      </c>
      <c r="D266" s="18">
        <v>0</v>
      </c>
      <c r="E266" s="18">
        <v>1</v>
      </c>
      <c r="F266" s="18">
        <v>11</v>
      </c>
      <c r="G266" s="18" t="b">
        <v>0</v>
      </c>
      <c r="H266" s="18">
        <v>3</v>
      </c>
      <c r="I266" s="18">
        <v>1</v>
      </c>
      <c r="J266" s="18">
        <v>0.2</v>
      </c>
    </row>
    <row r="267" spans="1:10" ht="12.5" x14ac:dyDescent="0.25">
      <c r="A267" s="16">
        <v>266</v>
      </c>
      <c r="B267" s="17">
        <v>40555</v>
      </c>
      <c r="C267" s="18">
        <v>1</v>
      </c>
      <c r="D267" s="18">
        <v>0</v>
      </c>
      <c r="E267" s="18">
        <v>1</v>
      </c>
      <c r="F267" s="18">
        <v>12</v>
      </c>
      <c r="G267" s="18" t="b">
        <v>0</v>
      </c>
      <c r="H267" s="18">
        <v>3</v>
      </c>
      <c r="I267" s="18">
        <v>1</v>
      </c>
      <c r="J267" s="18">
        <v>0.2</v>
      </c>
    </row>
    <row r="268" spans="1:10" ht="12.5" x14ac:dyDescent="0.25">
      <c r="A268" s="16">
        <v>267</v>
      </c>
      <c r="B268" s="17">
        <v>40555</v>
      </c>
      <c r="C268" s="18">
        <v>1</v>
      </c>
      <c r="D268" s="18">
        <v>0</v>
      </c>
      <c r="E268" s="18">
        <v>1</v>
      </c>
      <c r="F268" s="18">
        <v>13</v>
      </c>
      <c r="G268" s="18" t="b">
        <v>0</v>
      </c>
      <c r="H268" s="18">
        <v>3</v>
      </c>
      <c r="I268" s="18">
        <v>1</v>
      </c>
      <c r="J268" s="18">
        <v>0.22</v>
      </c>
    </row>
    <row r="269" spans="1:10" ht="12.5" x14ac:dyDescent="0.25">
      <c r="A269" s="16">
        <v>268</v>
      </c>
      <c r="B269" s="17">
        <v>40555</v>
      </c>
      <c r="C269" s="18">
        <v>1</v>
      </c>
      <c r="D269" s="18">
        <v>0</v>
      </c>
      <c r="E269" s="18">
        <v>1</v>
      </c>
      <c r="F269" s="18">
        <v>14</v>
      </c>
      <c r="G269" s="18" t="b">
        <v>0</v>
      </c>
      <c r="H269" s="18">
        <v>3</v>
      </c>
      <c r="I269" s="18">
        <v>1</v>
      </c>
      <c r="J269" s="18">
        <v>0.2</v>
      </c>
    </row>
    <row r="270" spans="1:10" ht="12.5" x14ac:dyDescent="0.25">
      <c r="A270" s="16">
        <v>269</v>
      </c>
      <c r="B270" s="17">
        <v>40555</v>
      </c>
      <c r="C270" s="18">
        <v>1</v>
      </c>
      <c r="D270" s="18">
        <v>0</v>
      </c>
      <c r="E270" s="18">
        <v>1</v>
      </c>
      <c r="F270" s="18">
        <v>15</v>
      </c>
      <c r="G270" s="18" t="b">
        <v>0</v>
      </c>
      <c r="H270" s="18">
        <v>3</v>
      </c>
      <c r="I270" s="18">
        <v>1</v>
      </c>
      <c r="J270" s="18">
        <v>0.2</v>
      </c>
    </row>
    <row r="271" spans="1:10" ht="12.5" x14ac:dyDescent="0.25">
      <c r="A271" s="16">
        <v>270</v>
      </c>
      <c r="B271" s="17">
        <v>40555</v>
      </c>
      <c r="C271" s="18">
        <v>1</v>
      </c>
      <c r="D271" s="18">
        <v>0</v>
      </c>
      <c r="E271" s="18">
        <v>1</v>
      </c>
      <c r="F271" s="18">
        <v>16</v>
      </c>
      <c r="G271" s="18" t="b">
        <v>0</v>
      </c>
      <c r="H271" s="18">
        <v>3</v>
      </c>
      <c r="I271" s="18">
        <v>1</v>
      </c>
      <c r="J271" s="18">
        <v>0.22</v>
      </c>
    </row>
    <row r="272" spans="1:10" ht="12.5" x14ac:dyDescent="0.25">
      <c r="A272" s="16">
        <v>271</v>
      </c>
      <c r="B272" s="17">
        <v>40555</v>
      </c>
      <c r="C272" s="18">
        <v>1</v>
      </c>
      <c r="D272" s="18">
        <v>0</v>
      </c>
      <c r="E272" s="18">
        <v>1</v>
      </c>
      <c r="F272" s="18">
        <v>17</v>
      </c>
      <c r="G272" s="18" t="b">
        <v>0</v>
      </c>
      <c r="H272" s="18">
        <v>3</v>
      </c>
      <c r="I272" s="18">
        <v>1</v>
      </c>
      <c r="J272" s="18">
        <v>0.2</v>
      </c>
    </row>
    <row r="273" spans="1:10" ht="12.5" x14ac:dyDescent="0.25">
      <c r="A273" s="16">
        <v>272</v>
      </c>
      <c r="B273" s="17">
        <v>40555</v>
      </c>
      <c r="C273" s="18">
        <v>1</v>
      </c>
      <c r="D273" s="18">
        <v>0</v>
      </c>
      <c r="E273" s="18">
        <v>1</v>
      </c>
      <c r="F273" s="18">
        <v>18</v>
      </c>
      <c r="G273" s="18" t="b">
        <v>0</v>
      </c>
      <c r="H273" s="18">
        <v>3</v>
      </c>
      <c r="I273" s="18">
        <v>1</v>
      </c>
      <c r="J273" s="18">
        <v>0.2</v>
      </c>
    </row>
    <row r="274" spans="1:10" ht="12.5" x14ac:dyDescent="0.25">
      <c r="A274" s="16">
        <v>273</v>
      </c>
      <c r="B274" s="17">
        <v>40555</v>
      </c>
      <c r="C274" s="18">
        <v>1</v>
      </c>
      <c r="D274" s="18">
        <v>0</v>
      </c>
      <c r="E274" s="18">
        <v>1</v>
      </c>
      <c r="F274" s="18">
        <v>19</v>
      </c>
      <c r="G274" s="18" t="b">
        <v>0</v>
      </c>
      <c r="H274" s="18">
        <v>3</v>
      </c>
      <c r="I274" s="18">
        <v>1</v>
      </c>
      <c r="J274" s="18">
        <v>0.18</v>
      </c>
    </row>
    <row r="275" spans="1:10" ht="12.5" x14ac:dyDescent="0.25">
      <c r="A275" s="16">
        <v>274</v>
      </c>
      <c r="B275" s="17">
        <v>40555</v>
      </c>
      <c r="C275" s="18">
        <v>1</v>
      </c>
      <c r="D275" s="18">
        <v>0</v>
      </c>
      <c r="E275" s="18">
        <v>1</v>
      </c>
      <c r="F275" s="18">
        <v>20</v>
      </c>
      <c r="G275" s="18" t="b">
        <v>0</v>
      </c>
      <c r="H275" s="18">
        <v>3</v>
      </c>
      <c r="I275" s="18">
        <v>1</v>
      </c>
      <c r="J275" s="18">
        <v>0.16</v>
      </c>
    </row>
    <row r="276" spans="1:10" ht="12.5" x14ac:dyDescent="0.25">
      <c r="A276" s="16">
        <v>275</v>
      </c>
      <c r="B276" s="17">
        <v>40555</v>
      </c>
      <c r="C276" s="18">
        <v>1</v>
      </c>
      <c r="D276" s="18">
        <v>0</v>
      </c>
      <c r="E276" s="18">
        <v>1</v>
      </c>
      <c r="F276" s="18">
        <v>21</v>
      </c>
      <c r="G276" s="18" t="b">
        <v>0</v>
      </c>
      <c r="H276" s="18">
        <v>3</v>
      </c>
      <c r="I276" s="18">
        <v>1</v>
      </c>
      <c r="J276" s="18">
        <v>0.16</v>
      </c>
    </row>
    <row r="277" spans="1:10" ht="12.5" x14ac:dyDescent="0.25">
      <c r="A277" s="16">
        <v>276</v>
      </c>
      <c r="B277" s="17">
        <v>40555</v>
      </c>
      <c r="C277" s="18">
        <v>1</v>
      </c>
      <c r="D277" s="18">
        <v>0</v>
      </c>
      <c r="E277" s="18">
        <v>1</v>
      </c>
      <c r="F277" s="18">
        <v>22</v>
      </c>
      <c r="G277" s="18" t="b">
        <v>0</v>
      </c>
      <c r="H277" s="18">
        <v>3</v>
      </c>
      <c r="I277" s="18">
        <v>1</v>
      </c>
      <c r="J277" s="18">
        <v>0.16</v>
      </c>
    </row>
    <row r="278" spans="1:10" ht="12.5" x14ac:dyDescent="0.25">
      <c r="A278" s="16">
        <v>277</v>
      </c>
      <c r="B278" s="17">
        <v>40555</v>
      </c>
      <c r="C278" s="18">
        <v>1</v>
      </c>
      <c r="D278" s="18">
        <v>0</v>
      </c>
      <c r="E278" s="18">
        <v>1</v>
      </c>
      <c r="F278" s="18">
        <v>23</v>
      </c>
      <c r="G278" s="18" t="b">
        <v>0</v>
      </c>
      <c r="H278" s="18">
        <v>3</v>
      </c>
      <c r="I278" s="18">
        <v>1</v>
      </c>
      <c r="J278" s="18">
        <v>0.14000000000000001</v>
      </c>
    </row>
    <row r="279" spans="1:10" ht="12.5" x14ac:dyDescent="0.25">
      <c r="A279" s="16">
        <v>278</v>
      </c>
      <c r="B279" s="17">
        <v>40556</v>
      </c>
      <c r="C279" s="18">
        <v>1</v>
      </c>
      <c r="D279" s="18">
        <v>0</v>
      </c>
      <c r="E279" s="18">
        <v>1</v>
      </c>
      <c r="F279" s="18">
        <v>0</v>
      </c>
      <c r="G279" s="18" t="b">
        <v>0</v>
      </c>
      <c r="H279" s="18">
        <v>4</v>
      </c>
      <c r="I279" s="18">
        <v>1</v>
      </c>
      <c r="J279" s="18">
        <v>0.14000000000000001</v>
      </c>
    </row>
    <row r="280" spans="1:10" ht="12.5" x14ac:dyDescent="0.25">
      <c r="A280" s="16">
        <v>279</v>
      </c>
      <c r="B280" s="17">
        <v>40556</v>
      </c>
      <c r="C280" s="18">
        <v>1</v>
      </c>
      <c r="D280" s="18">
        <v>0</v>
      </c>
      <c r="E280" s="18">
        <v>1</v>
      </c>
      <c r="F280" s="18">
        <v>1</v>
      </c>
      <c r="G280" s="18" t="b">
        <v>0</v>
      </c>
      <c r="H280" s="18">
        <v>4</v>
      </c>
      <c r="I280" s="18">
        <v>1</v>
      </c>
      <c r="J280" s="18">
        <v>0.14000000000000001</v>
      </c>
    </row>
    <row r="281" spans="1:10" ht="12.5" x14ac:dyDescent="0.25">
      <c r="A281" s="16">
        <v>280</v>
      </c>
      <c r="B281" s="17">
        <v>40556</v>
      </c>
      <c r="C281" s="18">
        <v>1</v>
      </c>
      <c r="D281" s="18">
        <v>0</v>
      </c>
      <c r="E281" s="18">
        <v>1</v>
      </c>
      <c r="F281" s="18">
        <v>2</v>
      </c>
      <c r="G281" s="18" t="b">
        <v>0</v>
      </c>
      <c r="H281" s="18">
        <v>4</v>
      </c>
      <c r="I281" s="18">
        <v>1</v>
      </c>
      <c r="J281" s="18">
        <v>0.14000000000000001</v>
      </c>
    </row>
    <row r="282" spans="1:10" ht="12.5" x14ac:dyDescent="0.25">
      <c r="A282" s="16">
        <v>281</v>
      </c>
      <c r="B282" s="17">
        <v>40556</v>
      </c>
      <c r="C282" s="18">
        <v>1</v>
      </c>
      <c r="D282" s="18">
        <v>0</v>
      </c>
      <c r="E282" s="18">
        <v>1</v>
      </c>
      <c r="F282" s="18">
        <v>3</v>
      </c>
      <c r="G282" s="18" t="b">
        <v>0</v>
      </c>
      <c r="H282" s="18">
        <v>4</v>
      </c>
      <c r="I282" s="18">
        <v>1</v>
      </c>
      <c r="J282" s="18">
        <v>0.14000000000000001</v>
      </c>
    </row>
    <row r="283" spans="1:10" ht="12.5" x14ac:dyDescent="0.25">
      <c r="A283" s="16">
        <v>282</v>
      </c>
      <c r="B283" s="17">
        <v>40556</v>
      </c>
      <c r="C283" s="18">
        <v>1</v>
      </c>
      <c r="D283" s="18">
        <v>0</v>
      </c>
      <c r="E283" s="18">
        <v>1</v>
      </c>
      <c r="F283" s="18">
        <v>4</v>
      </c>
      <c r="G283" s="18" t="b">
        <v>0</v>
      </c>
      <c r="H283" s="18">
        <v>4</v>
      </c>
      <c r="I283" s="18">
        <v>1</v>
      </c>
      <c r="J283" s="18">
        <v>0.14000000000000001</v>
      </c>
    </row>
    <row r="284" spans="1:10" ht="12.5" x14ac:dyDescent="0.25">
      <c r="A284" s="16">
        <v>283</v>
      </c>
      <c r="B284" s="17">
        <v>40556</v>
      </c>
      <c r="C284" s="18">
        <v>1</v>
      </c>
      <c r="D284" s="18">
        <v>0</v>
      </c>
      <c r="E284" s="18">
        <v>1</v>
      </c>
      <c r="F284" s="18">
        <v>5</v>
      </c>
      <c r="G284" s="18" t="b">
        <v>0</v>
      </c>
      <c r="H284" s="18">
        <v>4</v>
      </c>
      <c r="I284" s="18">
        <v>1</v>
      </c>
      <c r="J284" s="18">
        <v>0.14000000000000001</v>
      </c>
    </row>
    <row r="285" spans="1:10" ht="12.5" x14ac:dyDescent="0.25">
      <c r="A285" s="16">
        <v>284</v>
      </c>
      <c r="B285" s="17">
        <v>40556</v>
      </c>
      <c r="C285" s="18">
        <v>1</v>
      </c>
      <c r="D285" s="18">
        <v>0</v>
      </c>
      <c r="E285" s="18">
        <v>1</v>
      </c>
      <c r="F285" s="18">
        <v>6</v>
      </c>
      <c r="G285" s="18" t="b">
        <v>0</v>
      </c>
      <c r="H285" s="18">
        <v>4</v>
      </c>
      <c r="I285" s="18">
        <v>1</v>
      </c>
      <c r="J285" s="18">
        <v>0.12</v>
      </c>
    </row>
    <row r="286" spans="1:10" ht="12.5" x14ac:dyDescent="0.25">
      <c r="A286" s="16">
        <v>285</v>
      </c>
      <c r="B286" s="17">
        <v>40556</v>
      </c>
      <c r="C286" s="18">
        <v>1</v>
      </c>
      <c r="D286" s="18">
        <v>0</v>
      </c>
      <c r="E286" s="18">
        <v>1</v>
      </c>
      <c r="F286" s="18">
        <v>7</v>
      </c>
      <c r="G286" s="18" t="b">
        <v>0</v>
      </c>
      <c r="H286" s="18">
        <v>4</v>
      </c>
      <c r="I286" s="18">
        <v>1</v>
      </c>
      <c r="J286" s="18">
        <v>0.12</v>
      </c>
    </row>
    <row r="287" spans="1:10" ht="12.5" x14ac:dyDescent="0.25">
      <c r="A287" s="16">
        <v>286</v>
      </c>
      <c r="B287" s="17">
        <v>40556</v>
      </c>
      <c r="C287" s="18">
        <v>1</v>
      </c>
      <c r="D287" s="18">
        <v>0</v>
      </c>
      <c r="E287" s="18">
        <v>1</v>
      </c>
      <c r="F287" s="18">
        <v>8</v>
      </c>
      <c r="G287" s="18" t="b">
        <v>0</v>
      </c>
      <c r="H287" s="18">
        <v>4</v>
      </c>
      <c r="I287" s="18">
        <v>1</v>
      </c>
      <c r="J287" s="18">
        <v>0.14000000000000001</v>
      </c>
    </row>
    <row r="288" spans="1:10" ht="12.5" x14ac:dyDescent="0.25">
      <c r="A288" s="16">
        <v>287</v>
      </c>
      <c r="B288" s="17">
        <v>40556</v>
      </c>
      <c r="C288" s="18">
        <v>1</v>
      </c>
      <c r="D288" s="18">
        <v>0</v>
      </c>
      <c r="E288" s="18">
        <v>1</v>
      </c>
      <c r="F288" s="18">
        <v>9</v>
      </c>
      <c r="G288" s="18" t="b">
        <v>0</v>
      </c>
      <c r="H288" s="18">
        <v>4</v>
      </c>
      <c r="I288" s="18">
        <v>1</v>
      </c>
      <c r="J288" s="18">
        <v>0.14000000000000001</v>
      </c>
    </row>
    <row r="289" spans="1:10" ht="12.5" x14ac:dyDescent="0.25">
      <c r="A289" s="16">
        <v>288</v>
      </c>
      <c r="B289" s="17">
        <v>40556</v>
      </c>
      <c r="C289" s="18">
        <v>1</v>
      </c>
      <c r="D289" s="18">
        <v>0</v>
      </c>
      <c r="E289" s="18">
        <v>1</v>
      </c>
      <c r="F289" s="18">
        <v>10</v>
      </c>
      <c r="G289" s="18" t="b">
        <v>0</v>
      </c>
      <c r="H289" s="18">
        <v>4</v>
      </c>
      <c r="I289" s="18">
        <v>2</v>
      </c>
      <c r="J289" s="18">
        <v>0.16</v>
      </c>
    </row>
    <row r="290" spans="1:10" ht="12.5" x14ac:dyDescent="0.25">
      <c r="A290" s="16">
        <v>289</v>
      </c>
      <c r="B290" s="17">
        <v>40556</v>
      </c>
      <c r="C290" s="18">
        <v>1</v>
      </c>
      <c r="D290" s="18">
        <v>0</v>
      </c>
      <c r="E290" s="18">
        <v>1</v>
      </c>
      <c r="F290" s="18">
        <v>11</v>
      </c>
      <c r="G290" s="18" t="b">
        <v>0</v>
      </c>
      <c r="H290" s="18">
        <v>4</v>
      </c>
      <c r="I290" s="18">
        <v>2</v>
      </c>
      <c r="J290" s="18">
        <v>0.2</v>
      </c>
    </row>
    <row r="291" spans="1:10" ht="12.5" x14ac:dyDescent="0.25">
      <c r="A291" s="16">
        <v>290</v>
      </c>
      <c r="B291" s="17">
        <v>40556</v>
      </c>
      <c r="C291" s="18">
        <v>1</v>
      </c>
      <c r="D291" s="18">
        <v>0</v>
      </c>
      <c r="E291" s="18">
        <v>1</v>
      </c>
      <c r="F291" s="18">
        <v>12</v>
      </c>
      <c r="G291" s="18" t="b">
        <v>0</v>
      </c>
      <c r="H291" s="18">
        <v>4</v>
      </c>
      <c r="I291" s="18">
        <v>1</v>
      </c>
      <c r="J291" s="18">
        <v>0.2</v>
      </c>
    </row>
    <row r="292" spans="1:10" ht="12.5" x14ac:dyDescent="0.25">
      <c r="A292" s="16">
        <v>291</v>
      </c>
      <c r="B292" s="17">
        <v>40556</v>
      </c>
      <c r="C292" s="18">
        <v>1</v>
      </c>
      <c r="D292" s="18">
        <v>0</v>
      </c>
      <c r="E292" s="18">
        <v>1</v>
      </c>
      <c r="F292" s="18">
        <v>13</v>
      </c>
      <c r="G292" s="18" t="b">
        <v>0</v>
      </c>
      <c r="H292" s="18">
        <v>4</v>
      </c>
      <c r="I292" s="18">
        <v>1</v>
      </c>
      <c r="J292" s="18">
        <v>0.22</v>
      </c>
    </row>
    <row r="293" spans="1:10" ht="12.5" x14ac:dyDescent="0.25">
      <c r="A293" s="16">
        <v>292</v>
      </c>
      <c r="B293" s="17">
        <v>40556</v>
      </c>
      <c r="C293" s="18">
        <v>1</v>
      </c>
      <c r="D293" s="18">
        <v>0</v>
      </c>
      <c r="E293" s="18">
        <v>1</v>
      </c>
      <c r="F293" s="18">
        <v>14</v>
      </c>
      <c r="G293" s="18" t="b">
        <v>0</v>
      </c>
      <c r="H293" s="18">
        <v>4</v>
      </c>
      <c r="I293" s="18">
        <v>1</v>
      </c>
      <c r="J293" s="18">
        <v>0.22</v>
      </c>
    </row>
    <row r="294" spans="1:10" ht="12.5" x14ac:dyDescent="0.25">
      <c r="A294" s="16">
        <v>293</v>
      </c>
      <c r="B294" s="17">
        <v>40556</v>
      </c>
      <c r="C294" s="18">
        <v>1</v>
      </c>
      <c r="D294" s="18">
        <v>0</v>
      </c>
      <c r="E294" s="18">
        <v>1</v>
      </c>
      <c r="F294" s="18">
        <v>15</v>
      </c>
      <c r="G294" s="18" t="b">
        <v>0</v>
      </c>
      <c r="H294" s="18">
        <v>4</v>
      </c>
      <c r="I294" s="18">
        <v>1</v>
      </c>
      <c r="J294" s="18">
        <v>0.24</v>
      </c>
    </row>
    <row r="295" spans="1:10" ht="12.5" x14ac:dyDescent="0.25">
      <c r="A295" s="16">
        <v>294</v>
      </c>
      <c r="B295" s="17">
        <v>40556</v>
      </c>
      <c r="C295" s="18">
        <v>1</v>
      </c>
      <c r="D295" s="18">
        <v>0</v>
      </c>
      <c r="E295" s="18">
        <v>1</v>
      </c>
      <c r="F295" s="18">
        <v>16</v>
      </c>
      <c r="G295" s="18" t="b">
        <v>0</v>
      </c>
      <c r="H295" s="18">
        <v>4</v>
      </c>
      <c r="I295" s="18">
        <v>1</v>
      </c>
      <c r="J295" s="18">
        <v>0.24</v>
      </c>
    </row>
    <row r="296" spans="1:10" ht="12.5" x14ac:dyDescent="0.25">
      <c r="A296" s="16">
        <v>295</v>
      </c>
      <c r="B296" s="17">
        <v>40556</v>
      </c>
      <c r="C296" s="18">
        <v>1</v>
      </c>
      <c r="D296" s="18">
        <v>0</v>
      </c>
      <c r="E296" s="18">
        <v>1</v>
      </c>
      <c r="F296" s="18">
        <v>17</v>
      </c>
      <c r="G296" s="18" t="b">
        <v>0</v>
      </c>
      <c r="H296" s="18">
        <v>4</v>
      </c>
      <c r="I296" s="18">
        <v>1</v>
      </c>
      <c r="J296" s="18">
        <v>0.2</v>
      </c>
    </row>
    <row r="297" spans="1:10" ht="12.5" x14ac:dyDescent="0.25">
      <c r="A297" s="16">
        <v>296</v>
      </c>
      <c r="B297" s="17">
        <v>40556</v>
      </c>
      <c r="C297" s="18">
        <v>1</v>
      </c>
      <c r="D297" s="18">
        <v>0</v>
      </c>
      <c r="E297" s="18">
        <v>1</v>
      </c>
      <c r="F297" s="18">
        <v>18</v>
      </c>
      <c r="G297" s="18" t="b">
        <v>0</v>
      </c>
      <c r="H297" s="18">
        <v>4</v>
      </c>
      <c r="I297" s="18">
        <v>1</v>
      </c>
      <c r="J297" s="18">
        <v>0.2</v>
      </c>
    </row>
    <row r="298" spans="1:10" ht="12.5" x14ac:dyDescent="0.25">
      <c r="A298" s="16">
        <v>297</v>
      </c>
      <c r="B298" s="17">
        <v>40556</v>
      </c>
      <c r="C298" s="18">
        <v>1</v>
      </c>
      <c r="D298" s="18">
        <v>0</v>
      </c>
      <c r="E298" s="18">
        <v>1</v>
      </c>
      <c r="F298" s="18">
        <v>19</v>
      </c>
      <c r="G298" s="18" t="b">
        <v>0</v>
      </c>
      <c r="H298" s="18">
        <v>4</v>
      </c>
      <c r="I298" s="18">
        <v>1</v>
      </c>
      <c r="J298" s="18">
        <v>0.16</v>
      </c>
    </row>
    <row r="299" spans="1:10" ht="12.5" x14ac:dyDescent="0.25">
      <c r="A299" s="16">
        <v>298</v>
      </c>
      <c r="B299" s="17">
        <v>40556</v>
      </c>
      <c r="C299" s="18">
        <v>1</v>
      </c>
      <c r="D299" s="18">
        <v>0</v>
      </c>
      <c r="E299" s="18">
        <v>1</v>
      </c>
      <c r="F299" s="18">
        <v>20</v>
      </c>
      <c r="G299" s="18" t="b">
        <v>0</v>
      </c>
      <c r="H299" s="18">
        <v>4</v>
      </c>
      <c r="I299" s="18">
        <v>1</v>
      </c>
      <c r="J299" s="18">
        <v>0.16</v>
      </c>
    </row>
    <row r="300" spans="1:10" ht="12.5" x14ac:dyDescent="0.25">
      <c r="A300" s="16">
        <v>299</v>
      </c>
      <c r="B300" s="17">
        <v>40556</v>
      </c>
      <c r="C300" s="18">
        <v>1</v>
      </c>
      <c r="D300" s="18">
        <v>0</v>
      </c>
      <c r="E300" s="18">
        <v>1</v>
      </c>
      <c r="F300" s="18">
        <v>21</v>
      </c>
      <c r="G300" s="18" t="b">
        <v>0</v>
      </c>
      <c r="H300" s="18">
        <v>4</v>
      </c>
      <c r="I300" s="18">
        <v>1</v>
      </c>
      <c r="J300" s="18">
        <v>0.14000000000000001</v>
      </c>
    </row>
    <row r="301" spans="1:10" ht="12.5" x14ac:dyDescent="0.25">
      <c r="A301" s="16">
        <v>300</v>
      </c>
      <c r="B301" s="17">
        <v>40556</v>
      </c>
      <c r="C301" s="18">
        <v>1</v>
      </c>
      <c r="D301" s="18">
        <v>0</v>
      </c>
      <c r="E301" s="18">
        <v>1</v>
      </c>
      <c r="F301" s="18">
        <v>22</v>
      </c>
      <c r="G301" s="18" t="b">
        <v>0</v>
      </c>
      <c r="H301" s="18">
        <v>4</v>
      </c>
      <c r="I301" s="18">
        <v>1</v>
      </c>
      <c r="J301" s="18">
        <v>0.14000000000000001</v>
      </c>
    </row>
    <row r="302" spans="1:10" ht="12.5" x14ac:dyDescent="0.25">
      <c r="A302" s="16">
        <v>301</v>
      </c>
      <c r="B302" s="17">
        <v>40556</v>
      </c>
      <c r="C302" s="18">
        <v>1</v>
      </c>
      <c r="D302" s="18">
        <v>0</v>
      </c>
      <c r="E302" s="18">
        <v>1</v>
      </c>
      <c r="F302" s="18">
        <v>23</v>
      </c>
      <c r="G302" s="18" t="b">
        <v>0</v>
      </c>
      <c r="H302" s="18">
        <v>4</v>
      </c>
      <c r="I302" s="18">
        <v>1</v>
      </c>
      <c r="J302" s="18">
        <v>0.12</v>
      </c>
    </row>
    <row r="303" spans="1:10" ht="12.5" x14ac:dyDescent="0.25">
      <c r="A303" s="16">
        <v>302</v>
      </c>
      <c r="B303" s="17">
        <v>40557</v>
      </c>
      <c r="C303" s="18">
        <v>1</v>
      </c>
      <c r="D303" s="18">
        <v>0</v>
      </c>
      <c r="E303" s="18">
        <v>1</v>
      </c>
      <c r="F303" s="18">
        <v>0</v>
      </c>
      <c r="G303" s="18" t="b">
        <v>0</v>
      </c>
      <c r="H303" s="18">
        <v>5</v>
      </c>
      <c r="I303" s="18">
        <v>1</v>
      </c>
      <c r="J303" s="18">
        <v>0.12</v>
      </c>
    </row>
    <row r="304" spans="1:10" ht="12.5" x14ac:dyDescent="0.25">
      <c r="A304" s="16">
        <v>303</v>
      </c>
      <c r="B304" s="17">
        <v>40557</v>
      </c>
      <c r="C304" s="18">
        <v>1</v>
      </c>
      <c r="D304" s="18">
        <v>0</v>
      </c>
      <c r="E304" s="18">
        <v>1</v>
      </c>
      <c r="F304" s="18">
        <v>1</v>
      </c>
      <c r="G304" s="18" t="b">
        <v>0</v>
      </c>
      <c r="H304" s="18">
        <v>5</v>
      </c>
      <c r="I304" s="18">
        <v>1</v>
      </c>
      <c r="J304" s="18">
        <v>0.1</v>
      </c>
    </row>
    <row r="305" spans="1:10" ht="12.5" x14ac:dyDescent="0.25">
      <c r="A305" s="16">
        <v>304</v>
      </c>
      <c r="B305" s="17">
        <v>40557</v>
      </c>
      <c r="C305" s="18">
        <v>1</v>
      </c>
      <c r="D305" s="18">
        <v>0</v>
      </c>
      <c r="E305" s="18">
        <v>1</v>
      </c>
      <c r="F305" s="18">
        <v>2</v>
      </c>
      <c r="G305" s="18" t="b">
        <v>0</v>
      </c>
      <c r="H305" s="18">
        <v>5</v>
      </c>
      <c r="I305" s="18">
        <v>1</v>
      </c>
      <c r="J305" s="18">
        <v>0.1</v>
      </c>
    </row>
    <row r="306" spans="1:10" ht="12.5" x14ac:dyDescent="0.25">
      <c r="A306" s="16">
        <v>305</v>
      </c>
      <c r="B306" s="17">
        <v>40557</v>
      </c>
      <c r="C306" s="18">
        <v>1</v>
      </c>
      <c r="D306" s="18">
        <v>0</v>
      </c>
      <c r="E306" s="18">
        <v>1</v>
      </c>
      <c r="F306" s="18">
        <v>3</v>
      </c>
      <c r="G306" s="18" t="b">
        <v>0</v>
      </c>
      <c r="H306" s="18">
        <v>5</v>
      </c>
      <c r="I306" s="18">
        <v>1</v>
      </c>
      <c r="J306" s="18">
        <v>0.1</v>
      </c>
    </row>
    <row r="307" spans="1:10" ht="12.5" x14ac:dyDescent="0.25">
      <c r="A307" s="16">
        <v>306</v>
      </c>
      <c r="B307" s="17">
        <v>40557</v>
      </c>
      <c r="C307" s="18">
        <v>1</v>
      </c>
      <c r="D307" s="18">
        <v>0</v>
      </c>
      <c r="E307" s="18">
        <v>1</v>
      </c>
      <c r="F307" s="18">
        <v>5</v>
      </c>
      <c r="G307" s="18" t="b">
        <v>0</v>
      </c>
      <c r="H307" s="18">
        <v>5</v>
      </c>
      <c r="I307" s="18">
        <v>1</v>
      </c>
      <c r="J307" s="18">
        <v>0.1</v>
      </c>
    </row>
    <row r="308" spans="1:10" ht="12.5" x14ac:dyDescent="0.25">
      <c r="A308" s="16">
        <v>307</v>
      </c>
      <c r="B308" s="17">
        <v>40557</v>
      </c>
      <c r="C308" s="18">
        <v>1</v>
      </c>
      <c r="D308" s="18">
        <v>0</v>
      </c>
      <c r="E308" s="18">
        <v>1</v>
      </c>
      <c r="F308" s="18">
        <v>6</v>
      </c>
      <c r="G308" s="18" t="b">
        <v>0</v>
      </c>
      <c r="H308" s="18">
        <v>5</v>
      </c>
      <c r="I308" s="18">
        <v>1</v>
      </c>
      <c r="J308" s="18">
        <v>0.1</v>
      </c>
    </row>
    <row r="309" spans="1:10" ht="12.5" x14ac:dyDescent="0.25">
      <c r="A309" s="16">
        <v>308</v>
      </c>
      <c r="B309" s="17">
        <v>40557</v>
      </c>
      <c r="C309" s="18">
        <v>1</v>
      </c>
      <c r="D309" s="18">
        <v>0</v>
      </c>
      <c r="E309" s="18">
        <v>1</v>
      </c>
      <c r="F309" s="18">
        <v>7</v>
      </c>
      <c r="G309" s="18" t="b">
        <v>0</v>
      </c>
      <c r="H309" s="18">
        <v>5</v>
      </c>
      <c r="I309" s="18">
        <v>1</v>
      </c>
      <c r="J309" s="18">
        <v>0.1</v>
      </c>
    </row>
    <row r="310" spans="1:10" ht="12.5" x14ac:dyDescent="0.25">
      <c r="A310" s="16">
        <v>309</v>
      </c>
      <c r="B310" s="17">
        <v>40557</v>
      </c>
      <c r="C310" s="18">
        <v>1</v>
      </c>
      <c r="D310" s="18">
        <v>0</v>
      </c>
      <c r="E310" s="18">
        <v>1</v>
      </c>
      <c r="F310" s="18">
        <v>8</v>
      </c>
      <c r="G310" s="18" t="b">
        <v>0</v>
      </c>
      <c r="H310" s="18">
        <v>5</v>
      </c>
      <c r="I310" s="18">
        <v>1</v>
      </c>
      <c r="J310" s="18">
        <v>0.12</v>
      </c>
    </row>
    <row r="311" spans="1:10" ht="12.5" x14ac:dyDescent="0.25">
      <c r="A311" s="16">
        <v>310</v>
      </c>
      <c r="B311" s="17">
        <v>40557</v>
      </c>
      <c r="C311" s="18">
        <v>1</v>
      </c>
      <c r="D311" s="18">
        <v>0</v>
      </c>
      <c r="E311" s="18">
        <v>1</v>
      </c>
      <c r="F311" s="18">
        <v>9</v>
      </c>
      <c r="G311" s="18" t="b">
        <v>0</v>
      </c>
      <c r="H311" s="18">
        <v>5</v>
      </c>
      <c r="I311" s="18">
        <v>1</v>
      </c>
      <c r="J311" s="18">
        <v>0.14000000000000001</v>
      </c>
    </row>
    <row r="312" spans="1:10" ht="12.5" x14ac:dyDescent="0.25">
      <c r="A312" s="16">
        <v>311</v>
      </c>
      <c r="B312" s="17">
        <v>40557</v>
      </c>
      <c r="C312" s="18">
        <v>1</v>
      </c>
      <c r="D312" s="18">
        <v>0</v>
      </c>
      <c r="E312" s="18">
        <v>1</v>
      </c>
      <c r="F312" s="18">
        <v>10</v>
      </c>
      <c r="G312" s="18" t="b">
        <v>0</v>
      </c>
      <c r="H312" s="18">
        <v>5</v>
      </c>
      <c r="I312" s="18">
        <v>1</v>
      </c>
      <c r="J312" s="18">
        <v>0.18</v>
      </c>
    </row>
    <row r="313" spans="1:10" ht="12.5" x14ac:dyDescent="0.25">
      <c r="A313" s="16">
        <v>312</v>
      </c>
      <c r="B313" s="17">
        <v>40557</v>
      </c>
      <c r="C313" s="18">
        <v>1</v>
      </c>
      <c r="D313" s="18">
        <v>0</v>
      </c>
      <c r="E313" s="18">
        <v>1</v>
      </c>
      <c r="F313" s="18">
        <v>11</v>
      </c>
      <c r="G313" s="18" t="b">
        <v>0</v>
      </c>
      <c r="H313" s="18">
        <v>5</v>
      </c>
      <c r="I313" s="18">
        <v>1</v>
      </c>
      <c r="J313" s="18">
        <v>0.18</v>
      </c>
    </row>
    <row r="314" spans="1:10" ht="12.5" x14ac:dyDescent="0.25">
      <c r="A314" s="16">
        <v>313</v>
      </c>
      <c r="B314" s="17">
        <v>40557</v>
      </c>
      <c r="C314" s="18">
        <v>1</v>
      </c>
      <c r="D314" s="18">
        <v>0</v>
      </c>
      <c r="E314" s="18">
        <v>1</v>
      </c>
      <c r="F314" s="18">
        <v>12</v>
      </c>
      <c r="G314" s="18" t="b">
        <v>0</v>
      </c>
      <c r="H314" s="18">
        <v>5</v>
      </c>
      <c r="I314" s="18">
        <v>1</v>
      </c>
      <c r="J314" s="18">
        <v>0.2</v>
      </c>
    </row>
    <row r="315" spans="1:10" ht="12.5" x14ac:dyDescent="0.25">
      <c r="A315" s="16">
        <v>314</v>
      </c>
      <c r="B315" s="17">
        <v>40557</v>
      </c>
      <c r="C315" s="18">
        <v>1</v>
      </c>
      <c r="D315" s="18">
        <v>0</v>
      </c>
      <c r="E315" s="18">
        <v>1</v>
      </c>
      <c r="F315" s="18">
        <v>13</v>
      </c>
      <c r="G315" s="18" t="b">
        <v>0</v>
      </c>
      <c r="H315" s="18">
        <v>5</v>
      </c>
      <c r="I315" s="18">
        <v>1</v>
      </c>
      <c r="J315" s="18">
        <v>0.22</v>
      </c>
    </row>
    <row r="316" spans="1:10" ht="12.5" x14ac:dyDescent="0.25">
      <c r="A316" s="16">
        <v>315</v>
      </c>
      <c r="B316" s="17">
        <v>40557</v>
      </c>
      <c r="C316" s="18">
        <v>1</v>
      </c>
      <c r="D316" s="18">
        <v>0</v>
      </c>
      <c r="E316" s="18">
        <v>1</v>
      </c>
      <c r="F316" s="18">
        <v>14</v>
      </c>
      <c r="G316" s="18" t="b">
        <v>0</v>
      </c>
      <c r="H316" s="18">
        <v>5</v>
      </c>
      <c r="I316" s="18">
        <v>1</v>
      </c>
      <c r="J316" s="18">
        <v>0.22</v>
      </c>
    </row>
    <row r="317" spans="1:10" ht="12.5" x14ac:dyDescent="0.25">
      <c r="A317" s="16">
        <v>316</v>
      </c>
      <c r="B317" s="17">
        <v>40557</v>
      </c>
      <c r="C317" s="18">
        <v>1</v>
      </c>
      <c r="D317" s="18">
        <v>0</v>
      </c>
      <c r="E317" s="18">
        <v>1</v>
      </c>
      <c r="F317" s="18">
        <v>15</v>
      </c>
      <c r="G317" s="18" t="b">
        <v>0</v>
      </c>
      <c r="H317" s="18">
        <v>5</v>
      </c>
      <c r="I317" s="18">
        <v>1</v>
      </c>
      <c r="J317" s="18">
        <v>0.24</v>
      </c>
    </row>
    <row r="318" spans="1:10" ht="12.5" x14ac:dyDescent="0.25">
      <c r="A318" s="16">
        <v>317</v>
      </c>
      <c r="B318" s="17">
        <v>40557</v>
      </c>
      <c r="C318" s="18">
        <v>1</v>
      </c>
      <c r="D318" s="18">
        <v>0</v>
      </c>
      <c r="E318" s="18">
        <v>1</v>
      </c>
      <c r="F318" s="18">
        <v>16</v>
      </c>
      <c r="G318" s="18" t="b">
        <v>0</v>
      </c>
      <c r="H318" s="18">
        <v>5</v>
      </c>
      <c r="I318" s="18">
        <v>1</v>
      </c>
      <c r="J318" s="18">
        <v>0.22</v>
      </c>
    </row>
    <row r="319" spans="1:10" ht="12.5" x14ac:dyDescent="0.25">
      <c r="A319" s="16">
        <v>318</v>
      </c>
      <c r="B319" s="17">
        <v>40557</v>
      </c>
      <c r="C319" s="18">
        <v>1</v>
      </c>
      <c r="D319" s="18">
        <v>0</v>
      </c>
      <c r="E319" s="18">
        <v>1</v>
      </c>
      <c r="F319" s="18">
        <v>17</v>
      </c>
      <c r="G319" s="18" t="b">
        <v>0</v>
      </c>
      <c r="H319" s="18">
        <v>5</v>
      </c>
      <c r="I319" s="18">
        <v>1</v>
      </c>
      <c r="J319" s="18">
        <v>0.22</v>
      </c>
    </row>
    <row r="320" spans="1:10" ht="12.5" x14ac:dyDescent="0.25">
      <c r="A320" s="16">
        <v>319</v>
      </c>
      <c r="B320" s="17">
        <v>40557</v>
      </c>
      <c r="C320" s="18">
        <v>1</v>
      </c>
      <c r="D320" s="18">
        <v>0</v>
      </c>
      <c r="E320" s="18">
        <v>1</v>
      </c>
      <c r="F320" s="18">
        <v>18</v>
      </c>
      <c r="G320" s="18" t="b">
        <v>0</v>
      </c>
      <c r="H320" s="18">
        <v>5</v>
      </c>
      <c r="I320" s="18">
        <v>1</v>
      </c>
      <c r="J320" s="18">
        <v>0.2</v>
      </c>
    </row>
    <row r="321" spans="1:10" ht="12.5" x14ac:dyDescent="0.25">
      <c r="A321" s="16">
        <v>320</v>
      </c>
      <c r="B321" s="17">
        <v>40557</v>
      </c>
      <c r="C321" s="18">
        <v>1</v>
      </c>
      <c r="D321" s="18">
        <v>0</v>
      </c>
      <c r="E321" s="18">
        <v>1</v>
      </c>
      <c r="F321" s="18">
        <v>19</v>
      </c>
      <c r="G321" s="18" t="b">
        <v>0</v>
      </c>
      <c r="H321" s="18">
        <v>5</v>
      </c>
      <c r="I321" s="18">
        <v>1</v>
      </c>
      <c r="J321" s="18">
        <v>0.16</v>
      </c>
    </row>
    <row r="322" spans="1:10" ht="12.5" x14ac:dyDescent="0.25">
      <c r="A322" s="16">
        <v>321</v>
      </c>
      <c r="B322" s="17">
        <v>40557</v>
      </c>
      <c r="C322" s="18">
        <v>1</v>
      </c>
      <c r="D322" s="18">
        <v>0</v>
      </c>
      <c r="E322" s="18">
        <v>1</v>
      </c>
      <c r="F322" s="18">
        <v>20</v>
      </c>
      <c r="G322" s="18" t="b">
        <v>0</v>
      </c>
      <c r="H322" s="18">
        <v>5</v>
      </c>
      <c r="I322" s="18">
        <v>1</v>
      </c>
      <c r="J322" s="18">
        <v>0.18</v>
      </c>
    </row>
    <row r="323" spans="1:10" ht="12.5" x14ac:dyDescent="0.25">
      <c r="A323" s="16">
        <v>322</v>
      </c>
      <c r="B323" s="17">
        <v>40557</v>
      </c>
      <c r="C323" s="18">
        <v>1</v>
      </c>
      <c r="D323" s="18">
        <v>0</v>
      </c>
      <c r="E323" s="18">
        <v>1</v>
      </c>
      <c r="F323" s="18">
        <v>21</v>
      </c>
      <c r="G323" s="18" t="b">
        <v>0</v>
      </c>
      <c r="H323" s="18">
        <v>5</v>
      </c>
      <c r="I323" s="18">
        <v>1</v>
      </c>
      <c r="J323" s="18">
        <v>0.16</v>
      </c>
    </row>
    <row r="324" spans="1:10" ht="12.5" x14ac:dyDescent="0.25">
      <c r="A324" s="16">
        <v>323</v>
      </c>
      <c r="B324" s="17">
        <v>40557</v>
      </c>
      <c r="C324" s="18">
        <v>1</v>
      </c>
      <c r="D324" s="18">
        <v>0</v>
      </c>
      <c r="E324" s="18">
        <v>1</v>
      </c>
      <c r="F324" s="18">
        <v>22</v>
      </c>
      <c r="G324" s="18" t="b">
        <v>0</v>
      </c>
      <c r="H324" s="18">
        <v>5</v>
      </c>
      <c r="I324" s="18">
        <v>2</v>
      </c>
      <c r="J324" s="18">
        <v>0.16</v>
      </c>
    </row>
    <row r="325" spans="1:10" ht="12.5" x14ac:dyDescent="0.25">
      <c r="A325" s="16">
        <v>324</v>
      </c>
      <c r="B325" s="17">
        <v>40557</v>
      </c>
      <c r="C325" s="18">
        <v>1</v>
      </c>
      <c r="D325" s="18">
        <v>0</v>
      </c>
      <c r="E325" s="18">
        <v>1</v>
      </c>
      <c r="F325" s="18">
        <v>23</v>
      </c>
      <c r="G325" s="18" t="b">
        <v>0</v>
      </c>
      <c r="H325" s="18">
        <v>5</v>
      </c>
      <c r="I325" s="18">
        <v>2</v>
      </c>
      <c r="J325" s="18">
        <v>0.18</v>
      </c>
    </row>
    <row r="326" spans="1:10" ht="12.5" x14ac:dyDescent="0.25">
      <c r="A326" s="16">
        <v>325</v>
      </c>
      <c r="B326" s="17">
        <v>40558</v>
      </c>
      <c r="C326" s="18">
        <v>1</v>
      </c>
      <c r="D326" s="18">
        <v>0</v>
      </c>
      <c r="E326" s="18">
        <v>1</v>
      </c>
      <c r="F326" s="18">
        <v>0</v>
      </c>
      <c r="G326" s="18" t="b">
        <v>0</v>
      </c>
      <c r="H326" s="18">
        <v>6</v>
      </c>
      <c r="I326" s="18">
        <v>1</v>
      </c>
      <c r="J326" s="18">
        <v>0.18</v>
      </c>
    </row>
    <row r="327" spans="1:10" ht="12.5" x14ac:dyDescent="0.25">
      <c r="A327" s="16">
        <v>326</v>
      </c>
      <c r="B327" s="17">
        <v>40558</v>
      </c>
      <c r="C327" s="18">
        <v>1</v>
      </c>
      <c r="D327" s="18">
        <v>0</v>
      </c>
      <c r="E327" s="18">
        <v>1</v>
      </c>
      <c r="F327" s="18">
        <v>1</v>
      </c>
      <c r="G327" s="18" t="b">
        <v>0</v>
      </c>
      <c r="H327" s="18">
        <v>6</v>
      </c>
      <c r="I327" s="18">
        <v>2</v>
      </c>
      <c r="J327" s="18">
        <v>0.16</v>
      </c>
    </row>
    <row r="328" spans="1:10" ht="12.5" x14ac:dyDescent="0.25">
      <c r="A328" s="16">
        <v>327</v>
      </c>
      <c r="B328" s="17">
        <v>40558</v>
      </c>
      <c r="C328" s="18">
        <v>1</v>
      </c>
      <c r="D328" s="18">
        <v>0</v>
      </c>
      <c r="E328" s="18">
        <v>1</v>
      </c>
      <c r="F328" s="18">
        <v>2</v>
      </c>
      <c r="G328" s="18" t="b">
        <v>0</v>
      </c>
      <c r="H328" s="18">
        <v>6</v>
      </c>
      <c r="I328" s="18">
        <v>2</v>
      </c>
      <c r="J328" s="18">
        <v>0.16</v>
      </c>
    </row>
    <row r="329" spans="1:10" ht="12.5" x14ac:dyDescent="0.25">
      <c r="A329" s="16">
        <v>328</v>
      </c>
      <c r="B329" s="17">
        <v>40558</v>
      </c>
      <c r="C329" s="18">
        <v>1</v>
      </c>
      <c r="D329" s="18">
        <v>0</v>
      </c>
      <c r="E329" s="18">
        <v>1</v>
      </c>
      <c r="F329" s="18">
        <v>3</v>
      </c>
      <c r="G329" s="18" t="b">
        <v>0</v>
      </c>
      <c r="H329" s="18">
        <v>6</v>
      </c>
      <c r="I329" s="18">
        <v>2</v>
      </c>
      <c r="J329" s="18">
        <v>0.16</v>
      </c>
    </row>
    <row r="330" spans="1:10" ht="12.5" x14ac:dyDescent="0.25">
      <c r="A330" s="16">
        <v>329</v>
      </c>
      <c r="B330" s="17">
        <v>40558</v>
      </c>
      <c r="C330" s="18">
        <v>1</v>
      </c>
      <c r="D330" s="18">
        <v>0</v>
      </c>
      <c r="E330" s="18">
        <v>1</v>
      </c>
      <c r="F330" s="18">
        <v>4</v>
      </c>
      <c r="G330" s="18" t="b">
        <v>0</v>
      </c>
      <c r="H330" s="18">
        <v>6</v>
      </c>
      <c r="I330" s="18">
        <v>2</v>
      </c>
      <c r="J330" s="18">
        <v>0.16</v>
      </c>
    </row>
    <row r="331" spans="1:10" ht="12.5" x14ac:dyDescent="0.25">
      <c r="A331" s="16">
        <v>330</v>
      </c>
      <c r="B331" s="17">
        <v>40558</v>
      </c>
      <c r="C331" s="18">
        <v>1</v>
      </c>
      <c r="D331" s="18">
        <v>0</v>
      </c>
      <c r="E331" s="18">
        <v>1</v>
      </c>
      <c r="F331" s="18">
        <v>5</v>
      </c>
      <c r="G331" s="18" t="b">
        <v>0</v>
      </c>
      <c r="H331" s="18">
        <v>6</v>
      </c>
      <c r="I331" s="18">
        <v>1</v>
      </c>
      <c r="J331" s="18">
        <v>0.16</v>
      </c>
    </row>
    <row r="332" spans="1:10" ht="12.5" x14ac:dyDescent="0.25">
      <c r="A332" s="16">
        <v>331</v>
      </c>
      <c r="B332" s="17">
        <v>40558</v>
      </c>
      <c r="C332" s="18">
        <v>1</v>
      </c>
      <c r="D332" s="18">
        <v>0</v>
      </c>
      <c r="E332" s="18">
        <v>1</v>
      </c>
      <c r="F332" s="18">
        <v>6</v>
      </c>
      <c r="G332" s="18" t="b">
        <v>0</v>
      </c>
      <c r="H332" s="18">
        <v>6</v>
      </c>
      <c r="I332" s="18">
        <v>1</v>
      </c>
      <c r="J332" s="18">
        <v>0.14000000000000001</v>
      </c>
    </row>
    <row r="333" spans="1:10" ht="12.5" x14ac:dyDescent="0.25">
      <c r="A333" s="16">
        <v>332</v>
      </c>
      <c r="B333" s="17">
        <v>40558</v>
      </c>
      <c r="C333" s="18">
        <v>1</v>
      </c>
      <c r="D333" s="18">
        <v>0</v>
      </c>
      <c r="E333" s="18">
        <v>1</v>
      </c>
      <c r="F333" s="18">
        <v>7</v>
      </c>
      <c r="G333" s="18" t="b">
        <v>0</v>
      </c>
      <c r="H333" s="18">
        <v>6</v>
      </c>
      <c r="I333" s="18">
        <v>1</v>
      </c>
      <c r="J333" s="18">
        <v>0.14000000000000001</v>
      </c>
    </row>
    <row r="334" spans="1:10" ht="12.5" x14ac:dyDescent="0.25">
      <c r="A334" s="16">
        <v>333</v>
      </c>
      <c r="B334" s="17">
        <v>40558</v>
      </c>
      <c r="C334" s="18">
        <v>1</v>
      </c>
      <c r="D334" s="18">
        <v>0</v>
      </c>
      <c r="E334" s="18">
        <v>1</v>
      </c>
      <c r="F334" s="18">
        <v>8</v>
      </c>
      <c r="G334" s="18" t="b">
        <v>0</v>
      </c>
      <c r="H334" s="18">
        <v>6</v>
      </c>
      <c r="I334" s="18">
        <v>1</v>
      </c>
      <c r="J334" s="18">
        <v>0.14000000000000001</v>
      </c>
    </row>
    <row r="335" spans="1:10" ht="12.5" x14ac:dyDescent="0.25">
      <c r="A335" s="16">
        <v>334</v>
      </c>
      <c r="B335" s="17">
        <v>40558</v>
      </c>
      <c r="C335" s="18">
        <v>1</v>
      </c>
      <c r="D335" s="18">
        <v>0</v>
      </c>
      <c r="E335" s="18">
        <v>1</v>
      </c>
      <c r="F335" s="18">
        <v>9</v>
      </c>
      <c r="G335" s="18" t="b">
        <v>0</v>
      </c>
      <c r="H335" s="18">
        <v>6</v>
      </c>
      <c r="I335" s="18">
        <v>1</v>
      </c>
      <c r="J335" s="18">
        <v>0.16</v>
      </c>
    </row>
    <row r="336" spans="1:10" ht="12.5" x14ac:dyDescent="0.25">
      <c r="A336" s="16">
        <v>335</v>
      </c>
      <c r="B336" s="17">
        <v>40558</v>
      </c>
      <c r="C336" s="18">
        <v>1</v>
      </c>
      <c r="D336" s="18">
        <v>0</v>
      </c>
      <c r="E336" s="18">
        <v>1</v>
      </c>
      <c r="F336" s="18">
        <v>10</v>
      </c>
      <c r="G336" s="18" t="b">
        <v>0</v>
      </c>
      <c r="H336" s="18">
        <v>6</v>
      </c>
      <c r="I336" s="18">
        <v>1</v>
      </c>
      <c r="J336" s="18">
        <v>0.18</v>
      </c>
    </row>
    <row r="337" spans="1:10" ht="12.5" x14ac:dyDescent="0.25">
      <c r="A337" s="16">
        <v>336</v>
      </c>
      <c r="B337" s="17">
        <v>40558</v>
      </c>
      <c r="C337" s="18">
        <v>1</v>
      </c>
      <c r="D337" s="18">
        <v>0</v>
      </c>
      <c r="E337" s="18">
        <v>1</v>
      </c>
      <c r="F337" s="18">
        <v>11</v>
      </c>
      <c r="G337" s="18" t="b">
        <v>0</v>
      </c>
      <c r="H337" s="18">
        <v>6</v>
      </c>
      <c r="I337" s="18">
        <v>1</v>
      </c>
      <c r="J337" s="18">
        <v>0.2</v>
      </c>
    </row>
    <row r="338" spans="1:10" ht="12.5" x14ac:dyDescent="0.25">
      <c r="A338" s="16">
        <v>337</v>
      </c>
      <c r="B338" s="17">
        <v>40558</v>
      </c>
      <c r="C338" s="18">
        <v>1</v>
      </c>
      <c r="D338" s="18">
        <v>0</v>
      </c>
      <c r="E338" s="18">
        <v>1</v>
      </c>
      <c r="F338" s="18">
        <v>12</v>
      </c>
      <c r="G338" s="18" t="b">
        <v>0</v>
      </c>
      <c r="H338" s="18">
        <v>6</v>
      </c>
      <c r="I338" s="18">
        <v>1</v>
      </c>
      <c r="J338" s="18">
        <v>0.24</v>
      </c>
    </row>
    <row r="339" spans="1:10" ht="12.5" x14ac:dyDescent="0.25">
      <c r="A339" s="16">
        <v>338</v>
      </c>
      <c r="B339" s="17">
        <v>40558</v>
      </c>
      <c r="C339" s="18">
        <v>1</v>
      </c>
      <c r="D339" s="18">
        <v>0</v>
      </c>
      <c r="E339" s="18">
        <v>1</v>
      </c>
      <c r="F339" s="18">
        <v>13</v>
      </c>
      <c r="G339" s="18" t="b">
        <v>0</v>
      </c>
      <c r="H339" s="18">
        <v>6</v>
      </c>
      <c r="I339" s="18">
        <v>1</v>
      </c>
      <c r="J339" s="18">
        <v>0.28000000000000003</v>
      </c>
    </row>
    <row r="340" spans="1:10" ht="12.5" x14ac:dyDescent="0.25">
      <c r="A340" s="16">
        <v>339</v>
      </c>
      <c r="B340" s="17">
        <v>40558</v>
      </c>
      <c r="C340" s="18">
        <v>1</v>
      </c>
      <c r="D340" s="18">
        <v>0</v>
      </c>
      <c r="E340" s="18">
        <v>1</v>
      </c>
      <c r="F340" s="18">
        <v>14</v>
      </c>
      <c r="G340" s="18" t="b">
        <v>0</v>
      </c>
      <c r="H340" s="18">
        <v>6</v>
      </c>
      <c r="I340" s="18">
        <v>1</v>
      </c>
      <c r="J340" s="18">
        <v>0.3</v>
      </c>
    </row>
    <row r="341" spans="1:10" ht="12.5" x14ac:dyDescent="0.25">
      <c r="A341" s="16">
        <v>340</v>
      </c>
      <c r="B341" s="17">
        <v>40558</v>
      </c>
      <c r="C341" s="18">
        <v>1</v>
      </c>
      <c r="D341" s="18">
        <v>0</v>
      </c>
      <c r="E341" s="18">
        <v>1</v>
      </c>
      <c r="F341" s="18">
        <v>15</v>
      </c>
      <c r="G341" s="18" t="b">
        <v>0</v>
      </c>
      <c r="H341" s="18">
        <v>6</v>
      </c>
      <c r="I341" s="18">
        <v>2</v>
      </c>
      <c r="J341" s="18">
        <v>0.32</v>
      </c>
    </row>
    <row r="342" spans="1:10" ht="12.5" x14ac:dyDescent="0.25">
      <c r="A342" s="16">
        <v>341</v>
      </c>
      <c r="B342" s="17">
        <v>40558</v>
      </c>
      <c r="C342" s="18">
        <v>1</v>
      </c>
      <c r="D342" s="18">
        <v>0</v>
      </c>
      <c r="E342" s="18">
        <v>1</v>
      </c>
      <c r="F342" s="18">
        <v>16</v>
      </c>
      <c r="G342" s="18" t="b">
        <v>0</v>
      </c>
      <c r="H342" s="18">
        <v>6</v>
      </c>
      <c r="I342" s="18">
        <v>2</v>
      </c>
      <c r="J342" s="18">
        <v>0.34</v>
      </c>
    </row>
    <row r="343" spans="1:10" ht="12.5" x14ac:dyDescent="0.25">
      <c r="A343" s="16">
        <v>342</v>
      </c>
      <c r="B343" s="17">
        <v>40558</v>
      </c>
      <c r="C343" s="18">
        <v>1</v>
      </c>
      <c r="D343" s="18">
        <v>0</v>
      </c>
      <c r="E343" s="18">
        <v>1</v>
      </c>
      <c r="F343" s="18">
        <v>17</v>
      </c>
      <c r="G343" s="18" t="b">
        <v>0</v>
      </c>
      <c r="H343" s="18">
        <v>6</v>
      </c>
      <c r="I343" s="18">
        <v>2</v>
      </c>
      <c r="J343" s="18">
        <v>0.32</v>
      </c>
    </row>
    <row r="344" spans="1:10" ht="12.5" x14ac:dyDescent="0.25">
      <c r="A344" s="16">
        <v>343</v>
      </c>
      <c r="B344" s="17">
        <v>40558</v>
      </c>
      <c r="C344" s="18">
        <v>1</v>
      </c>
      <c r="D344" s="18">
        <v>0</v>
      </c>
      <c r="E344" s="18">
        <v>1</v>
      </c>
      <c r="F344" s="18">
        <v>18</v>
      </c>
      <c r="G344" s="18" t="b">
        <v>0</v>
      </c>
      <c r="H344" s="18">
        <v>6</v>
      </c>
      <c r="I344" s="18">
        <v>2</v>
      </c>
      <c r="J344" s="18">
        <v>0.3</v>
      </c>
    </row>
    <row r="345" spans="1:10" ht="12.5" x14ac:dyDescent="0.25">
      <c r="A345" s="16">
        <v>344</v>
      </c>
      <c r="B345" s="17">
        <v>40558</v>
      </c>
      <c r="C345" s="18">
        <v>1</v>
      </c>
      <c r="D345" s="18">
        <v>0</v>
      </c>
      <c r="E345" s="18">
        <v>1</v>
      </c>
      <c r="F345" s="18">
        <v>19</v>
      </c>
      <c r="G345" s="18" t="b">
        <v>0</v>
      </c>
      <c r="H345" s="18">
        <v>6</v>
      </c>
      <c r="I345" s="18">
        <v>2</v>
      </c>
      <c r="J345" s="18">
        <v>0.32</v>
      </c>
    </row>
    <row r="346" spans="1:10" ht="12.5" x14ac:dyDescent="0.25">
      <c r="A346" s="16">
        <v>345</v>
      </c>
      <c r="B346" s="17">
        <v>40558</v>
      </c>
      <c r="C346" s="18">
        <v>1</v>
      </c>
      <c r="D346" s="18">
        <v>0</v>
      </c>
      <c r="E346" s="18">
        <v>1</v>
      </c>
      <c r="F346" s="18">
        <v>20</v>
      </c>
      <c r="G346" s="18" t="b">
        <v>0</v>
      </c>
      <c r="H346" s="18">
        <v>6</v>
      </c>
      <c r="I346" s="18">
        <v>2</v>
      </c>
      <c r="J346" s="18">
        <v>0.32</v>
      </c>
    </row>
    <row r="347" spans="1:10" ht="12.5" x14ac:dyDescent="0.25">
      <c r="A347" s="16">
        <v>346</v>
      </c>
      <c r="B347" s="17">
        <v>40558</v>
      </c>
      <c r="C347" s="18">
        <v>1</v>
      </c>
      <c r="D347" s="18">
        <v>0</v>
      </c>
      <c r="E347" s="18">
        <v>1</v>
      </c>
      <c r="F347" s="18">
        <v>21</v>
      </c>
      <c r="G347" s="18" t="b">
        <v>0</v>
      </c>
      <c r="H347" s="18">
        <v>6</v>
      </c>
      <c r="I347" s="18">
        <v>2</v>
      </c>
      <c r="J347" s="18">
        <v>0.32</v>
      </c>
    </row>
    <row r="348" spans="1:10" ht="12.5" x14ac:dyDescent="0.25">
      <c r="A348" s="16">
        <v>347</v>
      </c>
      <c r="B348" s="17">
        <v>40558</v>
      </c>
      <c r="C348" s="18">
        <v>1</v>
      </c>
      <c r="D348" s="18">
        <v>0</v>
      </c>
      <c r="E348" s="18">
        <v>1</v>
      </c>
      <c r="F348" s="18">
        <v>22</v>
      </c>
      <c r="G348" s="18" t="b">
        <v>0</v>
      </c>
      <c r="H348" s="18">
        <v>6</v>
      </c>
      <c r="I348" s="18">
        <v>2</v>
      </c>
      <c r="J348" s="18">
        <v>0.3</v>
      </c>
    </row>
    <row r="349" spans="1:10" ht="12.5" x14ac:dyDescent="0.25">
      <c r="A349" s="16">
        <v>348</v>
      </c>
      <c r="B349" s="17">
        <v>40558</v>
      </c>
      <c r="C349" s="18">
        <v>1</v>
      </c>
      <c r="D349" s="18">
        <v>0</v>
      </c>
      <c r="E349" s="18">
        <v>1</v>
      </c>
      <c r="F349" s="18">
        <v>23</v>
      </c>
      <c r="G349" s="18" t="b">
        <v>0</v>
      </c>
      <c r="H349" s="18">
        <v>6</v>
      </c>
      <c r="I349" s="18">
        <v>1</v>
      </c>
      <c r="J349" s="18">
        <v>0.3</v>
      </c>
    </row>
    <row r="350" spans="1:10" ht="12.5" x14ac:dyDescent="0.25">
      <c r="A350" s="16">
        <v>349</v>
      </c>
      <c r="B350" s="17">
        <v>40559</v>
      </c>
      <c r="C350" s="18">
        <v>1</v>
      </c>
      <c r="D350" s="18">
        <v>0</v>
      </c>
      <c r="E350" s="18">
        <v>1</v>
      </c>
      <c r="F350" s="18">
        <v>0</v>
      </c>
      <c r="G350" s="18" t="b">
        <v>0</v>
      </c>
      <c r="H350" s="18">
        <v>0</v>
      </c>
      <c r="I350" s="18">
        <v>1</v>
      </c>
      <c r="J350" s="18">
        <v>0.26</v>
      </c>
    </row>
    <row r="351" spans="1:10" ht="12.5" x14ac:dyDescent="0.25">
      <c r="A351" s="16">
        <v>350</v>
      </c>
      <c r="B351" s="17">
        <v>40559</v>
      </c>
      <c r="C351" s="18">
        <v>1</v>
      </c>
      <c r="D351" s="18">
        <v>0</v>
      </c>
      <c r="E351" s="18">
        <v>1</v>
      </c>
      <c r="F351" s="18">
        <v>1</v>
      </c>
      <c r="G351" s="18" t="b">
        <v>0</v>
      </c>
      <c r="H351" s="18">
        <v>0</v>
      </c>
      <c r="I351" s="18">
        <v>1</v>
      </c>
      <c r="J351" s="18">
        <v>0.26</v>
      </c>
    </row>
    <row r="352" spans="1:10" ht="12.5" x14ac:dyDescent="0.25">
      <c r="A352" s="16">
        <v>351</v>
      </c>
      <c r="B352" s="17">
        <v>40559</v>
      </c>
      <c r="C352" s="18">
        <v>1</v>
      </c>
      <c r="D352" s="18">
        <v>0</v>
      </c>
      <c r="E352" s="18">
        <v>1</v>
      </c>
      <c r="F352" s="18">
        <v>2</v>
      </c>
      <c r="G352" s="18" t="b">
        <v>0</v>
      </c>
      <c r="H352" s="18">
        <v>0</v>
      </c>
      <c r="I352" s="18">
        <v>1</v>
      </c>
      <c r="J352" s="18">
        <v>0.26</v>
      </c>
    </row>
    <row r="353" spans="1:10" ht="12.5" x14ac:dyDescent="0.25">
      <c r="A353" s="16">
        <v>352</v>
      </c>
      <c r="B353" s="17">
        <v>40559</v>
      </c>
      <c r="C353" s="18">
        <v>1</v>
      </c>
      <c r="D353" s="18">
        <v>0</v>
      </c>
      <c r="E353" s="18">
        <v>1</v>
      </c>
      <c r="F353" s="18">
        <v>3</v>
      </c>
      <c r="G353" s="18" t="b">
        <v>0</v>
      </c>
      <c r="H353" s="18">
        <v>0</v>
      </c>
      <c r="I353" s="18">
        <v>1</v>
      </c>
      <c r="J353" s="18">
        <v>0.22</v>
      </c>
    </row>
    <row r="354" spans="1:10" ht="12.5" x14ac:dyDescent="0.25">
      <c r="A354" s="16">
        <v>353</v>
      </c>
      <c r="B354" s="17">
        <v>40559</v>
      </c>
      <c r="C354" s="18">
        <v>1</v>
      </c>
      <c r="D354" s="18">
        <v>0</v>
      </c>
      <c r="E354" s="18">
        <v>1</v>
      </c>
      <c r="F354" s="18">
        <v>4</v>
      </c>
      <c r="G354" s="18" t="b">
        <v>0</v>
      </c>
      <c r="H354" s="18">
        <v>0</v>
      </c>
      <c r="I354" s="18">
        <v>1</v>
      </c>
      <c r="J354" s="18">
        <v>0.26</v>
      </c>
    </row>
    <row r="355" spans="1:10" ht="12.5" x14ac:dyDescent="0.25">
      <c r="A355" s="16">
        <v>354</v>
      </c>
      <c r="B355" s="17">
        <v>40559</v>
      </c>
      <c r="C355" s="18">
        <v>1</v>
      </c>
      <c r="D355" s="18">
        <v>0</v>
      </c>
      <c r="E355" s="18">
        <v>1</v>
      </c>
      <c r="F355" s="18">
        <v>5</v>
      </c>
      <c r="G355" s="18" t="b">
        <v>0</v>
      </c>
      <c r="H355" s="18">
        <v>0</v>
      </c>
      <c r="I355" s="18">
        <v>2</v>
      </c>
      <c r="J355" s="18">
        <v>0.26</v>
      </c>
    </row>
    <row r="356" spans="1:10" ht="12.5" x14ac:dyDescent="0.25">
      <c r="A356" s="16">
        <v>355</v>
      </c>
      <c r="B356" s="17">
        <v>40559</v>
      </c>
      <c r="C356" s="18">
        <v>1</v>
      </c>
      <c r="D356" s="18">
        <v>0</v>
      </c>
      <c r="E356" s="18">
        <v>1</v>
      </c>
      <c r="F356" s="18">
        <v>6</v>
      </c>
      <c r="G356" s="18" t="b">
        <v>0</v>
      </c>
      <c r="H356" s="18">
        <v>0</v>
      </c>
      <c r="I356" s="18">
        <v>2</v>
      </c>
      <c r="J356" s="18">
        <v>0.26</v>
      </c>
    </row>
    <row r="357" spans="1:10" ht="12.5" x14ac:dyDescent="0.25">
      <c r="A357" s="16">
        <v>356</v>
      </c>
      <c r="B357" s="17">
        <v>40559</v>
      </c>
      <c r="C357" s="18">
        <v>1</v>
      </c>
      <c r="D357" s="18">
        <v>0</v>
      </c>
      <c r="E357" s="18">
        <v>1</v>
      </c>
      <c r="F357" s="18">
        <v>7</v>
      </c>
      <c r="G357" s="18" t="b">
        <v>0</v>
      </c>
      <c r="H357" s="18">
        <v>0</v>
      </c>
      <c r="I357" s="18">
        <v>2</v>
      </c>
      <c r="J357" s="18">
        <v>0.24</v>
      </c>
    </row>
    <row r="358" spans="1:10" ht="12.5" x14ac:dyDescent="0.25">
      <c r="A358" s="16">
        <v>357</v>
      </c>
      <c r="B358" s="17">
        <v>40559</v>
      </c>
      <c r="C358" s="18">
        <v>1</v>
      </c>
      <c r="D358" s="18">
        <v>0</v>
      </c>
      <c r="E358" s="18">
        <v>1</v>
      </c>
      <c r="F358" s="18">
        <v>8</v>
      </c>
      <c r="G358" s="18" t="b">
        <v>0</v>
      </c>
      <c r="H358" s="18">
        <v>0</v>
      </c>
      <c r="I358" s="18">
        <v>1</v>
      </c>
      <c r="J358" s="18">
        <v>0.22</v>
      </c>
    </row>
    <row r="359" spans="1:10" ht="12.5" x14ac:dyDescent="0.25">
      <c r="A359" s="16">
        <v>358</v>
      </c>
      <c r="B359" s="17">
        <v>40559</v>
      </c>
      <c r="C359" s="18">
        <v>1</v>
      </c>
      <c r="D359" s="18">
        <v>0</v>
      </c>
      <c r="E359" s="18">
        <v>1</v>
      </c>
      <c r="F359" s="18">
        <v>9</v>
      </c>
      <c r="G359" s="18" t="b">
        <v>0</v>
      </c>
      <c r="H359" s="18">
        <v>0</v>
      </c>
      <c r="I359" s="18">
        <v>1</v>
      </c>
      <c r="J359" s="18">
        <v>0.22</v>
      </c>
    </row>
    <row r="360" spans="1:10" ht="12.5" x14ac:dyDescent="0.25">
      <c r="A360" s="16">
        <v>359</v>
      </c>
      <c r="B360" s="17">
        <v>40559</v>
      </c>
      <c r="C360" s="18">
        <v>1</v>
      </c>
      <c r="D360" s="18">
        <v>0</v>
      </c>
      <c r="E360" s="18">
        <v>1</v>
      </c>
      <c r="F360" s="18">
        <v>10</v>
      </c>
      <c r="G360" s="18" t="b">
        <v>0</v>
      </c>
      <c r="H360" s="18">
        <v>0</v>
      </c>
      <c r="I360" s="18">
        <v>1</v>
      </c>
      <c r="J360" s="18">
        <v>0.22</v>
      </c>
    </row>
    <row r="361" spans="1:10" ht="12.5" x14ac:dyDescent="0.25">
      <c r="A361" s="16">
        <v>360</v>
      </c>
      <c r="B361" s="17">
        <v>40559</v>
      </c>
      <c r="C361" s="18">
        <v>1</v>
      </c>
      <c r="D361" s="18">
        <v>0</v>
      </c>
      <c r="E361" s="18">
        <v>1</v>
      </c>
      <c r="F361" s="18">
        <v>11</v>
      </c>
      <c r="G361" s="18" t="b">
        <v>0</v>
      </c>
      <c r="H361" s="18">
        <v>0</v>
      </c>
      <c r="I361" s="18">
        <v>1</v>
      </c>
      <c r="J361" s="18">
        <v>0.24</v>
      </c>
    </row>
    <row r="362" spans="1:10" ht="12.5" x14ac:dyDescent="0.25">
      <c r="A362" s="16">
        <v>361</v>
      </c>
      <c r="B362" s="17">
        <v>40559</v>
      </c>
      <c r="C362" s="18">
        <v>1</v>
      </c>
      <c r="D362" s="18">
        <v>0</v>
      </c>
      <c r="E362" s="18">
        <v>1</v>
      </c>
      <c r="F362" s="18">
        <v>12</v>
      </c>
      <c r="G362" s="18" t="b">
        <v>0</v>
      </c>
      <c r="H362" s="18">
        <v>0</v>
      </c>
      <c r="I362" s="18">
        <v>1</v>
      </c>
      <c r="J362" s="18">
        <v>0.24</v>
      </c>
    </row>
    <row r="363" spans="1:10" ht="12.5" x14ac:dyDescent="0.25">
      <c r="A363" s="16">
        <v>362</v>
      </c>
      <c r="B363" s="17">
        <v>40559</v>
      </c>
      <c r="C363" s="18">
        <v>1</v>
      </c>
      <c r="D363" s="18">
        <v>0</v>
      </c>
      <c r="E363" s="18">
        <v>1</v>
      </c>
      <c r="F363" s="18">
        <v>13</v>
      </c>
      <c r="G363" s="18" t="b">
        <v>0</v>
      </c>
      <c r="H363" s="18">
        <v>0</v>
      </c>
      <c r="I363" s="18">
        <v>1</v>
      </c>
      <c r="J363" s="18">
        <v>0.26</v>
      </c>
    </row>
    <row r="364" spans="1:10" ht="12.5" x14ac:dyDescent="0.25">
      <c r="A364" s="16">
        <v>363</v>
      </c>
      <c r="B364" s="17">
        <v>40559</v>
      </c>
      <c r="C364" s="18">
        <v>1</v>
      </c>
      <c r="D364" s="18">
        <v>0</v>
      </c>
      <c r="E364" s="18">
        <v>1</v>
      </c>
      <c r="F364" s="18">
        <v>14</v>
      </c>
      <c r="G364" s="18" t="b">
        <v>0</v>
      </c>
      <c r="H364" s="18">
        <v>0</v>
      </c>
      <c r="I364" s="18">
        <v>1</v>
      </c>
      <c r="J364" s="18">
        <v>0.28000000000000003</v>
      </c>
    </row>
    <row r="365" spans="1:10" ht="12.5" x14ac:dyDescent="0.25">
      <c r="A365" s="16">
        <v>364</v>
      </c>
      <c r="B365" s="17">
        <v>40559</v>
      </c>
      <c r="C365" s="18">
        <v>1</v>
      </c>
      <c r="D365" s="18">
        <v>0</v>
      </c>
      <c r="E365" s="18">
        <v>1</v>
      </c>
      <c r="F365" s="18">
        <v>15</v>
      </c>
      <c r="G365" s="18" t="b">
        <v>0</v>
      </c>
      <c r="H365" s="18">
        <v>0</v>
      </c>
      <c r="I365" s="18">
        <v>1</v>
      </c>
      <c r="J365" s="18">
        <v>0.26</v>
      </c>
    </row>
    <row r="366" spans="1:10" ht="12.5" x14ac:dyDescent="0.25">
      <c r="A366" s="16">
        <v>365</v>
      </c>
      <c r="B366" s="17">
        <v>40559</v>
      </c>
      <c r="C366" s="18">
        <v>1</v>
      </c>
      <c r="D366" s="18">
        <v>0</v>
      </c>
      <c r="E366" s="18">
        <v>1</v>
      </c>
      <c r="F366" s="18">
        <v>16</v>
      </c>
      <c r="G366" s="18" t="b">
        <v>0</v>
      </c>
      <c r="H366" s="18">
        <v>0</v>
      </c>
      <c r="I366" s="18">
        <v>1</v>
      </c>
      <c r="J366" s="18">
        <v>0.24</v>
      </c>
    </row>
    <row r="367" spans="1:10" ht="12.5" x14ac:dyDescent="0.25">
      <c r="A367" s="16">
        <v>366</v>
      </c>
      <c r="B367" s="17">
        <v>40559</v>
      </c>
      <c r="C367" s="18">
        <v>1</v>
      </c>
      <c r="D367" s="18">
        <v>0</v>
      </c>
      <c r="E367" s="18">
        <v>1</v>
      </c>
      <c r="F367" s="18">
        <v>17</v>
      </c>
      <c r="G367" s="18" t="b">
        <v>0</v>
      </c>
      <c r="H367" s="18">
        <v>0</v>
      </c>
      <c r="I367" s="18">
        <v>1</v>
      </c>
      <c r="J367" s="18">
        <v>0.22</v>
      </c>
    </row>
    <row r="368" spans="1:10" ht="12.5" x14ac:dyDescent="0.25">
      <c r="A368" s="16">
        <v>367</v>
      </c>
      <c r="B368" s="17">
        <v>40559</v>
      </c>
      <c r="C368" s="18">
        <v>1</v>
      </c>
      <c r="D368" s="18">
        <v>0</v>
      </c>
      <c r="E368" s="18">
        <v>1</v>
      </c>
      <c r="F368" s="18">
        <v>18</v>
      </c>
      <c r="G368" s="18" t="b">
        <v>0</v>
      </c>
      <c r="H368" s="18">
        <v>0</v>
      </c>
      <c r="I368" s="18">
        <v>1</v>
      </c>
      <c r="J368" s="18">
        <v>0.2</v>
      </c>
    </row>
    <row r="369" spans="1:10" ht="12.5" x14ac:dyDescent="0.25">
      <c r="A369" s="16">
        <v>368</v>
      </c>
      <c r="B369" s="17">
        <v>40559</v>
      </c>
      <c r="C369" s="18">
        <v>1</v>
      </c>
      <c r="D369" s="18">
        <v>0</v>
      </c>
      <c r="E369" s="18">
        <v>1</v>
      </c>
      <c r="F369" s="18">
        <v>19</v>
      </c>
      <c r="G369" s="18" t="b">
        <v>0</v>
      </c>
      <c r="H369" s="18">
        <v>0</v>
      </c>
      <c r="I369" s="18">
        <v>1</v>
      </c>
      <c r="J369" s="18">
        <v>0.18</v>
      </c>
    </row>
    <row r="370" spans="1:10" ht="12.5" x14ac:dyDescent="0.25">
      <c r="A370" s="16">
        <v>369</v>
      </c>
      <c r="B370" s="17">
        <v>40559</v>
      </c>
      <c r="C370" s="18">
        <v>1</v>
      </c>
      <c r="D370" s="18">
        <v>0</v>
      </c>
      <c r="E370" s="18">
        <v>1</v>
      </c>
      <c r="F370" s="18">
        <v>20</v>
      </c>
      <c r="G370" s="18" t="b">
        <v>0</v>
      </c>
      <c r="H370" s="18">
        <v>0</v>
      </c>
      <c r="I370" s="18">
        <v>1</v>
      </c>
      <c r="J370" s="18">
        <v>0.18</v>
      </c>
    </row>
    <row r="371" spans="1:10" ht="12.5" x14ac:dyDescent="0.25">
      <c r="A371" s="16">
        <v>370</v>
      </c>
      <c r="B371" s="17">
        <v>40559</v>
      </c>
      <c r="C371" s="18">
        <v>1</v>
      </c>
      <c r="D371" s="18">
        <v>0</v>
      </c>
      <c r="E371" s="18">
        <v>1</v>
      </c>
      <c r="F371" s="18">
        <v>21</v>
      </c>
      <c r="G371" s="18" t="b">
        <v>0</v>
      </c>
      <c r="H371" s="18">
        <v>0</v>
      </c>
      <c r="I371" s="18">
        <v>1</v>
      </c>
      <c r="J371" s="18">
        <v>0.18</v>
      </c>
    </row>
    <row r="372" spans="1:10" ht="12.5" x14ac:dyDescent="0.25">
      <c r="A372" s="16">
        <v>371</v>
      </c>
      <c r="B372" s="17">
        <v>40559</v>
      </c>
      <c r="C372" s="18">
        <v>1</v>
      </c>
      <c r="D372" s="18">
        <v>0</v>
      </c>
      <c r="E372" s="18">
        <v>1</v>
      </c>
      <c r="F372" s="18">
        <v>22</v>
      </c>
      <c r="G372" s="18" t="b">
        <v>0</v>
      </c>
      <c r="H372" s="18">
        <v>0</v>
      </c>
      <c r="I372" s="18">
        <v>2</v>
      </c>
      <c r="J372" s="18">
        <v>0.2</v>
      </c>
    </row>
    <row r="373" spans="1:10" ht="12.5" x14ac:dyDescent="0.25">
      <c r="A373" s="16">
        <v>372</v>
      </c>
      <c r="B373" s="17">
        <v>40559</v>
      </c>
      <c r="C373" s="18">
        <v>1</v>
      </c>
      <c r="D373" s="18">
        <v>0</v>
      </c>
      <c r="E373" s="18">
        <v>1</v>
      </c>
      <c r="F373" s="18">
        <v>23</v>
      </c>
      <c r="G373" s="18" t="b">
        <v>0</v>
      </c>
      <c r="H373" s="18">
        <v>0</v>
      </c>
      <c r="I373" s="18">
        <v>2</v>
      </c>
      <c r="J373" s="18">
        <v>0.2</v>
      </c>
    </row>
    <row r="374" spans="1:10" ht="12.5" x14ac:dyDescent="0.25">
      <c r="A374" s="16">
        <v>373</v>
      </c>
      <c r="B374" s="17">
        <v>40560</v>
      </c>
      <c r="C374" s="18">
        <v>1</v>
      </c>
      <c r="D374" s="18">
        <v>0</v>
      </c>
      <c r="E374" s="18">
        <v>1</v>
      </c>
      <c r="F374" s="18">
        <v>0</v>
      </c>
      <c r="G374" s="18" t="b">
        <v>1</v>
      </c>
      <c r="H374" s="18">
        <v>1</v>
      </c>
      <c r="I374" s="18">
        <v>2</v>
      </c>
      <c r="J374" s="18">
        <v>0.2</v>
      </c>
    </row>
    <row r="375" spans="1:10" ht="12.5" x14ac:dyDescent="0.25">
      <c r="A375" s="16">
        <v>374</v>
      </c>
      <c r="B375" s="17">
        <v>40560</v>
      </c>
      <c r="C375" s="18">
        <v>1</v>
      </c>
      <c r="D375" s="18">
        <v>0</v>
      </c>
      <c r="E375" s="18">
        <v>1</v>
      </c>
      <c r="F375" s="18">
        <v>1</v>
      </c>
      <c r="G375" s="18" t="b">
        <v>1</v>
      </c>
      <c r="H375" s="18">
        <v>1</v>
      </c>
      <c r="I375" s="18">
        <v>2</v>
      </c>
      <c r="J375" s="18">
        <v>0.2</v>
      </c>
    </row>
    <row r="376" spans="1:10" ht="12.5" x14ac:dyDescent="0.25">
      <c r="A376" s="16">
        <v>375</v>
      </c>
      <c r="B376" s="17">
        <v>40560</v>
      </c>
      <c r="C376" s="18">
        <v>1</v>
      </c>
      <c r="D376" s="18">
        <v>0</v>
      </c>
      <c r="E376" s="18">
        <v>1</v>
      </c>
      <c r="F376" s="18">
        <v>2</v>
      </c>
      <c r="G376" s="18" t="b">
        <v>1</v>
      </c>
      <c r="H376" s="18">
        <v>1</v>
      </c>
      <c r="I376" s="18">
        <v>2</v>
      </c>
      <c r="J376" s="18">
        <v>0.18</v>
      </c>
    </row>
    <row r="377" spans="1:10" ht="12.5" x14ac:dyDescent="0.25">
      <c r="A377" s="16">
        <v>376</v>
      </c>
      <c r="B377" s="17">
        <v>40560</v>
      </c>
      <c r="C377" s="18">
        <v>1</v>
      </c>
      <c r="D377" s="18">
        <v>0</v>
      </c>
      <c r="E377" s="18">
        <v>1</v>
      </c>
      <c r="F377" s="18">
        <v>3</v>
      </c>
      <c r="G377" s="18" t="b">
        <v>1</v>
      </c>
      <c r="H377" s="18">
        <v>1</v>
      </c>
      <c r="I377" s="18">
        <v>2</v>
      </c>
      <c r="J377" s="18">
        <v>0.18</v>
      </c>
    </row>
    <row r="378" spans="1:10" ht="12.5" x14ac:dyDescent="0.25">
      <c r="A378" s="16">
        <v>377</v>
      </c>
      <c r="B378" s="17">
        <v>40560</v>
      </c>
      <c r="C378" s="18">
        <v>1</v>
      </c>
      <c r="D378" s="18">
        <v>0</v>
      </c>
      <c r="E378" s="18">
        <v>1</v>
      </c>
      <c r="F378" s="18">
        <v>4</v>
      </c>
      <c r="G378" s="18" t="b">
        <v>1</v>
      </c>
      <c r="H378" s="18">
        <v>1</v>
      </c>
      <c r="I378" s="18">
        <v>2</v>
      </c>
      <c r="J378" s="18">
        <v>0.18</v>
      </c>
    </row>
    <row r="379" spans="1:10" ht="12.5" x14ac:dyDescent="0.25">
      <c r="A379" s="16">
        <v>378</v>
      </c>
      <c r="B379" s="17">
        <v>40560</v>
      </c>
      <c r="C379" s="18">
        <v>1</v>
      </c>
      <c r="D379" s="18">
        <v>0</v>
      </c>
      <c r="E379" s="18">
        <v>1</v>
      </c>
      <c r="F379" s="18">
        <v>5</v>
      </c>
      <c r="G379" s="18" t="b">
        <v>1</v>
      </c>
      <c r="H379" s="18">
        <v>1</v>
      </c>
      <c r="I379" s="18">
        <v>2</v>
      </c>
      <c r="J379" s="18">
        <v>0.18</v>
      </c>
    </row>
    <row r="380" spans="1:10" ht="12.5" x14ac:dyDescent="0.25">
      <c r="A380" s="16">
        <v>379</v>
      </c>
      <c r="B380" s="17">
        <v>40560</v>
      </c>
      <c r="C380" s="18">
        <v>1</v>
      </c>
      <c r="D380" s="18">
        <v>0</v>
      </c>
      <c r="E380" s="18">
        <v>1</v>
      </c>
      <c r="F380" s="18">
        <v>6</v>
      </c>
      <c r="G380" s="18" t="b">
        <v>1</v>
      </c>
      <c r="H380" s="18">
        <v>1</v>
      </c>
      <c r="I380" s="18">
        <v>2</v>
      </c>
      <c r="J380" s="18">
        <v>0.18</v>
      </c>
    </row>
    <row r="381" spans="1:10" ht="12.5" x14ac:dyDescent="0.25">
      <c r="A381" s="16">
        <v>380</v>
      </c>
      <c r="B381" s="17">
        <v>40560</v>
      </c>
      <c r="C381" s="18">
        <v>1</v>
      </c>
      <c r="D381" s="18">
        <v>0</v>
      </c>
      <c r="E381" s="18">
        <v>1</v>
      </c>
      <c r="F381" s="18">
        <v>7</v>
      </c>
      <c r="G381" s="18" t="b">
        <v>1</v>
      </c>
      <c r="H381" s="18">
        <v>1</v>
      </c>
      <c r="I381" s="18">
        <v>2</v>
      </c>
      <c r="J381" s="18">
        <v>0.16</v>
      </c>
    </row>
    <row r="382" spans="1:10" ht="12.5" x14ac:dyDescent="0.25">
      <c r="A382" s="16">
        <v>381</v>
      </c>
      <c r="B382" s="17">
        <v>40560</v>
      </c>
      <c r="C382" s="18">
        <v>1</v>
      </c>
      <c r="D382" s="18">
        <v>0</v>
      </c>
      <c r="E382" s="18">
        <v>1</v>
      </c>
      <c r="F382" s="18">
        <v>8</v>
      </c>
      <c r="G382" s="18" t="b">
        <v>1</v>
      </c>
      <c r="H382" s="18">
        <v>1</v>
      </c>
      <c r="I382" s="18">
        <v>2</v>
      </c>
      <c r="J382" s="18">
        <v>0.16</v>
      </c>
    </row>
    <row r="383" spans="1:10" ht="12.5" x14ac:dyDescent="0.25">
      <c r="A383" s="16">
        <v>382</v>
      </c>
      <c r="B383" s="17">
        <v>40560</v>
      </c>
      <c r="C383" s="18">
        <v>1</v>
      </c>
      <c r="D383" s="18">
        <v>0</v>
      </c>
      <c r="E383" s="18">
        <v>1</v>
      </c>
      <c r="F383" s="18">
        <v>9</v>
      </c>
      <c r="G383" s="18" t="b">
        <v>1</v>
      </c>
      <c r="H383" s="18">
        <v>1</v>
      </c>
      <c r="I383" s="18">
        <v>2</v>
      </c>
      <c r="J383" s="18">
        <v>0.16</v>
      </c>
    </row>
    <row r="384" spans="1:10" ht="12.5" x14ac:dyDescent="0.25">
      <c r="A384" s="16">
        <v>383</v>
      </c>
      <c r="B384" s="17">
        <v>40560</v>
      </c>
      <c r="C384" s="18">
        <v>1</v>
      </c>
      <c r="D384" s="18">
        <v>0</v>
      </c>
      <c r="E384" s="18">
        <v>1</v>
      </c>
      <c r="F384" s="18">
        <v>10</v>
      </c>
      <c r="G384" s="18" t="b">
        <v>1</v>
      </c>
      <c r="H384" s="18">
        <v>1</v>
      </c>
      <c r="I384" s="18">
        <v>2</v>
      </c>
      <c r="J384" s="18">
        <v>0.16</v>
      </c>
    </row>
    <row r="385" spans="1:10" ht="12.5" x14ac:dyDescent="0.25">
      <c r="A385" s="16">
        <v>384</v>
      </c>
      <c r="B385" s="17">
        <v>40560</v>
      </c>
      <c r="C385" s="18">
        <v>1</v>
      </c>
      <c r="D385" s="18">
        <v>0</v>
      </c>
      <c r="E385" s="18">
        <v>1</v>
      </c>
      <c r="F385" s="18">
        <v>11</v>
      </c>
      <c r="G385" s="18" t="b">
        <v>1</v>
      </c>
      <c r="H385" s="18">
        <v>1</v>
      </c>
      <c r="I385" s="18">
        <v>2</v>
      </c>
      <c r="J385" s="18">
        <v>0.16</v>
      </c>
    </row>
    <row r="386" spans="1:10" ht="12.5" x14ac:dyDescent="0.25">
      <c r="A386" s="16">
        <v>385</v>
      </c>
      <c r="B386" s="17">
        <v>40560</v>
      </c>
      <c r="C386" s="18">
        <v>1</v>
      </c>
      <c r="D386" s="18">
        <v>0</v>
      </c>
      <c r="E386" s="18">
        <v>1</v>
      </c>
      <c r="F386" s="18">
        <v>12</v>
      </c>
      <c r="G386" s="18" t="b">
        <v>1</v>
      </c>
      <c r="H386" s="18">
        <v>1</v>
      </c>
      <c r="I386" s="18">
        <v>2</v>
      </c>
      <c r="J386" s="18">
        <v>0.18</v>
      </c>
    </row>
    <row r="387" spans="1:10" ht="12.5" x14ac:dyDescent="0.25">
      <c r="A387" s="16">
        <v>386</v>
      </c>
      <c r="B387" s="17">
        <v>40560</v>
      </c>
      <c r="C387" s="18">
        <v>1</v>
      </c>
      <c r="D387" s="18">
        <v>0</v>
      </c>
      <c r="E387" s="18">
        <v>1</v>
      </c>
      <c r="F387" s="18">
        <v>13</v>
      </c>
      <c r="G387" s="18" t="b">
        <v>1</v>
      </c>
      <c r="H387" s="18">
        <v>1</v>
      </c>
      <c r="I387" s="18">
        <v>2</v>
      </c>
      <c r="J387" s="18">
        <v>0.18</v>
      </c>
    </row>
    <row r="388" spans="1:10" ht="12.5" x14ac:dyDescent="0.25">
      <c r="A388" s="16">
        <v>387</v>
      </c>
      <c r="B388" s="17">
        <v>40560</v>
      </c>
      <c r="C388" s="18">
        <v>1</v>
      </c>
      <c r="D388" s="18">
        <v>0</v>
      </c>
      <c r="E388" s="18">
        <v>1</v>
      </c>
      <c r="F388" s="18">
        <v>14</v>
      </c>
      <c r="G388" s="18" t="b">
        <v>1</v>
      </c>
      <c r="H388" s="18">
        <v>1</v>
      </c>
      <c r="I388" s="18">
        <v>2</v>
      </c>
      <c r="J388" s="18">
        <v>0.18</v>
      </c>
    </row>
    <row r="389" spans="1:10" ht="12.5" x14ac:dyDescent="0.25">
      <c r="A389" s="16">
        <v>388</v>
      </c>
      <c r="B389" s="17">
        <v>40560</v>
      </c>
      <c r="C389" s="18">
        <v>1</v>
      </c>
      <c r="D389" s="18">
        <v>0</v>
      </c>
      <c r="E389" s="18">
        <v>1</v>
      </c>
      <c r="F389" s="18">
        <v>15</v>
      </c>
      <c r="G389" s="18" t="b">
        <v>1</v>
      </c>
      <c r="H389" s="18">
        <v>1</v>
      </c>
      <c r="I389" s="18">
        <v>2</v>
      </c>
      <c r="J389" s="18">
        <v>0.2</v>
      </c>
    </row>
    <row r="390" spans="1:10" ht="12.5" x14ac:dyDescent="0.25">
      <c r="A390" s="16">
        <v>389</v>
      </c>
      <c r="B390" s="17">
        <v>40560</v>
      </c>
      <c r="C390" s="18">
        <v>1</v>
      </c>
      <c r="D390" s="18">
        <v>0</v>
      </c>
      <c r="E390" s="18">
        <v>1</v>
      </c>
      <c r="F390" s="18">
        <v>16</v>
      </c>
      <c r="G390" s="18" t="b">
        <v>1</v>
      </c>
      <c r="H390" s="18">
        <v>1</v>
      </c>
      <c r="I390" s="18">
        <v>2</v>
      </c>
      <c r="J390" s="18">
        <v>0.2</v>
      </c>
    </row>
    <row r="391" spans="1:10" ht="12.5" x14ac:dyDescent="0.25">
      <c r="A391" s="16">
        <v>390</v>
      </c>
      <c r="B391" s="17">
        <v>40560</v>
      </c>
      <c r="C391" s="18">
        <v>1</v>
      </c>
      <c r="D391" s="18">
        <v>0</v>
      </c>
      <c r="E391" s="18">
        <v>1</v>
      </c>
      <c r="F391" s="18">
        <v>17</v>
      </c>
      <c r="G391" s="18" t="b">
        <v>1</v>
      </c>
      <c r="H391" s="18">
        <v>1</v>
      </c>
      <c r="I391" s="18">
        <v>1</v>
      </c>
      <c r="J391" s="18">
        <v>0.2</v>
      </c>
    </row>
    <row r="392" spans="1:10" ht="12.5" x14ac:dyDescent="0.25">
      <c r="A392" s="16">
        <v>391</v>
      </c>
      <c r="B392" s="17">
        <v>40560</v>
      </c>
      <c r="C392" s="18">
        <v>1</v>
      </c>
      <c r="D392" s="18">
        <v>0</v>
      </c>
      <c r="E392" s="18">
        <v>1</v>
      </c>
      <c r="F392" s="18">
        <v>18</v>
      </c>
      <c r="G392" s="18" t="b">
        <v>1</v>
      </c>
      <c r="H392" s="18">
        <v>1</v>
      </c>
      <c r="I392" s="18">
        <v>2</v>
      </c>
      <c r="J392" s="18">
        <v>0.18</v>
      </c>
    </row>
    <row r="393" spans="1:10" ht="12.5" x14ac:dyDescent="0.25">
      <c r="A393" s="16">
        <v>392</v>
      </c>
      <c r="B393" s="17">
        <v>40560</v>
      </c>
      <c r="C393" s="18">
        <v>1</v>
      </c>
      <c r="D393" s="18">
        <v>0</v>
      </c>
      <c r="E393" s="18">
        <v>1</v>
      </c>
      <c r="F393" s="18">
        <v>19</v>
      </c>
      <c r="G393" s="18" t="b">
        <v>1</v>
      </c>
      <c r="H393" s="18">
        <v>1</v>
      </c>
      <c r="I393" s="18">
        <v>3</v>
      </c>
      <c r="J393" s="18">
        <v>0.18</v>
      </c>
    </row>
    <row r="394" spans="1:10" ht="12.5" x14ac:dyDescent="0.25">
      <c r="A394" s="16">
        <v>393</v>
      </c>
      <c r="B394" s="17">
        <v>40560</v>
      </c>
      <c r="C394" s="18">
        <v>1</v>
      </c>
      <c r="D394" s="18">
        <v>0</v>
      </c>
      <c r="E394" s="18">
        <v>1</v>
      </c>
      <c r="F394" s="18">
        <v>20</v>
      </c>
      <c r="G394" s="18" t="b">
        <v>1</v>
      </c>
      <c r="H394" s="18">
        <v>1</v>
      </c>
      <c r="I394" s="18">
        <v>3</v>
      </c>
      <c r="J394" s="18">
        <v>0.16</v>
      </c>
    </row>
    <row r="395" spans="1:10" ht="12.5" x14ac:dyDescent="0.25">
      <c r="A395" s="16">
        <v>394</v>
      </c>
      <c r="B395" s="17">
        <v>40560</v>
      </c>
      <c r="C395" s="18">
        <v>1</v>
      </c>
      <c r="D395" s="18">
        <v>0</v>
      </c>
      <c r="E395" s="18">
        <v>1</v>
      </c>
      <c r="F395" s="18">
        <v>21</v>
      </c>
      <c r="G395" s="18" t="b">
        <v>1</v>
      </c>
      <c r="H395" s="18">
        <v>1</v>
      </c>
      <c r="I395" s="18">
        <v>3</v>
      </c>
      <c r="J395" s="18">
        <v>0.16</v>
      </c>
    </row>
    <row r="396" spans="1:10" ht="12.5" x14ac:dyDescent="0.25">
      <c r="A396" s="16">
        <v>395</v>
      </c>
      <c r="B396" s="17">
        <v>40560</v>
      </c>
      <c r="C396" s="18">
        <v>1</v>
      </c>
      <c r="D396" s="18">
        <v>0</v>
      </c>
      <c r="E396" s="18">
        <v>1</v>
      </c>
      <c r="F396" s="18">
        <v>22</v>
      </c>
      <c r="G396" s="18" t="b">
        <v>1</v>
      </c>
      <c r="H396" s="18">
        <v>1</v>
      </c>
      <c r="I396" s="18">
        <v>3</v>
      </c>
      <c r="J396" s="18">
        <v>0.14000000000000001</v>
      </c>
    </row>
    <row r="397" spans="1:10" ht="12.5" x14ac:dyDescent="0.25">
      <c r="A397" s="16">
        <v>396</v>
      </c>
      <c r="B397" s="17">
        <v>40560</v>
      </c>
      <c r="C397" s="18">
        <v>1</v>
      </c>
      <c r="D397" s="18">
        <v>0</v>
      </c>
      <c r="E397" s="18">
        <v>1</v>
      </c>
      <c r="F397" s="18">
        <v>23</v>
      </c>
      <c r="G397" s="18" t="b">
        <v>1</v>
      </c>
      <c r="H397" s="18">
        <v>1</v>
      </c>
      <c r="I397" s="18">
        <v>3</v>
      </c>
      <c r="J397" s="18">
        <v>0.16</v>
      </c>
    </row>
    <row r="398" spans="1:10" ht="12.5" x14ac:dyDescent="0.25">
      <c r="A398" s="16">
        <v>397</v>
      </c>
      <c r="B398" s="17">
        <v>40561</v>
      </c>
      <c r="C398" s="18">
        <v>1</v>
      </c>
      <c r="D398" s="18">
        <v>0</v>
      </c>
      <c r="E398" s="18">
        <v>1</v>
      </c>
      <c r="F398" s="18">
        <v>12</v>
      </c>
      <c r="G398" s="18" t="b">
        <v>0</v>
      </c>
      <c r="H398" s="18">
        <v>2</v>
      </c>
      <c r="I398" s="18">
        <v>2</v>
      </c>
      <c r="J398" s="18">
        <v>0.2</v>
      </c>
    </row>
    <row r="399" spans="1:10" ht="12.5" x14ac:dyDescent="0.25">
      <c r="A399" s="16">
        <v>398</v>
      </c>
      <c r="B399" s="17">
        <v>40561</v>
      </c>
      <c r="C399" s="18">
        <v>1</v>
      </c>
      <c r="D399" s="18">
        <v>0</v>
      </c>
      <c r="E399" s="18">
        <v>1</v>
      </c>
      <c r="F399" s="18">
        <v>13</v>
      </c>
      <c r="G399" s="18" t="b">
        <v>0</v>
      </c>
      <c r="H399" s="18">
        <v>2</v>
      </c>
      <c r="I399" s="18">
        <v>2</v>
      </c>
      <c r="J399" s="18">
        <v>0.2</v>
      </c>
    </row>
    <row r="400" spans="1:10" ht="12.5" x14ac:dyDescent="0.25">
      <c r="A400" s="16">
        <v>399</v>
      </c>
      <c r="B400" s="17">
        <v>40561</v>
      </c>
      <c r="C400" s="18">
        <v>1</v>
      </c>
      <c r="D400" s="18">
        <v>0</v>
      </c>
      <c r="E400" s="18">
        <v>1</v>
      </c>
      <c r="F400" s="18">
        <v>14</v>
      </c>
      <c r="G400" s="18" t="b">
        <v>0</v>
      </c>
      <c r="H400" s="18">
        <v>2</v>
      </c>
      <c r="I400" s="18">
        <v>2</v>
      </c>
      <c r="J400" s="18">
        <v>0.22</v>
      </c>
    </row>
    <row r="401" spans="1:10" ht="12.5" x14ac:dyDescent="0.25">
      <c r="A401" s="16">
        <v>400</v>
      </c>
      <c r="B401" s="17">
        <v>40561</v>
      </c>
      <c r="C401" s="18">
        <v>1</v>
      </c>
      <c r="D401" s="18">
        <v>0</v>
      </c>
      <c r="E401" s="18">
        <v>1</v>
      </c>
      <c r="F401" s="18">
        <v>15</v>
      </c>
      <c r="G401" s="18" t="b">
        <v>0</v>
      </c>
      <c r="H401" s="18">
        <v>2</v>
      </c>
      <c r="I401" s="18">
        <v>2</v>
      </c>
      <c r="J401" s="18">
        <v>0.22</v>
      </c>
    </row>
    <row r="402" spans="1:10" ht="12.5" x14ac:dyDescent="0.25">
      <c r="A402" s="16">
        <v>401</v>
      </c>
      <c r="B402" s="17">
        <v>40561</v>
      </c>
      <c r="C402" s="18">
        <v>1</v>
      </c>
      <c r="D402" s="18">
        <v>0</v>
      </c>
      <c r="E402" s="18">
        <v>1</v>
      </c>
      <c r="F402" s="18">
        <v>16</v>
      </c>
      <c r="G402" s="18" t="b">
        <v>0</v>
      </c>
      <c r="H402" s="18">
        <v>2</v>
      </c>
      <c r="I402" s="18">
        <v>2</v>
      </c>
      <c r="J402" s="18">
        <v>0.22</v>
      </c>
    </row>
    <row r="403" spans="1:10" ht="12.5" x14ac:dyDescent="0.25">
      <c r="A403" s="16">
        <v>402</v>
      </c>
      <c r="B403" s="17">
        <v>40561</v>
      </c>
      <c r="C403" s="18">
        <v>1</v>
      </c>
      <c r="D403" s="18">
        <v>0</v>
      </c>
      <c r="E403" s="18">
        <v>1</v>
      </c>
      <c r="F403" s="18">
        <v>17</v>
      </c>
      <c r="G403" s="18" t="b">
        <v>0</v>
      </c>
      <c r="H403" s="18">
        <v>2</v>
      </c>
      <c r="I403" s="18">
        <v>2</v>
      </c>
      <c r="J403" s="18">
        <v>0.22</v>
      </c>
    </row>
    <row r="404" spans="1:10" ht="12.5" x14ac:dyDescent="0.25">
      <c r="A404" s="16">
        <v>403</v>
      </c>
      <c r="B404" s="17">
        <v>40561</v>
      </c>
      <c r="C404" s="18">
        <v>1</v>
      </c>
      <c r="D404" s="18">
        <v>0</v>
      </c>
      <c r="E404" s="18">
        <v>1</v>
      </c>
      <c r="F404" s="18">
        <v>18</v>
      </c>
      <c r="G404" s="18" t="b">
        <v>0</v>
      </c>
      <c r="H404" s="18">
        <v>2</v>
      </c>
      <c r="I404" s="18">
        <v>2</v>
      </c>
      <c r="J404" s="18">
        <v>0.22</v>
      </c>
    </row>
    <row r="405" spans="1:10" ht="12.5" x14ac:dyDescent="0.25">
      <c r="A405" s="16">
        <v>404</v>
      </c>
      <c r="B405" s="17">
        <v>40561</v>
      </c>
      <c r="C405" s="18">
        <v>1</v>
      </c>
      <c r="D405" s="18">
        <v>0</v>
      </c>
      <c r="E405" s="18">
        <v>1</v>
      </c>
      <c r="F405" s="18">
        <v>19</v>
      </c>
      <c r="G405" s="18" t="b">
        <v>0</v>
      </c>
      <c r="H405" s="18">
        <v>2</v>
      </c>
      <c r="I405" s="18">
        <v>2</v>
      </c>
      <c r="J405" s="18">
        <v>0.22</v>
      </c>
    </row>
    <row r="406" spans="1:10" ht="12.5" x14ac:dyDescent="0.25">
      <c r="A406" s="16">
        <v>405</v>
      </c>
      <c r="B406" s="17">
        <v>40561</v>
      </c>
      <c r="C406" s="18">
        <v>1</v>
      </c>
      <c r="D406" s="18">
        <v>0</v>
      </c>
      <c r="E406" s="18">
        <v>1</v>
      </c>
      <c r="F406" s="18">
        <v>20</v>
      </c>
      <c r="G406" s="18" t="b">
        <v>0</v>
      </c>
      <c r="H406" s="18">
        <v>2</v>
      </c>
      <c r="I406" s="18">
        <v>2</v>
      </c>
      <c r="J406" s="18">
        <v>0.22</v>
      </c>
    </row>
    <row r="407" spans="1:10" ht="12.5" x14ac:dyDescent="0.25">
      <c r="A407" s="16">
        <v>406</v>
      </c>
      <c r="B407" s="17">
        <v>40561</v>
      </c>
      <c r="C407" s="18">
        <v>1</v>
      </c>
      <c r="D407" s="18">
        <v>0</v>
      </c>
      <c r="E407" s="18">
        <v>1</v>
      </c>
      <c r="F407" s="18">
        <v>21</v>
      </c>
      <c r="G407" s="18" t="b">
        <v>0</v>
      </c>
      <c r="H407" s="18">
        <v>2</v>
      </c>
      <c r="I407" s="18">
        <v>2</v>
      </c>
      <c r="J407" s="18">
        <v>0.22</v>
      </c>
    </row>
    <row r="408" spans="1:10" ht="12.5" x14ac:dyDescent="0.25">
      <c r="A408" s="16">
        <v>407</v>
      </c>
      <c r="B408" s="17">
        <v>40561</v>
      </c>
      <c r="C408" s="18">
        <v>1</v>
      </c>
      <c r="D408" s="18">
        <v>0</v>
      </c>
      <c r="E408" s="18">
        <v>1</v>
      </c>
      <c r="F408" s="18">
        <v>22</v>
      </c>
      <c r="G408" s="18" t="b">
        <v>0</v>
      </c>
      <c r="H408" s="18">
        <v>2</v>
      </c>
      <c r="I408" s="18">
        <v>2</v>
      </c>
      <c r="J408" s="18">
        <v>0.22</v>
      </c>
    </row>
    <row r="409" spans="1:10" ht="12.5" x14ac:dyDescent="0.25">
      <c r="A409" s="16">
        <v>408</v>
      </c>
      <c r="B409" s="17">
        <v>40561</v>
      </c>
      <c r="C409" s="18">
        <v>1</v>
      </c>
      <c r="D409" s="18">
        <v>0</v>
      </c>
      <c r="E409" s="18">
        <v>1</v>
      </c>
      <c r="F409" s="18">
        <v>23</v>
      </c>
      <c r="G409" s="18" t="b">
        <v>0</v>
      </c>
      <c r="H409" s="18">
        <v>2</v>
      </c>
      <c r="I409" s="18">
        <v>2</v>
      </c>
      <c r="J409" s="18">
        <v>0.22</v>
      </c>
    </row>
    <row r="410" spans="1:10" ht="12.5" x14ac:dyDescent="0.25">
      <c r="A410" s="16">
        <v>409</v>
      </c>
      <c r="B410" s="17">
        <v>40562</v>
      </c>
      <c r="C410" s="18">
        <v>1</v>
      </c>
      <c r="D410" s="18">
        <v>0</v>
      </c>
      <c r="E410" s="18">
        <v>1</v>
      </c>
      <c r="F410" s="18">
        <v>0</v>
      </c>
      <c r="G410" s="18" t="b">
        <v>0</v>
      </c>
      <c r="H410" s="18">
        <v>3</v>
      </c>
      <c r="I410" s="18">
        <v>2</v>
      </c>
      <c r="J410" s="18">
        <v>0.22</v>
      </c>
    </row>
    <row r="411" spans="1:10" ht="12.5" x14ac:dyDescent="0.25">
      <c r="A411" s="16">
        <v>410</v>
      </c>
      <c r="B411" s="17">
        <v>40562</v>
      </c>
      <c r="C411" s="18">
        <v>1</v>
      </c>
      <c r="D411" s="18">
        <v>0</v>
      </c>
      <c r="E411" s="18">
        <v>1</v>
      </c>
      <c r="F411" s="18">
        <v>1</v>
      </c>
      <c r="G411" s="18" t="b">
        <v>0</v>
      </c>
      <c r="H411" s="18">
        <v>3</v>
      </c>
      <c r="I411" s="18">
        <v>3</v>
      </c>
      <c r="J411" s="18">
        <v>0.22</v>
      </c>
    </row>
    <row r="412" spans="1:10" ht="12.5" x14ac:dyDescent="0.25">
      <c r="A412" s="16">
        <v>411</v>
      </c>
      <c r="B412" s="17">
        <v>40562</v>
      </c>
      <c r="C412" s="18">
        <v>1</v>
      </c>
      <c r="D412" s="18">
        <v>0</v>
      </c>
      <c r="E412" s="18">
        <v>1</v>
      </c>
      <c r="F412" s="18">
        <v>2</v>
      </c>
      <c r="G412" s="18" t="b">
        <v>0</v>
      </c>
      <c r="H412" s="18">
        <v>3</v>
      </c>
      <c r="I412" s="18">
        <v>3</v>
      </c>
      <c r="J412" s="18">
        <v>0.22</v>
      </c>
    </row>
    <row r="413" spans="1:10" ht="12.5" x14ac:dyDescent="0.25">
      <c r="A413" s="16">
        <v>412</v>
      </c>
      <c r="B413" s="17">
        <v>40562</v>
      </c>
      <c r="C413" s="18">
        <v>1</v>
      </c>
      <c r="D413" s="18">
        <v>0</v>
      </c>
      <c r="E413" s="18">
        <v>1</v>
      </c>
      <c r="F413" s="18">
        <v>4</v>
      </c>
      <c r="G413" s="18" t="b">
        <v>0</v>
      </c>
      <c r="H413" s="18">
        <v>3</v>
      </c>
      <c r="I413" s="18">
        <v>3</v>
      </c>
      <c r="J413" s="18">
        <v>0.22</v>
      </c>
    </row>
    <row r="414" spans="1:10" ht="12.5" x14ac:dyDescent="0.25">
      <c r="A414" s="16">
        <v>413</v>
      </c>
      <c r="B414" s="17">
        <v>40562</v>
      </c>
      <c r="C414" s="18">
        <v>1</v>
      </c>
      <c r="D414" s="18">
        <v>0</v>
      </c>
      <c r="E414" s="18">
        <v>1</v>
      </c>
      <c r="F414" s="18">
        <v>5</v>
      </c>
      <c r="G414" s="18" t="b">
        <v>0</v>
      </c>
      <c r="H414" s="18">
        <v>3</v>
      </c>
      <c r="I414" s="18">
        <v>2</v>
      </c>
      <c r="J414" s="18">
        <v>0.22</v>
      </c>
    </row>
    <row r="415" spans="1:10" ht="12.5" x14ac:dyDescent="0.25">
      <c r="A415" s="16">
        <v>414</v>
      </c>
      <c r="B415" s="17">
        <v>40562</v>
      </c>
      <c r="C415" s="18">
        <v>1</v>
      </c>
      <c r="D415" s="18">
        <v>0</v>
      </c>
      <c r="E415" s="18">
        <v>1</v>
      </c>
      <c r="F415" s="18">
        <v>6</v>
      </c>
      <c r="G415" s="18" t="b">
        <v>0</v>
      </c>
      <c r="H415" s="18">
        <v>3</v>
      </c>
      <c r="I415" s="18">
        <v>2</v>
      </c>
      <c r="J415" s="18">
        <v>0.22</v>
      </c>
    </row>
    <row r="416" spans="1:10" ht="12.5" x14ac:dyDescent="0.25">
      <c r="A416" s="16">
        <v>415</v>
      </c>
      <c r="B416" s="17">
        <v>40562</v>
      </c>
      <c r="C416" s="18">
        <v>1</v>
      </c>
      <c r="D416" s="18">
        <v>0</v>
      </c>
      <c r="E416" s="18">
        <v>1</v>
      </c>
      <c r="F416" s="18">
        <v>7</v>
      </c>
      <c r="G416" s="18" t="b">
        <v>0</v>
      </c>
      <c r="H416" s="18">
        <v>3</v>
      </c>
      <c r="I416" s="18">
        <v>2</v>
      </c>
      <c r="J416" s="18">
        <v>0.24</v>
      </c>
    </row>
    <row r="417" spans="1:10" ht="12.5" x14ac:dyDescent="0.25">
      <c r="A417" s="16">
        <v>416</v>
      </c>
      <c r="B417" s="17">
        <v>40562</v>
      </c>
      <c r="C417" s="18">
        <v>1</v>
      </c>
      <c r="D417" s="18">
        <v>0</v>
      </c>
      <c r="E417" s="18">
        <v>1</v>
      </c>
      <c r="F417" s="18">
        <v>8</v>
      </c>
      <c r="G417" s="18" t="b">
        <v>0</v>
      </c>
      <c r="H417" s="18">
        <v>3</v>
      </c>
      <c r="I417" s="18">
        <v>2</v>
      </c>
      <c r="J417" s="18">
        <v>0.24</v>
      </c>
    </row>
    <row r="418" spans="1:10" ht="12.5" x14ac:dyDescent="0.25">
      <c r="A418" s="16">
        <v>417</v>
      </c>
      <c r="B418" s="17">
        <v>40562</v>
      </c>
      <c r="C418" s="18">
        <v>1</v>
      </c>
      <c r="D418" s="18">
        <v>0</v>
      </c>
      <c r="E418" s="18">
        <v>1</v>
      </c>
      <c r="F418" s="18">
        <v>9</v>
      </c>
      <c r="G418" s="18" t="b">
        <v>0</v>
      </c>
      <c r="H418" s="18">
        <v>3</v>
      </c>
      <c r="I418" s="18">
        <v>2</v>
      </c>
      <c r="J418" s="18">
        <v>0.24</v>
      </c>
    </row>
    <row r="419" spans="1:10" ht="12.5" x14ac:dyDescent="0.25">
      <c r="A419" s="16">
        <v>418</v>
      </c>
      <c r="B419" s="17">
        <v>40562</v>
      </c>
      <c r="C419" s="18">
        <v>1</v>
      </c>
      <c r="D419" s="18">
        <v>0</v>
      </c>
      <c r="E419" s="18">
        <v>1</v>
      </c>
      <c r="F419" s="18">
        <v>10</v>
      </c>
      <c r="G419" s="18" t="b">
        <v>0</v>
      </c>
      <c r="H419" s="18">
        <v>3</v>
      </c>
      <c r="I419" s="18">
        <v>2</v>
      </c>
      <c r="J419" s="18">
        <v>0.26</v>
      </c>
    </row>
    <row r="420" spans="1:10" ht="12.5" x14ac:dyDescent="0.25">
      <c r="A420" s="16">
        <v>419</v>
      </c>
      <c r="B420" s="17">
        <v>40562</v>
      </c>
      <c r="C420" s="18">
        <v>1</v>
      </c>
      <c r="D420" s="18">
        <v>0</v>
      </c>
      <c r="E420" s="18">
        <v>1</v>
      </c>
      <c r="F420" s="18">
        <v>11</v>
      </c>
      <c r="G420" s="18" t="b">
        <v>0</v>
      </c>
      <c r="H420" s="18">
        <v>3</v>
      </c>
      <c r="I420" s="18">
        <v>2</v>
      </c>
      <c r="J420" s="18">
        <v>0.28000000000000003</v>
      </c>
    </row>
    <row r="421" spans="1:10" ht="12.5" x14ac:dyDescent="0.25">
      <c r="A421" s="16">
        <v>420</v>
      </c>
      <c r="B421" s="17">
        <v>40562</v>
      </c>
      <c r="C421" s="18">
        <v>1</v>
      </c>
      <c r="D421" s="18">
        <v>0</v>
      </c>
      <c r="E421" s="18">
        <v>1</v>
      </c>
      <c r="F421" s="18">
        <v>12</v>
      </c>
      <c r="G421" s="18" t="b">
        <v>0</v>
      </c>
      <c r="H421" s="18">
        <v>3</v>
      </c>
      <c r="I421" s="18">
        <v>2</v>
      </c>
      <c r="J421" s="18">
        <v>0.3</v>
      </c>
    </row>
    <row r="422" spans="1:10" ht="12.5" x14ac:dyDescent="0.25">
      <c r="A422" s="16">
        <v>421</v>
      </c>
      <c r="B422" s="17">
        <v>40562</v>
      </c>
      <c r="C422" s="18">
        <v>1</v>
      </c>
      <c r="D422" s="18">
        <v>0</v>
      </c>
      <c r="E422" s="18">
        <v>1</v>
      </c>
      <c r="F422" s="18">
        <v>13</v>
      </c>
      <c r="G422" s="18" t="b">
        <v>0</v>
      </c>
      <c r="H422" s="18">
        <v>3</v>
      </c>
      <c r="I422" s="18">
        <v>1</v>
      </c>
      <c r="J422" s="18">
        <v>0.4</v>
      </c>
    </row>
    <row r="423" spans="1:10" ht="12.5" x14ac:dyDescent="0.25">
      <c r="A423" s="16">
        <v>422</v>
      </c>
      <c r="B423" s="17">
        <v>40562</v>
      </c>
      <c r="C423" s="18">
        <v>1</v>
      </c>
      <c r="D423" s="18">
        <v>0</v>
      </c>
      <c r="E423" s="18">
        <v>1</v>
      </c>
      <c r="F423" s="18">
        <v>14</v>
      </c>
      <c r="G423" s="18" t="b">
        <v>0</v>
      </c>
      <c r="H423" s="18">
        <v>3</v>
      </c>
      <c r="I423" s="18">
        <v>1</v>
      </c>
      <c r="J423" s="18">
        <v>0.4</v>
      </c>
    </row>
    <row r="424" spans="1:10" ht="12.5" x14ac:dyDescent="0.25">
      <c r="A424" s="16">
        <v>423</v>
      </c>
      <c r="B424" s="17">
        <v>40562</v>
      </c>
      <c r="C424" s="18">
        <v>1</v>
      </c>
      <c r="D424" s="18">
        <v>0</v>
      </c>
      <c r="E424" s="18">
        <v>1</v>
      </c>
      <c r="F424" s="18">
        <v>15</v>
      </c>
      <c r="G424" s="18" t="b">
        <v>0</v>
      </c>
      <c r="H424" s="18">
        <v>3</v>
      </c>
      <c r="I424" s="18">
        <v>1</v>
      </c>
      <c r="J424" s="18">
        <v>0.4</v>
      </c>
    </row>
    <row r="425" spans="1:10" ht="12.5" x14ac:dyDescent="0.25">
      <c r="A425" s="16">
        <v>424</v>
      </c>
      <c r="B425" s="17">
        <v>40562</v>
      </c>
      <c r="C425" s="18">
        <v>1</v>
      </c>
      <c r="D425" s="18">
        <v>0</v>
      </c>
      <c r="E425" s="18">
        <v>1</v>
      </c>
      <c r="F425" s="18">
        <v>16</v>
      </c>
      <c r="G425" s="18" t="b">
        <v>0</v>
      </c>
      <c r="H425" s="18">
        <v>3</v>
      </c>
      <c r="I425" s="18">
        <v>1</v>
      </c>
      <c r="J425" s="18">
        <v>0.38</v>
      </c>
    </row>
    <row r="426" spans="1:10" ht="12.5" x14ac:dyDescent="0.25">
      <c r="A426" s="16">
        <v>425</v>
      </c>
      <c r="B426" s="17">
        <v>40562</v>
      </c>
      <c r="C426" s="18">
        <v>1</v>
      </c>
      <c r="D426" s="18">
        <v>0</v>
      </c>
      <c r="E426" s="18">
        <v>1</v>
      </c>
      <c r="F426" s="18">
        <v>17</v>
      </c>
      <c r="G426" s="18" t="b">
        <v>0</v>
      </c>
      <c r="H426" s="18">
        <v>3</v>
      </c>
      <c r="I426" s="18">
        <v>1</v>
      </c>
      <c r="J426" s="18">
        <v>0.36</v>
      </c>
    </row>
    <row r="427" spans="1:10" ht="12.5" x14ac:dyDescent="0.25">
      <c r="A427" s="16">
        <v>426</v>
      </c>
      <c r="B427" s="17">
        <v>40562</v>
      </c>
      <c r="C427" s="18">
        <v>1</v>
      </c>
      <c r="D427" s="18">
        <v>0</v>
      </c>
      <c r="E427" s="18">
        <v>1</v>
      </c>
      <c r="F427" s="18">
        <v>18</v>
      </c>
      <c r="G427" s="18" t="b">
        <v>0</v>
      </c>
      <c r="H427" s="18">
        <v>3</v>
      </c>
      <c r="I427" s="18">
        <v>1</v>
      </c>
      <c r="J427" s="18">
        <v>0.34</v>
      </c>
    </row>
    <row r="428" spans="1:10" ht="12.5" x14ac:dyDescent="0.25">
      <c r="A428" s="16">
        <v>427</v>
      </c>
      <c r="B428" s="17">
        <v>40562</v>
      </c>
      <c r="C428" s="18">
        <v>1</v>
      </c>
      <c r="D428" s="18">
        <v>0</v>
      </c>
      <c r="E428" s="18">
        <v>1</v>
      </c>
      <c r="F428" s="18">
        <v>19</v>
      </c>
      <c r="G428" s="18" t="b">
        <v>0</v>
      </c>
      <c r="H428" s="18">
        <v>3</v>
      </c>
      <c r="I428" s="18">
        <v>1</v>
      </c>
      <c r="J428" s="18">
        <v>0.32</v>
      </c>
    </row>
    <row r="429" spans="1:10" ht="12.5" x14ac:dyDescent="0.25">
      <c r="A429" s="16">
        <v>428</v>
      </c>
      <c r="B429" s="17">
        <v>40562</v>
      </c>
      <c r="C429" s="18">
        <v>1</v>
      </c>
      <c r="D429" s="18">
        <v>0</v>
      </c>
      <c r="E429" s="18">
        <v>1</v>
      </c>
      <c r="F429" s="18">
        <v>20</v>
      </c>
      <c r="G429" s="18" t="b">
        <v>0</v>
      </c>
      <c r="H429" s="18">
        <v>3</v>
      </c>
      <c r="I429" s="18">
        <v>1</v>
      </c>
      <c r="J429" s="18">
        <v>0.32</v>
      </c>
    </row>
    <row r="430" spans="1:10" ht="12.5" x14ac:dyDescent="0.25">
      <c r="A430" s="16">
        <v>429</v>
      </c>
      <c r="B430" s="17">
        <v>40562</v>
      </c>
      <c r="C430" s="18">
        <v>1</v>
      </c>
      <c r="D430" s="18">
        <v>0</v>
      </c>
      <c r="E430" s="18">
        <v>1</v>
      </c>
      <c r="F430" s="18">
        <v>21</v>
      </c>
      <c r="G430" s="18" t="b">
        <v>0</v>
      </c>
      <c r="H430" s="18">
        <v>3</v>
      </c>
      <c r="I430" s="18">
        <v>1</v>
      </c>
      <c r="J430" s="18">
        <v>0.32</v>
      </c>
    </row>
    <row r="431" spans="1:10" ht="12.5" x14ac:dyDescent="0.25">
      <c r="A431" s="16">
        <v>430</v>
      </c>
      <c r="B431" s="17">
        <v>40562</v>
      </c>
      <c r="C431" s="18">
        <v>1</v>
      </c>
      <c r="D431" s="18">
        <v>0</v>
      </c>
      <c r="E431" s="18">
        <v>1</v>
      </c>
      <c r="F431" s="18">
        <v>22</v>
      </c>
      <c r="G431" s="18" t="b">
        <v>0</v>
      </c>
      <c r="H431" s="18">
        <v>3</v>
      </c>
      <c r="I431" s="18">
        <v>1</v>
      </c>
      <c r="J431" s="18">
        <v>0.3</v>
      </c>
    </row>
    <row r="432" spans="1:10" ht="12.5" x14ac:dyDescent="0.25">
      <c r="A432" s="16">
        <v>431</v>
      </c>
      <c r="B432" s="17">
        <v>40562</v>
      </c>
      <c r="C432" s="18">
        <v>1</v>
      </c>
      <c r="D432" s="18">
        <v>0</v>
      </c>
      <c r="E432" s="18">
        <v>1</v>
      </c>
      <c r="F432" s="18">
        <v>23</v>
      </c>
      <c r="G432" s="18" t="b">
        <v>0</v>
      </c>
      <c r="H432" s="18">
        <v>3</v>
      </c>
      <c r="I432" s="18">
        <v>1</v>
      </c>
      <c r="J432" s="18">
        <v>0.3</v>
      </c>
    </row>
    <row r="433" spans="1:10" ht="12.5" x14ac:dyDescent="0.25">
      <c r="A433" s="16">
        <v>432</v>
      </c>
      <c r="B433" s="17">
        <v>40563</v>
      </c>
      <c r="C433" s="18">
        <v>1</v>
      </c>
      <c r="D433" s="18">
        <v>0</v>
      </c>
      <c r="E433" s="18">
        <v>1</v>
      </c>
      <c r="F433" s="18">
        <v>0</v>
      </c>
      <c r="G433" s="18" t="b">
        <v>0</v>
      </c>
      <c r="H433" s="18">
        <v>4</v>
      </c>
      <c r="I433" s="18">
        <v>1</v>
      </c>
      <c r="J433" s="18">
        <v>0.26</v>
      </c>
    </row>
    <row r="434" spans="1:10" ht="12.5" x14ac:dyDescent="0.25">
      <c r="A434" s="16">
        <v>433</v>
      </c>
      <c r="B434" s="17">
        <v>40563</v>
      </c>
      <c r="C434" s="18">
        <v>1</v>
      </c>
      <c r="D434" s="18">
        <v>0</v>
      </c>
      <c r="E434" s="18">
        <v>1</v>
      </c>
      <c r="F434" s="18">
        <v>1</v>
      </c>
      <c r="G434" s="18" t="b">
        <v>0</v>
      </c>
      <c r="H434" s="18">
        <v>4</v>
      </c>
      <c r="I434" s="18">
        <v>1</v>
      </c>
      <c r="J434" s="18">
        <v>0.26</v>
      </c>
    </row>
    <row r="435" spans="1:10" ht="12.5" x14ac:dyDescent="0.25">
      <c r="A435" s="16">
        <v>434</v>
      </c>
      <c r="B435" s="17">
        <v>40563</v>
      </c>
      <c r="C435" s="18">
        <v>1</v>
      </c>
      <c r="D435" s="18">
        <v>0</v>
      </c>
      <c r="E435" s="18">
        <v>1</v>
      </c>
      <c r="F435" s="18">
        <v>2</v>
      </c>
      <c r="G435" s="18" t="b">
        <v>0</v>
      </c>
      <c r="H435" s="18">
        <v>4</v>
      </c>
      <c r="I435" s="18">
        <v>1</v>
      </c>
      <c r="J435" s="18">
        <v>0.26</v>
      </c>
    </row>
    <row r="436" spans="1:10" ht="12.5" x14ac:dyDescent="0.25">
      <c r="A436" s="16">
        <v>435</v>
      </c>
      <c r="B436" s="17">
        <v>40563</v>
      </c>
      <c r="C436" s="18">
        <v>1</v>
      </c>
      <c r="D436" s="18">
        <v>0</v>
      </c>
      <c r="E436" s="18">
        <v>1</v>
      </c>
      <c r="F436" s="18">
        <v>3</v>
      </c>
      <c r="G436" s="18" t="b">
        <v>0</v>
      </c>
      <c r="H436" s="18">
        <v>4</v>
      </c>
      <c r="I436" s="18">
        <v>1</v>
      </c>
      <c r="J436" s="18">
        <v>0.26</v>
      </c>
    </row>
    <row r="437" spans="1:10" ht="12.5" x14ac:dyDescent="0.25">
      <c r="A437" s="16">
        <v>436</v>
      </c>
      <c r="B437" s="17">
        <v>40563</v>
      </c>
      <c r="C437" s="18">
        <v>1</v>
      </c>
      <c r="D437" s="18">
        <v>0</v>
      </c>
      <c r="E437" s="18">
        <v>1</v>
      </c>
      <c r="F437" s="18">
        <v>4</v>
      </c>
      <c r="G437" s="18" t="b">
        <v>0</v>
      </c>
      <c r="H437" s="18">
        <v>4</v>
      </c>
      <c r="I437" s="18">
        <v>1</v>
      </c>
      <c r="J437" s="18">
        <v>0.26</v>
      </c>
    </row>
    <row r="438" spans="1:10" ht="12.5" x14ac:dyDescent="0.25">
      <c r="A438" s="16">
        <v>437</v>
      </c>
      <c r="B438" s="17">
        <v>40563</v>
      </c>
      <c r="C438" s="18">
        <v>1</v>
      </c>
      <c r="D438" s="18">
        <v>0</v>
      </c>
      <c r="E438" s="18">
        <v>1</v>
      </c>
      <c r="F438" s="18">
        <v>5</v>
      </c>
      <c r="G438" s="18" t="b">
        <v>0</v>
      </c>
      <c r="H438" s="18">
        <v>4</v>
      </c>
      <c r="I438" s="18">
        <v>1</v>
      </c>
      <c r="J438" s="18">
        <v>0.24</v>
      </c>
    </row>
    <row r="439" spans="1:10" ht="12.5" x14ac:dyDescent="0.25">
      <c r="A439" s="16">
        <v>438</v>
      </c>
      <c r="B439" s="17">
        <v>40563</v>
      </c>
      <c r="C439" s="18">
        <v>1</v>
      </c>
      <c r="D439" s="18">
        <v>0</v>
      </c>
      <c r="E439" s="18">
        <v>1</v>
      </c>
      <c r="F439" s="18">
        <v>6</v>
      </c>
      <c r="G439" s="18" t="b">
        <v>0</v>
      </c>
      <c r="H439" s="18">
        <v>4</v>
      </c>
      <c r="I439" s="18">
        <v>1</v>
      </c>
      <c r="J439" s="18">
        <v>0.22</v>
      </c>
    </row>
    <row r="440" spans="1:10" ht="12.5" x14ac:dyDescent="0.25">
      <c r="A440" s="16">
        <v>439</v>
      </c>
      <c r="B440" s="17">
        <v>40563</v>
      </c>
      <c r="C440" s="18">
        <v>1</v>
      </c>
      <c r="D440" s="18">
        <v>0</v>
      </c>
      <c r="E440" s="18">
        <v>1</v>
      </c>
      <c r="F440" s="18">
        <v>7</v>
      </c>
      <c r="G440" s="18" t="b">
        <v>0</v>
      </c>
      <c r="H440" s="18">
        <v>4</v>
      </c>
      <c r="I440" s="18">
        <v>1</v>
      </c>
      <c r="J440" s="18">
        <v>0.22</v>
      </c>
    </row>
    <row r="441" spans="1:10" ht="12.5" x14ac:dyDescent="0.25">
      <c r="A441" s="16">
        <v>440</v>
      </c>
      <c r="B441" s="17">
        <v>40563</v>
      </c>
      <c r="C441" s="18">
        <v>1</v>
      </c>
      <c r="D441" s="18">
        <v>0</v>
      </c>
      <c r="E441" s="18">
        <v>1</v>
      </c>
      <c r="F441" s="18">
        <v>8</v>
      </c>
      <c r="G441" s="18" t="b">
        <v>0</v>
      </c>
      <c r="H441" s="18">
        <v>4</v>
      </c>
      <c r="I441" s="18">
        <v>1</v>
      </c>
      <c r="J441" s="18">
        <v>0.22</v>
      </c>
    </row>
    <row r="442" spans="1:10" ht="12.5" x14ac:dyDescent="0.25">
      <c r="A442" s="16">
        <v>441</v>
      </c>
      <c r="B442" s="17">
        <v>40563</v>
      </c>
      <c r="C442" s="18">
        <v>1</v>
      </c>
      <c r="D442" s="18">
        <v>0</v>
      </c>
      <c r="E442" s="18">
        <v>1</v>
      </c>
      <c r="F442" s="18">
        <v>9</v>
      </c>
      <c r="G442" s="18" t="b">
        <v>0</v>
      </c>
      <c r="H442" s="18">
        <v>4</v>
      </c>
      <c r="I442" s="18">
        <v>2</v>
      </c>
      <c r="J442" s="18">
        <v>0.24</v>
      </c>
    </row>
    <row r="443" spans="1:10" ht="12.5" x14ac:dyDescent="0.25">
      <c r="A443" s="16">
        <v>442</v>
      </c>
      <c r="B443" s="17">
        <v>40563</v>
      </c>
      <c r="C443" s="18">
        <v>1</v>
      </c>
      <c r="D443" s="18">
        <v>0</v>
      </c>
      <c r="E443" s="18">
        <v>1</v>
      </c>
      <c r="F443" s="18">
        <v>10</v>
      </c>
      <c r="G443" s="18" t="b">
        <v>0</v>
      </c>
      <c r="H443" s="18">
        <v>4</v>
      </c>
      <c r="I443" s="18">
        <v>1</v>
      </c>
      <c r="J443" s="18">
        <v>0.26</v>
      </c>
    </row>
    <row r="444" spans="1:10" ht="12.5" x14ac:dyDescent="0.25">
      <c r="A444" s="16">
        <v>443</v>
      </c>
      <c r="B444" s="17">
        <v>40563</v>
      </c>
      <c r="C444" s="18">
        <v>1</v>
      </c>
      <c r="D444" s="18">
        <v>0</v>
      </c>
      <c r="E444" s="18">
        <v>1</v>
      </c>
      <c r="F444" s="18">
        <v>11</v>
      </c>
      <c r="G444" s="18" t="b">
        <v>0</v>
      </c>
      <c r="H444" s="18">
        <v>4</v>
      </c>
      <c r="I444" s="18">
        <v>2</v>
      </c>
      <c r="J444" s="18">
        <v>0.28000000000000003</v>
      </c>
    </row>
    <row r="445" spans="1:10" ht="12.5" x14ac:dyDescent="0.25">
      <c r="A445" s="16">
        <v>444</v>
      </c>
      <c r="B445" s="17">
        <v>40563</v>
      </c>
      <c r="C445" s="18">
        <v>1</v>
      </c>
      <c r="D445" s="18">
        <v>0</v>
      </c>
      <c r="E445" s="18">
        <v>1</v>
      </c>
      <c r="F445" s="18">
        <v>12</v>
      </c>
      <c r="G445" s="18" t="b">
        <v>0</v>
      </c>
      <c r="H445" s="18">
        <v>4</v>
      </c>
      <c r="I445" s="18">
        <v>2</v>
      </c>
      <c r="J445" s="18">
        <v>0.3</v>
      </c>
    </row>
    <row r="446" spans="1:10" ht="12.5" x14ac:dyDescent="0.25">
      <c r="A446" s="16">
        <v>445</v>
      </c>
      <c r="B446" s="17">
        <v>40563</v>
      </c>
      <c r="C446" s="18">
        <v>1</v>
      </c>
      <c r="D446" s="18">
        <v>0</v>
      </c>
      <c r="E446" s="18">
        <v>1</v>
      </c>
      <c r="F446" s="18">
        <v>13</v>
      </c>
      <c r="G446" s="18" t="b">
        <v>0</v>
      </c>
      <c r="H446" s="18">
        <v>4</v>
      </c>
      <c r="I446" s="18">
        <v>2</v>
      </c>
      <c r="J446" s="18">
        <v>0.28000000000000003</v>
      </c>
    </row>
    <row r="447" spans="1:10" ht="12.5" x14ac:dyDescent="0.25">
      <c r="A447" s="16">
        <v>446</v>
      </c>
      <c r="B447" s="17">
        <v>40563</v>
      </c>
      <c r="C447" s="18">
        <v>1</v>
      </c>
      <c r="D447" s="18">
        <v>0</v>
      </c>
      <c r="E447" s="18">
        <v>1</v>
      </c>
      <c r="F447" s="18">
        <v>14</v>
      </c>
      <c r="G447" s="18" t="b">
        <v>0</v>
      </c>
      <c r="H447" s="18">
        <v>4</v>
      </c>
      <c r="I447" s="18">
        <v>2</v>
      </c>
      <c r="J447" s="18">
        <v>0.3</v>
      </c>
    </row>
    <row r="448" spans="1:10" ht="12.5" x14ac:dyDescent="0.25">
      <c r="A448" s="16">
        <v>447</v>
      </c>
      <c r="B448" s="17">
        <v>40563</v>
      </c>
      <c r="C448" s="18">
        <v>1</v>
      </c>
      <c r="D448" s="18">
        <v>0</v>
      </c>
      <c r="E448" s="18">
        <v>1</v>
      </c>
      <c r="F448" s="18">
        <v>15</v>
      </c>
      <c r="G448" s="18" t="b">
        <v>0</v>
      </c>
      <c r="H448" s="18">
        <v>4</v>
      </c>
      <c r="I448" s="18">
        <v>2</v>
      </c>
      <c r="J448" s="18">
        <v>0.32</v>
      </c>
    </row>
    <row r="449" spans="1:10" ht="12.5" x14ac:dyDescent="0.25">
      <c r="A449" s="16">
        <v>448</v>
      </c>
      <c r="B449" s="17">
        <v>40563</v>
      </c>
      <c r="C449" s="18">
        <v>1</v>
      </c>
      <c r="D449" s="18">
        <v>0</v>
      </c>
      <c r="E449" s="18">
        <v>1</v>
      </c>
      <c r="F449" s="18">
        <v>16</v>
      </c>
      <c r="G449" s="18" t="b">
        <v>0</v>
      </c>
      <c r="H449" s="18">
        <v>4</v>
      </c>
      <c r="I449" s="18">
        <v>2</v>
      </c>
      <c r="J449" s="18">
        <v>0.3</v>
      </c>
    </row>
    <row r="450" spans="1:10" ht="12.5" x14ac:dyDescent="0.25">
      <c r="A450" s="16">
        <v>449</v>
      </c>
      <c r="B450" s="17">
        <v>40563</v>
      </c>
      <c r="C450" s="18">
        <v>1</v>
      </c>
      <c r="D450" s="18">
        <v>0</v>
      </c>
      <c r="E450" s="18">
        <v>1</v>
      </c>
      <c r="F450" s="18">
        <v>17</v>
      </c>
      <c r="G450" s="18" t="b">
        <v>0</v>
      </c>
      <c r="H450" s="18">
        <v>4</v>
      </c>
      <c r="I450" s="18">
        <v>2</v>
      </c>
      <c r="J450" s="18">
        <v>0.3</v>
      </c>
    </row>
    <row r="451" spans="1:10" ht="12.5" x14ac:dyDescent="0.25">
      <c r="A451" s="16">
        <v>450</v>
      </c>
      <c r="B451" s="17">
        <v>40563</v>
      </c>
      <c r="C451" s="18">
        <v>1</v>
      </c>
      <c r="D451" s="18">
        <v>0</v>
      </c>
      <c r="E451" s="18">
        <v>1</v>
      </c>
      <c r="F451" s="18">
        <v>18</v>
      </c>
      <c r="G451" s="18" t="b">
        <v>0</v>
      </c>
      <c r="H451" s="18">
        <v>4</v>
      </c>
      <c r="I451" s="18">
        <v>2</v>
      </c>
      <c r="J451" s="18">
        <v>0.26</v>
      </c>
    </row>
    <row r="452" spans="1:10" ht="12.5" x14ac:dyDescent="0.25">
      <c r="A452" s="16">
        <v>451</v>
      </c>
      <c r="B452" s="17">
        <v>40563</v>
      </c>
      <c r="C452" s="18">
        <v>1</v>
      </c>
      <c r="D452" s="18">
        <v>0</v>
      </c>
      <c r="E452" s="18">
        <v>1</v>
      </c>
      <c r="F452" s="18">
        <v>19</v>
      </c>
      <c r="G452" s="18" t="b">
        <v>0</v>
      </c>
      <c r="H452" s="18">
        <v>4</v>
      </c>
      <c r="I452" s="18">
        <v>1</v>
      </c>
      <c r="J452" s="18">
        <v>0.26</v>
      </c>
    </row>
    <row r="453" spans="1:10" ht="12.5" x14ac:dyDescent="0.25">
      <c r="A453" s="16">
        <v>452</v>
      </c>
      <c r="B453" s="17">
        <v>40563</v>
      </c>
      <c r="C453" s="18">
        <v>1</v>
      </c>
      <c r="D453" s="18">
        <v>0</v>
      </c>
      <c r="E453" s="18">
        <v>1</v>
      </c>
      <c r="F453" s="18">
        <v>20</v>
      </c>
      <c r="G453" s="18" t="b">
        <v>0</v>
      </c>
      <c r="H453" s="18">
        <v>4</v>
      </c>
      <c r="I453" s="18">
        <v>2</v>
      </c>
      <c r="J453" s="18">
        <v>0.26</v>
      </c>
    </row>
    <row r="454" spans="1:10" ht="12.5" x14ac:dyDescent="0.25">
      <c r="A454" s="16">
        <v>453</v>
      </c>
      <c r="B454" s="17">
        <v>40563</v>
      </c>
      <c r="C454" s="18">
        <v>1</v>
      </c>
      <c r="D454" s="18">
        <v>0</v>
      </c>
      <c r="E454" s="18">
        <v>1</v>
      </c>
      <c r="F454" s="18">
        <v>21</v>
      </c>
      <c r="G454" s="18" t="b">
        <v>0</v>
      </c>
      <c r="H454" s="18">
        <v>4</v>
      </c>
      <c r="I454" s="18">
        <v>2</v>
      </c>
      <c r="J454" s="18">
        <v>0.24</v>
      </c>
    </row>
    <row r="455" spans="1:10" ht="12.5" x14ac:dyDescent="0.25">
      <c r="A455" s="16">
        <v>454</v>
      </c>
      <c r="B455" s="17">
        <v>40563</v>
      </c>
      <c r="C455" s="18">
        <v>1</v>
      </c>
      <c r="D455" s="18">
        <v>0</v>
      </c>
      <c r="E455" s="18">
        <v>1</v>
      </c>
      <c r="F455" s="18">
        <v>22</v>
      </c>
      <c r="G455" s="18" t="b">
        <v>0</v>
      </c>
      <c r="H455" s="18">
        <v>4</v>
      </c>
      <c r="I455" s="18">
        <v>2</v>
      </c>
      <c r="J455" s="18">
        <v>0.24</v>
      </c>
    </row>
    <row r="456" spans="1:10" ht="12.5" x14ac:dyDescent="0.25">
      <c r="A456" s="16">
        <v>455</v>
      </c>
      <c r="B456" s="17">
        <v>40563</v>
      </c>
      <c r="C456" s="18">
        <v>1</v>
      </c>
      <c r="D456" s="18">
        <v>0</v>
      </c>
      <c r="E456" s="18">
        <v>1</v>
      </c>
      <c r="F456" s="18">
        <v>23</v>
      </c>
      <c r="G456" s="18" t="b">
        <v>0</v>
      </c>
      <c r="H456" s="18">
        <v>4</v>
      </c>
      <c r="I456" s="18">
        <v>2</v>
      </c>
      <c r="J456" s="18">
        <v>0.24</v>
      </c>
    </row>
    <row r="457" spans="1:10" ht="12.5" x14ac:dyDescent="0.25">
      <c r="A457" s="16">
        <v>456</v>
      </c>
      <c r="B457" s="17">
        <v>40564</v>
      </c>
      <c r="C457" s="18">
        <v>1</v>
      </c>
      <c r="D457" s="18">
        <v>0</v>
      </c>
      <c r="E457" s="18">
        <v>1</v>
      </c>
      <c r="F457" s="18">
        <v>0</v>
      </c>
      <c r="G457" s="18" t="b">
        <v>0</v>
      </c>
      <c r="H457" s="18">
        <v>5</v>
      </c>
      <c r="I457" s="18">
        <v>2</v>
      </c>
      <c r="J457" s="18">
        <v>0.24</v>
      </c>
    </row>
    <row r="458" spans="1:10" ht="12.5" x14ac:dyDescent="0.25">
      <c r="A458" s="16">
        <v>457</v>
      </c>
      <c r="B458" s="17">
        <v>40564</v>
      </c>
      <c r="C458" s="18">
        <v>1</v>
      </c>
      <c r="D458" s="18">
        <v>0</v>
      </c>
      <c r="E458" s="18">
        <v>1</v>
      </c>
      <c r="F458" s="18">
        <v>1</v>
      </c>
      <c r="G458" s="18" t="b">
        <v>0</v>
      </c>
      <c r="H458" s="18">
        <v>5</v>
      </c>
      <c r="I458" s="18">
        <v>2</v>
      </c>
      <c r="J458" s="18">
        <v>0.24</v>
      </c>
    </row>
    <row r="459" spans="1:10" ht="12.5" x14ac:dyDescent="0.25">
      <c r="A459" s="16">
        <v>458</v>
      </c>
      <c r="B459" s="17">
        <v>40564</v>
      </c>
      <c r="C459" s="18">
        <v>1</v>
      </c>
      <c r="D459" s="18">
        <v>0</v>
      </c>
      <c r="E459" s="18">
        <v>1</v>
      </c>
      <c r="F459" s="18">
        <v>2</v>
      </c>
      <c r="G459" s="18" t="b">
        <v>0</v>
      </c>
      <c r="H459" s="18">
        <v>5</v>
      </c>
      <c r="I459" s="18">
        <v>3</v>
      </c>
      <c r="J459" s="18">
        <v>0.24</v>
      </c>
    </row>
    <row r="460" spans="1:10" ht="12.5" x14ac:dyDescent="0.25">
      <c r="A460" s="16">
        <v>459</v>
      </c>
      <c r="B460" s="17">
        <v>40564</v>
      </c>
      <c r="C460" s="18">
        <v>1</v>
      </c>
      <c r="D460" s="18">
        <v>0</v>
      </c>
      <c r="E460" s="18">
        <v>1</v>
      </c>
      <c r="F460" s="18">
        <v>3</v>
      </c>
      <c r="G460" s="18" t="b">
        <v>0</v>
      </c>
      <c r="H460" s="18">
        <v>5</v>
      </c>
      <c r="I460" s="18">
        <v>3</v>
      </c>
      <c r="J460" s="18">
        <v>0.22</v>
      </c>
    </row>
    <row r="461" spans="1:10" ht="12.5" x14ac:dyDescent="0.25">
      <c r="A461" s="16">
        <v>460</v>
      </c>
      <c r="B461" s="17">
        <v>40564</v>
      </c>
      <c r="C461" s="18">
        <v>1</v>
      </c>
      <c r="D461" s="18">
        <v>0</v>
      </c>
      <c r="E461" s="18">
        <v>1</v>
      </c>
      <c r="F461" s="18">
        <v>4</v>
      </c>
      <c r="G461" s="18" t="b">
        <v>0</v>
      </c>
      <c r="H461" s="18">
        <v>5</v>
      </c>
      <c r="I461" s="18">
        <v>2</v>
      </c>
      <c r="J461" s="18">
        <v>0.22</v>
      </c>
    </row>
    <row r="462" spans="1:10" ht="12.5" x14ac:dyDescent="0.25">
      <c r="A462" s="16">
        <v>461</v>
      </c>
      <c r="B462" s="17">
        <v>40564</v>
      </c>
      <c r="C462" s="18">
        <v>1</v>
      </c>
      <c r="D462" s="18">
        <v>0</v>
      </c>
      <c r="E462" s="18">
        <v>1</v>
      </c>
      <c r="F462" s="18">
        <v>5</v>
      </c>
      <c r="G462" s="18" t="b">
        <v>0</v>
      </c>
      <c r="H462" s="18">
        <v>5</v>
      </c>
      <c r="I462" s="18">
        <v>1</v>
      </c>
      <c r="J462" s="18">
        <v>0.24</v>
      </c>
    </row>
    <row r="463" spans="1:10" ht="12.5" x14ac:dyDescent="0.25">
      <c r="A463" s="16">
        <v>462</v>
      </c>
      <c r="B463" s="17">
        <v>40564</v>
      </c>
      <c r="C463" s="18">
        <v>1</v>
      </c>
      <c r="D463" s="18">
        <v>0</v>
      </c>
      <c r="E463" s="18">
        <v>1</v>
      </c>
      <c r="F463" s="18">
        <v>6</v>
      </c>
      <c r="G463" s="18" t="b">
        <v>0</v>
      </c>
      <c r="H463" s="18">
        <v>5</v>
      </c>
      <c r="I463" s="18">
        <v>1</v>
      </c>
      <c r="J463" s="18">
        <v>0.22</v>
      </c>
    </row>
    <row r="464" spans="1:10" ht="12.5" x14ac:dyDescent="0.25">
      <c r="A464" s="16">
        <v>463</v>
      </c>
      <c r="B464" s="17">
        <v>40564</v>
      </c>
      <c r="C464" s="18">
        <v>1</v>
      </c>
      <c r="D464" s="18">
        <v>0</v>
      </c>
      <c r="E464" s="18">
        <v>1</v>
      </c>
      <c r="F464" s="18">
        <v>7</v>
      </c>
      <c r="G464" s="18" t="b">
        <v>0</v>
      </c>
      <c r="H464" s="18">
        <v>5</v>
      </c>
      <c r="I464" s="18">
        <v>1</v>
      </c>
      <c r="J464" s="18">
        <v>0.2</v>
      </c>
    </row>
    <row r="465" spans="1:10" ht="12.5" x14ac:dyDescent="0.25">
      <c r="A465" s="16">
        <v>464</v>
      </c>
      <c r="B465" s="17">
        <v>40564</v>
      </c>
      <c r="C465" s="18">
        <v>1</v>
      </c>
      <c r="D465" s="18">
        <v>0</v>
      </c>
      <c r="E465" s="18">
        <v>1</v>
      </c>
      <c r="F465" s="18">
        <v>8</v>
      </c>
      <c r="G465" s="18" t="b">
        <v>0</v>
      </c>
      <c r="H465" s="18">
        <v>5</v>
      </c>
      <c r="I465" s="18">
        <v>1</v>
      </c>
      <c r="J465" s="18">
        <v>0.2</v>
      </c>
    </row>
    <row r="466" spans="1:10" ht="12.5" x14ac:dyDescent="0.25">
      <c r="A466" s="16">
        <v>465</v>
      </c>
      <c r="B466" s="17">
        <v>40564</v>
      </c>
      <c r="C466" s="18">
        <v>1</v>
      </c>
      <c r="D466" s="18">
        <v>0</v>
      </c>
      <c r="E466" s="18">
        <v>1</v>
      </c>
      <c r="F466" s="18">
        <v>9</v>
      </c>
      <c r="G466" s="18" t="b">
        <v>0</v>
      </c>
      <c r="H466" s="18">
        <v>5</v>
      </c>
      <c r="I466" s="18">
        <v>1</v>
      </c>
      <c r="J466" s="18">
        <v>0.2</v>
      </c>
    </row>
    <row r="467" spans="1:10" ht="12.5" x14ac:dyDescent="0.25">
      <c r="A467" s="16">
        <v>466</v>
      </c>
      <c r="B467" s="17">
        <v>40564</v>
      </c>
      <c r="C467" s="18">
        <v>1</v>
      </c>
      <c r="D467" s="18">
        <v>0</v>
      </c>
      <c r="E467" s="18">
        <v>1</v>
      </c>
      <c r="F467" s="18">
        <v>10</v>
      </c>
      <c r="G467" s="18" t="b">
        <v>0</v>
      </c>
      <c r="H467" s="18">
        <v>5</v>
      </c>
      <c r="I467" s="18">
        <v>1</v>
      </c>
      <c r="J467" s="18">
        <v>0.2</v>
      </c>
    </row>
    <row r="468" spans="1:10" ht="12.5" x14ac:dyDescent="0.25">
      <c r="A468" s="16">
        <v>467</v>
      </c>
      <c r="B468" s="17">
        <v>40564</v>
      </c>
      <c r="C468" s="18">
        <v>1</v>
      </c>
      <c r="D468" s="18">
        <v>0</v>
      </c>
      <c r="E468" s="18">
        <v>1</v>
      </c>
      <c r="F468" s="18">
        <v>11</v>
      </c>
      <c r="G468" s="18" t="b">
        <v>0</v>
      </c>
      <c r="H468" s="18">
        <v>5</v>
      </c>
      <c r="I468" s="18">
        <v>1</v>
      </c>
      <c r="J468" s="18">
        <v>0.22</v>
      </c>
    </row>
    <row r="469" spans="1:10" ht="12.5" x14ac:dyDescent="0.25">
      <c r="A469" s="16">
        <v>468</v>
      </c>
      <c r="B469" s="17">
        <v>40564</v>
      </c>
      <c r="C469" s="18">
        <v>1</v>
      </c>
      <c r="D469" s="18">
        <v>0</v>
      </c>
      <c r="E469" s="18">
        <v>1</v>
      </c>
      <c r="F469" s="18">
        <v>12</v>
      </c>
      <c r="G469" s="18" t="b">
        <v>0</v>
      </c>
      <c r="H469" s="18">
        <v>5</v>
      </c>
      <c r="I469" s="18">
        <v>1</v>
      </c>
      <c r="J469" s="18">
        <v>0.22</v>
      </c>
    </row>
    <row r="470" spans="1:10" ht="12.5" x14ac:dyDescent="0.25">
      <c r="A470" s="16">
        <v>469</v>
      </c>
      <c r="B470" s="17">
        <v>40564</v>
      </c>
      <c r="C470" s="18">
        <v>1</v>
      </c>
      <c r="D470" s="18">
        <v>0</v>
      </c>
      <c r="E470" s="18">
        <v>1</v>
      </c>
      <c r="F470" s="18">
        <v>13</v>
      </c>
      <c r="G470" s="18" t="b">
        <v>0</v>
      </c>
      <c r="H470" s="18">
        <v>5</v>
      </c>
      <c r="I470" s="18">
        <v>1</v>
      </c>
      <c r="J470" s="18">
        <v>0.2</v>
      </c>
    </row>
    <row r="471" spans="1:10" ht="12.5" x14ac:dyDescent="0.25">
      <c r="A471" s="16">
        <v>470</v>
      </c>
      <c r="B471" s="17">
        <v>40564</v>
      </c>
      <c r="C471" s="18">
        <v>1</v>
      </c>
      <c r="D471" s="18">
        <v>0</v>
      </c>
      <c r="E471" s="18">
        <v>1</v>
      </c>
      <c r="F471" s="18">
        <v>14</v>
      </c>
      <c r="G471" s="18" t="b">
        <v>0</v>
      </c>
      <c r="H471" s="18">
        <v>5</v>
      </c>
      <c r="I471" s="18">
        <v>1</v>
      </c>
      <c r="J471" s="18">
        <v>0.2</v>
      </c>
    </row>
    <row r="472" spans="1:10" ht="12.5" x14ac:dyDescent="0.25">
      <c r="A472" s="16">
        <v>471</v>
      </c>
      <c r="B472" s="17">
        <v>40564</v>
      </c>
      <c r="C472" s="18">
        <v>1</v>
      </c>
      <c r="D472" s="18">
        <v>0</v>
      </c>
      <c r="E472" s="18">
        <v>1</v>
      </c>
      <c r="F472" s="18">
        <v>15</v>
      </c>
      <c r="G472" s="18" t="b">
        <v>0</v>
      </c>
      <c r="H472" s="18">
        <v>5</v>
      </c>
      <c r="I472" s="18">
        <v>1</v>
      </c>
      <c r="J472" s="18">
        <v>0.16</v>
      </c>
    </row>
    <row r="473" spans="1:10" ht="12.5" x14ac:dyDescent="0.25">
      <c r="A473" s="16">
        <v>472</v>
      </c>
      <c r="B473" s="17">
        <v>40564</v>
      </c>
      <c r="C473" s="18">
        <v>1</v>
      </c>
      <c r="D473" s="18">
        <v>0</v>
      </c>
      <c r="E473" s="18">
        <v>1</v>
      </c>
      <c r="F473" s="18">
        <v>16</v>
      </c>
      <c r="G473" s="18" t="b">
        <v>0</v>
      </c>
      <c r="H473" s="18">
        <v>5</v>
      </c>
      <c r="I473" s="18">
        <v>1</v>
      </c>
      <c r="J473" s="18">
        <v>0.16</v>
      </c>
    </row>
    <row r="474" spans="1:10" ht="12.5" x14ac:dyDescent="0.25">
      <c r="A474" s="16">
        <v>473</v>
      </c>
      <c r="B474" s="17">
        <v>40564</v>
      </c>
      <c r="C474" s="18">
        <v>1</v>
      </c>
      <c r="D474" s="18">
        <v>0</v>
      </c>
      <c r="E474" s="18">
        <v>1</v>
      </c>
      <c r="F474" s="18">
        <v>17</v>
      </c>
      <c r="G474" s="18" t="b">
        <v>0</v>
      </c>
      <c r="H474" s="18">
        <v>5</v>
      </c>
      <c r="I474" s="18">
        <v>1</v>
      </c>
      <c r="J474" s="18">
        <v>0.14000000000000001</v>
      </c>
    </row>
    <row r="475" spans="1:10" ht="12.5" x14ac:dyDescent="0.25">
      <c r="A475" s="16">
        <v>474</v>
      </c>
      <c r="B475" s="17">
        <v>40564</v>
      </c>
      <c r="C475" s="18">
        <v>1</v>
      </c>
      <c r="D475" s="18">
        <v>0</v>
      </c>
      <c r="E475" s="18">
        <v>1</v>
      </c>
      <c r="F475" s="18">
        <v>18</v>
      </c>
      <c r="G475" s="18" t="b">
        <v>0</v>
      </c>
      <c r="H475" s="18">
        <v>5</v>
      </c>
      <c r="I475" s="18">
        <v>1</v>
      </c>
      <c r="J475" s="18">
        <v>0.12</v>
      </c>
    </row>
    <row r="476" spans="1:10" ht="12.5" x14ac:dyDescent="0.25">
      <c r="A476" s="16">
        <v>475</v>
      </c>
      <c r="B476" s="17">
        <v>40564</v>
      </c>
      <c r="C476" s="18">
        <v>1</v>
      </c>
      <c r="D476" s="18">
        <v>0</v>
      </c>
      <c r="E476" s="18">
        <v>1</v>
      </c>
      <c r="F476" s="18">
        <v>19</v>
      </c>
      <c r="G476" s="18" t="b">
        <v>0</v>
      </c>
      <c r="H476" s="18">
        <v>5</v>
      </c>
      <c r="I476" s="18">
        <v>1</v>
      </c>
      <c r="J476" s="18">
        <v>0.12</v>
      </c>
    </row>
    <row r="477" spans="1:10" ht="12.5" x14ac:dyDescent="0.25">
      <c r="A477" s="16">
        <v>476</v>
      </c>
      <c r="B477" s="17">
        <v>40564</v>
      </c>
      <c r="C477" s="18">
        <v>1</v>
      </c>
      <c r="D477" s="18">
        <v>0</v>
      </c>
      <c r="E477" s="18">
        <v>1</v>
      </c>
      <c r="F477" s="18">
        <v>20</v>
      </c>
      <c r="G477" s="18" t="b">
        <v>0</v>
      </c>
      <c r="H477" s="18">
        <v>5</v>
      </c>
      <c r="I477" s="18">
        <v>1</v>
      </c>
      <c r="J477" s="18">
        <v>0.1</v>
      </c>
    </row>
    <row r="478" spans="1:10" ht="12.5" x14ac:dyDescent="0.25">
      <c r="A478" s="16">
        <v>477</v>
      </c>
      <c r="B478" s="17">
        <v>40564</v>
      </c>
      <c r="C478" s="18">
        <v>1</v>
      </c>
      <c r="D478" s="18">
        <v>0</v>
      </c>
      <c r="E478" s="18">
        <v>1</v>
      </c>
      <c r="F478" s="18">
        <v>21</v>
      </c>
      <c r="G478" s="18" t="b">
        <v>0</v>
      </c>
      <c r="H478" s="18">
        <v>5</v>
      </c>
      <c r="I478" s="18">
        <v>1</v>
      </c>
      <c r="J478" s="18">
        <v>0.08</v>
      </c>
    </row>
    <row r="479" spans="1:10" ht="12.5" x14ac:dyDescent="0.25">
      <c r="A479" s="16">
        <v>478</v>
      </c>
      <c r="B479" s="17">
        <v>40564</v>
      </c>
      <c r="C479" s="18">
        <v>1</v>
      </c>
      <c r="D479" s="18">
        <v>0</v>
      </c>
      <c r="E479" s="18">
        <v>1</v>
      </c>
      <c r="F479" s="18">
        <v>22</v>
      </c>
      <c r="G479" s="18" t="b">
        <v>0</v>
      </c>
      <c r="H479" s="18">
        <v>5</v>
      </c>
      <c r="I479" s="18">
        <v>1</v>
      </c>
      <c r="J479" s="18">
        <v>0.06</v>
      </c>
    </row>
    <row r="480" spans="1:10" ht="12.5" x14ac:dyDescent="0.25">
      <c r="A480" s="16">
        <v>479</v>
      </c>
      <c r="B480" s="17">
        <v>40564</v>
      </c>
      <c r="C480" s="18">
        <v>1</v>
      </c>
      <c r="D480" s="18">
        <v>0</v>
      </c>
      <c r="E480" s="18">
        <v>1</v>
      </c>
      <c r="F480" s="18">
        <v>23</v>
      </c>
      <c r="G480" s="18" t="b">
        <v>0</v>
      </c>
      <c r="H480" s="18">
        <v>5</v>
      </c>
      <c r="I480" s="18">
        <v>1</v>
      </c>
      <c r="J480" s="18">
        <v>0.06</v>
      </c>
    </row>
    <row r="481" spans="1:10" ht="12.5" x14ac:dyDescent="0.25">
      <c r="A481" s="16">
        <v>480</v>
      </c>
      <c r="B481" s="17">
        <v>40565</v>
      </c>
      <c r="C481" s="18">
        <v>1</v>
      </c>
      <c r="D481" s="18">
        <v>0</v>
      </c>
      <c r="E481" s="18">
        <v>1</v>
      </c>
      <c r="F481" s="18">
        <v>0</v>
      </c>
      <c r="G481" s="18" t="b">
        <v>0</v>
      </c>
      <c r="H481" s="18">
        <v>6</v>
      </c>
      <c r="I481" s="18">
        <v>1</v>
      </c>
      <c r="J481" s="18">
        <v>0.04</v>
      </c>
    </row>
    <row r="482" spans="1:10" ht="12.5" x14ac:dyDescent="0.25">
      <c r="A482" s="16">
        <v>481</v>
      </c>
      <c r="B482" s="17">
        <v>40565</v>
      </c>
      <c r="C482" s="18">
        <v>1</v>
      </c>
      <c r="D482" s="18">
        <v>0</v>
      </c>
      <c r="E482" s="18">
        <v>1</v>
      </c>
      <c r="F482" s="18">
        <v>1</v>
      </c>
      <c r="G482" s="18" t="b">
        <v>0</v>
      </c>
      <c r="H482" s="18">
        <v>6</v>
      </c>
      <c r="I482" s="18">
        <v>2</v>
      </c>
      <c r="J482" s="18">
        <v>0.04</v>
      </c>
    </row>
    <row r="483" spans="1:10" ht="12.5" x14ac:dyDescent="0.25">
      <c r="A483" s="16">
        <v>482</v>
      </c>
      <c r="B483" s="17">
        <v>40565</v>
      </c>
      <c r="C483" s="18">
        <v>1</v>
      </c>
      <c r="D483" s="18">
        <v>0</v>
      </c>
      <c r="E483" s="18">
        <v>1</v>
      </c>
      <c r="F483" s="18">
        <v>2</v>
      </c>
      <c r="G483" s="18" t="b">
        <v>0</v>
      </c>
      <c r="H483" s="18">
        <v>6</v>
      </c>
      <c r="I483" s="18">
        <v>2</v>
      </c>
      <c r="J483" s="18">
        <v>0.04</v>
      </c>
    </row>
    <row r="484" spans="1:10" ht="12.5" x14ac:dyDescent="0.25">
      <c r="A484" s="16">
        <v>483</v>
      </c>
      <c r="B484" s="17">
        <v>40565</v>
      </c>
      <c r="C484" s="18">
        <v>1</v>
      </c>
      <c r="D484" s="18">
        <v>0</v>
      </c>
      <c r="E484" s="18">
        <v>1</v>
      </c>
      <c r="F484" s="18">
        <v>3</v>
      </c>
      <c r="G484" s="18" t="b">
        <v>0</v>
      </c>
      <c r="H484" s="18">
        <v>6</v>
      </c>
      <c r="I484" s="18">
        <v>2</v>
      </c>
      <c r="J484" s="18">
        <v>0.04</v>
      </c>
    </row>
    <row r="485" spans="1:10" ht="12.5" x14ac:dyDescent="0.25">
      <c r="A485" s="16">
        <v>484</v>
      </c>
      <c r="B485" s="17">
        <v>40565</v>
      </c>
      <c r="C485" s="18">
        <v>1</v>
      </c>
      <c r="D485" s="18">
        <v>0</v>
      </c>
      <c r="E485" s="18">
        <v>1</v>
      </c>
      <c r="F485" s="18">
        <v>4</v>
      </c>
      <c r="G485" s="18" t="b">
        <v>0</v>
      </c>
      <c r="H485" s="18">
        <v>6</v>
      </c>
      <c r="I485" s="18">
        <v>2</v>
      </c>
      <c r="J485" s="18">
        <v>0.02</v>
      </c>
    </row>
    <row r="486" spans="1:10" ht="12.5" x14ac:dyDescent="0.25">
      <c r="A486" s="16">
        <v>485</v>
      </c>
      <c r="B486" s="17">
        <v>40565</v>
      </c>
      <c r="C486" s="18">
        <v>1</v>
      </c>
      <c r="D486" s="18">
        <v>0</v>
      </c>
      <c r="E486" s="18">
        <v>1</v>
      </c>
      <c r="F486" s="18">
        <v>6</v>
      </c>
      <c r="G486" s="18" t="b">
        <v>0</v>
      </c>
      <c r="H486" s="18">
        <v>6</v>
      </c>
      <c r="I486" s="18">
        <v>2</v>
      </c>
      <c r="J486" s="18">
        <v>0.02</v>
      </c>
    </row>
    <row r="487" spans="1:10" ht="12.5" x14ac:dyDescent="0.25">
      <c r="A487" s="16">
        <v>486</v>
      </c>
      <c r="B487" s="17">
        <v>40565</v>
      </c>
      <c r="C487" s="18">
        <v>1</v>
      </c>
      <c r="D487" s="18">
        <v>0</v>
      </c>
      <c r="E487" s="18">
        <v>1</v>
      </c>
      <c r="F487" s="18">
        <v>7</v>
      </c>
      <c r="G487" s="18" t="b">
        <v>0</v>
      </c>
      <c r="H487" s="18">
        <v>6</v>
      </c>
      <c r="I487" s="18">
        <v>1</v>
      </c>
      <c r="J487" s="18">
        <v>0.02</v>
      </c>
    </row>
    <row r="488" spans="1:10" ht="12.5" x14ac:dyDescent="0.25">
      <c r="A488" s="16">
        <v>487</v>
      </c>
      <c r="B488" s="17">
        <v>40565</v>
      </c>
      <c r="C488" s="18">
        <v>1</v>
      </c>
      <c r="D488" s="18">
        <v>0</v>
      </c>
      <c r="E488" s="18">
        <v>1</v>
      </c>
      <c r="F488" s="18">
        <v>8</v>
      </c>
      <c r="G488" s="18" t="b">
        <v>0</v>
      </c>
      <c r="H488" s="18">
        <v>6</v>
      </c>
      <c r="I488" s="18">
        <v>1</v>
      </c>
      <c r="J488" s="18">
        <v>0.02</v>
      </c>
    </row>
    <row r="489" spans="1:10" ht="12.5" x14ac:dyDescent="0.25">
      <c r="A489" s="16">
        <v>488</v>
      </c>
      <c r="B489" s="17">
        <v>40565</v>
      </c>
      <c r="C489" s="18">
        <v>1</v>
      </c>
      <c r="D489" s="18">
        <v>0</v>
      </c>
      <c r="E489" s="18">
        <v>1</v>
      </c>
      <c r="F489" s="18">
        <v>9</v>
      </c>
      <c r="G489" s="18" t="b">
        <v>0</v>
      </c>
      <c r="H489" s="18">
        <v>6</v>
      </c>
      <c r="I489" s="18">
        <v>1</v>
      </c>
      <c r="J489" s="18">
        <v>0.04</v>
      </c>
    </row>
    <row r="490" spans="1:10" ht="12.5" x14ac:dyDescent="0.25">
      <c r="A490" s="16">
        <v>489</v>
      </c>
      <c r="B490" s="17">
        <v>40565</v>
      </c>
      <c r="C490" s="18">
        <v>1</v>
      </c>
      <c r="D490" s="18">
        <v>0</v>
      </c>
      <c r="E490" s="18">
        <v>1</v>
      </c>
      <c r="F490" s="18">
        <v>10</v>
      </c>
      <c r="G490" s="18" t="b">
        <v>0</v>
      </c>
      <c r="H490" s="18">
        <v>6</v>
      </c>
      <c r="I490" s="18">
        <v>2</v>
      </c>
      <c r="J490" s="18">
        <v>0.04</v>
      </c>
    </row>
    <row r="491" spans="1:10" ht="12.5" x14ac:dyDescent="0.25">
      <c r="A491" s="16">
        <v>490</v>
      </c>
      <c r="B491" s="17">
        <v>40565</v>
      </c>
      <c r="C491" s="18">
        <v>1</v>
      </c>
      <c r="D491" s="18">
        <v>0</v>
      </c>
      <c r="E491" s="18">
        <v>1</v>
      </c>
      <c r="F491" s="18">
        <v>11</v>
      </c>
      <c r="G491" s="18" t="b">
        <v>0</v>
      </c>
      <c r="H491" s="18">
        <v>6</v>
      </c>
      <c r="I491" s="18">
        <v>2</v>
      </c>
      <c r="J491" s="18">
        <v>0.06</v>
      </c>
    </row>
    <row r="492" spans="1:10" ht="12.5" x14ac:dyDescent="0.25">
      <c r="A492" s="16">
        <v>491</v>
      </c>
      <c r="B492" s="17">
        <v>40565</v>
      </c>
      <c r="C492" s="18">
        <v>1</v>
      </c>
      <c r="D492" s="18">
        <v>0</v>
      </c>
      <c r="E492" s="18">
        <v>1</v>
      </c>
      <c r="F492" s="18">
        <v>12</v>
      </c>
      <c r="G492" s="18" t="b">
        <v>0</v>
      </c>
      <c r="H492" s="18">
        <v>6</v>
      </c>
      <c r="I492" s="18">
        <v>2</v>
      </c>
      <c r="J492" s="18">
        <v>0.06</v>
      </c>
    </row>
    <row r="493" spans="1:10" ht="12.5" x14ac:dyDescent="0.25">
      <c r="A493" s="16">
        <v>492</v>
      </c>
      <c r="B493" s="17">
        <v>40565</v>
      </c>
      <c r="C493" s="18">
        <v>1</v>
      </c>
      <c r="D493" s="18">
        <v>0</v>
      </c>
      <c r="E493" s="18">
        <v>1</v>
      </c>
      <c r="F493" s="18">
        <v>13</v>
      </c>
      <c r="G493" s="18" t="b">
        <v>0</v>
      </c>
      <c r="H493" s="18">
        <v>6</v>
      </c>
      <c r="I493" s="18">
        <v>1</v>
      </c>
      <c r="J493" s="18">
        <v>0.08</v>
      </c>
    </row>
    <row r="494" spans="1:10" ht="12.5" x14ac:dyDescent="0.25">
      <c r="A494" s="16">
        <v>493</v>
      </c>
      <c r="B494" s="17">
        <v>40565</v>
      </c>
      <c r="C494" s="18">
        <v>1</v>
      </c>
      <c r="D494" s="18">
        <v>0</v>
      </c>
      <c r="E494" s="18">
        <v>1</v>
      </c>
      <c r="F494" s="18">
        <v>14</v>
      </c>
      <c r="G494" s="18" t="b">
        <v>0</v>
      </c>
      <c r="H494" s="18">
        <v>6</v>
      </c>
      <c r="I494" s="18">
        <v>1</v>
      </c>
      <c r="J494" s="18">
        <v>0.1</v>
      </c>
    </row>
    <row r="495" spans="1:10" ht="12.5" x14ac:dyDescent="0.25">
      <c r="A495" s="16">
        <v>494</v>
      </c>
      <c r="B495" s="17">
        <v>40565</v>
      </c>
      <c r="C495" s="18">
        <v>1</v>
      </c>
      <c r="D495" s="18">
        <v>0</v>
      </c>
      <c r="E495" s="18">
        <v>1</v>
      </c>
      <c r="F495" s="18">
        <v>15</v>
      </c>
      <c r="G495" s="18" t="b">
        <v>0</v>
      </c>
      <c r="H495" s="18">
        <v>6</v>
      </c>
      <c r="I495" s="18">
        <v>1</v>
      </c>
      <c r="J495" s="18">
        <v>0.12</v>
      </c>
    </row>
    <row r="496" spans="1:10" ht="12.5" x14ac:dyDescent="0.25">
      <c r="A496" s="16">
        <v>495</v>
      </c>
      <c r="B496" s="17">
        <v>40565</v>
      </c>
      <c r="C496" s="18">
        <v>1</v>
      </c>
      <c r="D496" s="18">
        <v>0</v>
      </c>
      <c r="E496" s="18">
        <v>1</v>
      </c>
      <c r="F496" s="18">
        <v>16</v>
      </c>
      <c r="G496" s="18" t="b">
        <v>0</v>
      </c>
      <c r="H496" s="18">
        <v>6</v>
      </c>
      <c r="I496" s="18">
        <v>1</v>
      </c>
      <c r="J496" s="18">
        <v>0.12</v>
      </c>
    </row>
    <row r="497" spans="1:10" ht="12.5" x14ac:dyDescent="0.25">
      <c r="A497" s="16">
        <v>496</v>
      </c>
      <c r="B497" s="17">
        <v>40565</v>
      </c>
      <c r="C497" s="18">
        <v>1</v>
      </c>
      <c r="D497" s="18">
        <v>0</v>
      </c>
      <c r="E497" s="18">
        <v>1</v>
      </c>
      <c r="F497" s="18">
        <v>17</v>
      </c>
      <c r="G497" s="18" t="b">
        <v>0</v>
      </c>
      <c r="H497" s="18">
        <v>6</v>
      </c>
      <c r="I497" s="18">
        <v>1</v>
      </c>
      <c r="J497" s="18">
        <v>0.12</v>
      </c>
    </row>
    <row r="498" spans="1:10" ht="12.5" x14ac:dyDescent="0.25">
      <c r="A498" s="16">
        <v>497</v>
      </c>
      <c r="B498" s="17">
        <v>40565</v>
      </c>
      <c r="C498" s="18">
        <v>1</v>
      </c>
      <c r="D498" s="18">
        <v>0</v>
      </c>
      <c r="E498" s="18">
        <v>1</v>
      </c>
      <c r="F498" s="18">
        <v>18</v>
      </c>
      <c r="G498" s="18" t="b">
        <v>0</v>
      </c>
      <c r="H498" s="18">
        <v>6</v>
      </c>
      <c r="I498" s="18">
        <v>1</v>
      </c>
      <c r="J498" s="18">
        <v>0.08</v>
      </c>
    </row>
    <row r="499" spans="1:10" ht="12.5" x14ac:dyDescent="0.25">
      <c r="A499" s="16">
        <v>498</v>
      </c>
      <c r="B499" s="17">
        <v>40565</v>
      </c>
      <c r="C499" s="18">
        <v>1</v>
      </c>
      <c r="D499" s="18">
        <v>0</v>
      </c>
      <c r="E499" s="18">
        <v>1</v>
      </c>
      <c r="F499" s="18">
        <v>19</v>
      </c>
      <c r="G499" s="18" t="b">
        <v>0</v>
      </c>
      <c r="H499" s="18">
        <v>6</v>
      </c>
      <c r="I499" s="18">
        <v>1</v>
      </c>
      <c r="J499" s="18">
        <v>0.08</v>
      </c>
    </row>
    <row r="500" spans="1:10" ht="12.5" x14ac:dyDescent="0.25">
      <c r="A500" s="16">
        <v>499</v>
      </c>
      <c r="B500" s="17">
        <v>40565</v>
      </c>
      <c r="C500" s="18">
        <v>1</v>
      </c>
      <c r="D500" s="18">
        <v>0</v>
      </c>
      <c r="E500" s="18">
        <v>1</v>
      </c>
      <c r="F500" s="18">
        <v>20</v>
      </c>
      <c r="G500" s="18" t="b">
        <v>0</v>
      </c>
      <c r="H500" s="18">
        <v>6</v>
      </c>
      <c r="I500" s="18">
        <v>1</v>
      </c>
      <c r="J500" s="18">
        <v>0.06</v>
      </c>
    </row>
    <row r="501" spans="1:10" ht="12.5" x14ac:dyDescent="0.25">
      <c r="A501" s="16">
        <v>500</v>
      </c>
      <c r="B501" s="17">
        <v>40565</v>
      </c>
      <c r="C501" s="18">
        <v>1</v>
      </c>
      <c r="D501" s="18">
        <v>0</v>
      </c>
      <c r="E501" s="18">
        <v>1</v>
      </c>
      <c r="F501" s="18">
        <v>21</v>
      </c>
      <c r="G501" s="18" t="b">
        <v>0</v>
      </c>
      <c r="H501" s="18">
        <v>6</v>
      </c>
      <c r="I501" s="18">
        <v>1</v>
      </c>
      <c r="J501" s="18">
        <v>0.06</v>
      </c>
    </row>
    <row r="502" spans="1:10" ht="12.5" x14ac:dyDescent="0.25">
      <c r="A502" s="16">
        <v>501</v>
      </c>
      <c r="B502" s="17">
        <v>40565</v>
      </c>
      <c r="C502" s="18">
        <v>1</v>
      </c>
      <c r="D502" s="18">
        <v>0</v>
      </c>
      <c r="E502" s="18">
        <v>1</v>
      </c>
      <c r="F502" s="18">
        <v>22</v>
      </c>
      <c r="G502" s="18" t="b">
        <v>0</v>
      </c>
      <c r="H502" s="18">
        <v>6</v>
      </c>
      <c r="I502" s="18">
        <v>1</v>
      </c>
      <c r="J502" s="18">
        <v>0.06</v>
      </c>
    </row>
    <row r="503" spans="1:10" ht="12.5" x14ac:dyDescent="0.25">
      <c r="A503" s="16">
        <v>502</v>
      </c>
      <c r="B503" s="17">
        <v>40565</v>
      </c>
      <c r="C503" s="18">
        <v>1</v>
      </c>
      <c r="D503" s="18">
        <v>0</v>
      </c>
      <c r="E503" s="18">
        <v>1</v>
      </c>
      <c r="F503" s="18">
        <v>23</v>
      </c>
      <c r="G503" s="18" t="b">
        <v>0</v>
      </c>
      <c r="H503" s="18">
        <v>6</v>
      </c>
      <c r="I503" s="18">
        <v>1</v>
      </c>
      <c r="J503" s="18">
        <v>0.04</v>
      </c>
    </row>
    <row r="504" spans="1:10" ht="12.5" x14ac:dyDescent="0.25">
      <c r="A504" s="16">
        <v>503</v>
      </c>
      <c r="B504" s="17">
        <v>40566</v>
      </c>
      <c r="C504" s="18">
        <v>1</v>
      </c>
      <c r="D504" s="18">
        <v>0</v>
      </c>
      <c r="E504" s="18">
        <v>1</v>
      </c>
      <c r="F504" s="18">
        <v>0</v>
      </c>
      <c r="G504" s="18" t="b">
        <v>0</v>
      </c>
      <c r="H504" s="18">
        <v>0</v>
      </c>
      <c r="I504" s="18">
        <v>1</v>
      </c>
      <c r="J504" s="18">
        <v>0.04</v>
      </c>
    </row>
    <row r="505" spans="1:10" ht="12.5" x14ac:dyDescent="0.25">
      <c r="A505" s="16">
        <v>504</v>
      </c>
      <c r="B505" s="17">
        <v>40566</v>
      </c>
      <c r="C505" s="18">
        <v>1</v>
      </c>
      <c r="D505" s="18">
        <v>0</v>
      </c>
      <c r="E505" s="18">
        <v>1</v>
      </c>
      <c r="F505" s="18">
        <v>1</v>
      </c>
      <c r="G505" s="18" t="b">
        <v>0</v>
      </c>
      <c r="H505" s="18">
        <v>0</v>
      </c>
      <c r="I505" s="18">
        <v>1</v>
      </c>
      <c r="J505" s="18">
        <v>0.04</v>
      </c>
    </row>
    <row r="506" spans="1:10" ht="12.5" x14ac:dyDescent="0.25">
      <c r="A506" s="16">
        <v>505</v>
      </c>
      <c r="B506" s="17">
        <v>40566</v>
      </c>
      <c r="C506" s="18">
        <v>1</v>
      </c>
      <c r="D506" s="18">
        <v>0</v>
      </c>
      <c r="E506" s="18">
        <v>1</v>
      </c>
      <c r="F506" s="18">
        <v>2</v>
      </c>
      <c r="G506" s="18" t="b">
        <v>0</v>
      </c>
      <c r="H506" s="18">
        <v>0</v>
      </c>
      <c r="I506" s="18">
        <v>1</v>
      </c>
      <c r="J506" s="18">
        <v>0.02</v>
      </c>
    </row>
    <row r="507" spans="1:10" ht="12.5" x14ac:dyDescent="0.25">
      <c r="A507" s="16">
        <v>506</v>
      </c>
      <c r="B507" s="17">
        <v>40566</v>
      </c>
      <c r="C507" s="18">
        <v>1</v>
      </c>
      <c r="D507" s="18">
        <v>0</v>
      </c>
      <c r="E507" s="18">
        <v>1</v>
      </c>
      <c r="F507" s="18">
        <v>3</v>
      </c>
      <c r="G507" s="18" t="b">
        <v>0</v>
      </c>
      <c r="H507" s="18">
        <v>0</v>
      </c>
      <c r="I507" s="18">
        <v>1</v>
      </c>
      <c r="J507" s="18">
        <v>0.02</v>
      </c>
    </row>
    <row r="508" spans="1:10" ht="12.5" x14ac:dyDescent="0.25">
      <c r="A508" s="16">
        <v>507</v>
      </c>
      <c r="B508" s="17">
        <v>40566</v>
      </c>
      <c r="C508" s="18">
        <v>1</v>
      </c>
      <c r="D508" s="18">
        <v>0</v>
      </c>
      <c r="E508" s="18">
        <v>1</v>
      </c>
      <c r="F508" s="18">
        <v>5</v>
      </c>
      <c r="G508" s="18" t="b">
        <v>0</v>
      </c>
      <c r="H508" s="18">
        <v>0</v>
      </c>
      <c r="I508" s="18">
        <v>2</v>
      </c>
      <c r="J508" s="18">
        <v>0.04</v>
      </c>
    </row>
    <row r="509" spans="1:10" ht="12.5" x14ac:dyDescent="0.25">
      <c r="A509" s="16">
        <v>508</v>
      </c>
      <c r="B509" s="17">
        <v>40566</v>
      </c>
      <c r="C509" s="18">
        <v>1</v>
      </c>
      <c r="D509" s="18">
        <v>0</v>
      </c>
      <c r="E509" s="18">
        <v>1</v>
      </c>
      <c r="F509" s="18">
        <v>6</v>
      </c>
      <c r="G509" s="18" t="b">
        <v>0</v>
      </c>
      <c r="H509" s="18">
        <v>0</v>
      </c>
      <c r="I509" s="18">
        <v>2</v>
      </c>
      <c r="J509" s="18">
        <v>0.04</v>
      </c>
    </row>
    <row r="510" spans="1:10" ht="12.5" x14ac:dyDescent="0.25">
      <c r="A510" s="16">
        <v>509</v>
      </c>
      <c r="B510" s="17">
        <v>40566</v>
      </c>
      <c r="C510" s="18">
        <v>1</v>
      </c>
      <c r="D510" s="18">
        <v>0</v>
      </c>
      <c r="E510" s="18">
        <v>1</v>
      </c>
      <c r="F510" s="18">
        <v>7</v>
      </c>
      <c r="G510" s="18" t="b">
        <v>0</v>
      </c>
      <c r="H510" s="18">
        <v>0</v>
      </c>
      <c r="I510" s="18">
        <v>1</v>
      </c>
      <c r="J510" s="18">
        <v>0.08</v>
      </c>
    </row>
    <row r="511" spans="1:10" ht="12.5" x14ac:dyDescent="0.25">
      <c r="A511" s="16">
        <v>510</v>
      </c>
      <c r="B511" s="17">
        <v>40566</v>
      </c>
      <c r="C511" s="18">
        <v>1</v>
      </c>
      <c r="D511" s="18">
        <v>0</v>
      </c>
      <c r="E511" s="18">
        <v>1</v>
      </c>
      <c r="F511" s="18">
        <v>8</v>
      </c>
      <c r="G511" s="18" t="b">
        <v>0</v>
      </c>
      <c r="H511" s="18">
        <v>0</v>
      </c>
      <c r="I511" s="18">
        <v>1</v>
      </c>
      <c r="J511" s="18">
        <v>0.06</v>
      </c>
    </row>
    <row r="512" spans="1:10" ht="12.5" x14ac:dyDescent="0.25">
      <c r="A512" s="16">
        <v>511</v>
      </c>
      <c r="B512" s="17">
        <v>40566</v>
      </c>
      <c r="C512" s="18">
        <v>1</v>
      </c>
      <c r="D512" s="18">
        <v>0</v>
      </c>
      <c r="E512" s="18">
        <v>1</v>
      </c>
      <c r="F512" s="18">
        <v>9</v>
      </c>
      <c r="G512" s="18" t="b">
        <v>0</v>
      </c>
      <c r="H512" s="18">
        <v>0</v>
      </c>
      <c r="I512" s="18">
        <v>1</v>
      </c>
      <c r="J512" s="18">
        <v>0.1</v>
      </c>
    </row>
    <row r="513" spans="1:10" ht="12.5" x14ac:dyDescent="0.25">
      <c r="A513" s="16">
        <v>512</v>
      </c>
      <c r="B513" s="17">
        <v>40566</v>
      </c>
      <c r="C513" s="18">
        <v>1</v>
      </c>
      <c r="D513" s="18">
        <v>0</v>
      </c>
      <c r="E513" s="18">
        <v>1</v>
      </c>
      <c r="F513" s="18">
        <v>10</v>
      </c>
      <c r="G513" s="18" t="b">
        <v>0</v>
      </c>
      <c r="H513" s="18">
        <v>0</v>
      </c>
      <c r="I513" s="18">
        <v>1</v>
      </c>
      <c r="J513" s="18">
        <v>0.14000000000000001</v>
      </c>
    </row>
    <row r="514" spans="1:10" ht="12.5" x14ac:dyDescent="0.25">
      <c r="A514" s="16">
        <v>513</v>
      </c>
      <c r="B514" s="17">
        <v>40566</v>
      </c>
      <c r="C514" s="18">
        <v>1</v>
      </c>
      <c r="D514" s="18">
        <v>0</v>
      </c>
      <c r="E514" s="18">
        <v>1</v>
      </c>
      <c r="F514" s="18">
        <v>11</v>
      </c>
      <c r="G514" s="18" t="b">
        <v>0</v>
      </c>
      <c r="H514" s="18">
        <v>0</v>
      </c>
      <c r="I514" s="18">
        <v>1</v>
      </c>
      <c r="J514" s="18">
        <v>0.14000000000000001</v>
      </c>
    </row>
    <row r="515" spans="1:10" ht="12.5" x14ac:dyDescent="0.25">
      <c r="A515" s="16">
        <v>514</v>
      </c>
      <c r="B515" s="17">
        <v>40566</v>
      </c>
      <c r="C515" s="18">
        <v>1</v>
      </c>
      <c r="D515" s="18">
        <v>0</v>
      </c>
      <c r="E515" s="18">
        <v>1</v>
      </c>
      <c r="F515" s="18">
        <v>12</v>
      </c>
      <c r="G515" s="18" t="b">
        <v>0</v>
      </c>
      <c r="H515" s="18">
        <v>0</v>
      </c>
      <c r="I515" s="18">
        <v>1</v>
      </c>
      <c r="J515" s="18">
        <v>0.16</v>
      </c>
    </row>
    <row r="516" spans="1:10" ht="12.5" x14ac:dyDescent="0.25">
      <c r="A516" s="16">
        <v>515</v>
      </c>
      <c r="B516" s="17">
        <v>40566</v>
      </c>
      <c r="C516" s="18">
        <v>1</v>
      </c>
      <c r="D516" s="18">
        <v>0</v>
      </c>
      <c r="E516" s="18">
        <v>1</v>
      </c>
      <c r="F516" s="18">
        <v>13</v>
      </c>
      <c r="G516" s="18" t="b">
        <v>0</v>
      </c>
      <c r="H516" s="18">
        <v>0</v>
      </c>
      <c r="I516" s="18">
        <v>1</v>
      </c>
      <c r="J516" s="18">
        <v>0.14000000000000001</v>
      </c>
    </row>
    <row r="517" spans="1:10" ht="12.5" x14ac:dyDescent="0.25">
      <c r="A517" s="16">
        <v>516</v>
      </c>
      <c r="B517" s="17">
        <v>40566</v>
      </c>
      <c r="C517" s="18">
        <v>1</v>
      </c>
      <c r="D517" s="18">
        <v>0</v>
      </c>
      <c r="E517" s="18">
        <v>1</v>
      </c>
      <c r="F517" s="18">
        <v>14</v>
      </c>
      <c r="G517" s="18" t="b">
        <v>0</v>
      </c>
      <c r="H517" s="18">
        <v>0</v>
      </c>
      <c r="I517" s="18">
        <v>1</v>
      </c>
      <c r="J517" s="18">
        <v>0.16</v>
      </c>
    </row>
    <row r="518" spans="1:10" ht="12.5" x14ac:dyDescent="0.25">
      <c r="A518" s="16">
        <v>517</v>
      </c>
      <c r="B518" s="17">
        <v>40566</v>
      </c>
      <c r="C518" s="18">
        <v>1</v>
      </c>
      <c r="D518" s="18">
        <v>0</v>
      </c>
      <c r="E518" s="18">
        <v>1</v>
      </c>
      <c r="F518" s="18">
        <v>15</v>
      </c>
      <c r="G518" s="18" t="b">
        <v>0</v>
      </c>
      <c r="H518" s="18">
        <v>0</v>
      </c>
      <c r="I518" s="18">
        <v>1</v>
      </c>
      <c r="J518" s="18">
        <v>0.16</v>
      </c>
    </row>
    <row r="519" spans="1:10" ht="12.5" x14ac:dyDescent="0.25">
      <c r="A519" s="16">
        <v>518</v>
      </c>
      <c r="B519" s="17">
        <v>40566</v>
      </c>
      <c r="C519" s="18">
        <v>1</v>
      </c>
      <c r="D519" s="18">
        <v>0</v>
      </c>
      <c r="E519" s="18">
        <v>1</v>
      </c>
      <c r="F519" s="18">
        <v>16</v>
      </c>
      <c r="G519" s="18" t="b">
        <v>0</v>
      </c>
      <c r="H519" s="18">
        <v>0</v>
      </c>
      <c r="I519" s="18">
        <v>1</v>
      </c>
      <c r="J519" s="18">
        <v>0.16</v>
      </c>
    </row>
    <row r="520" spans="1:10" ht="12.5" x14ac:dyDescent="0.25">
      <c r="A520" s="16">
        <v>519</v>
      </c>
      <c r="B520" s="17">
        <v>40566</v>
      </c>
      <c r="C520" s="18">
        <v>1</v>
      </c>
      <c r="D520" s="18">
        <v>0</v>
      </c>
      <c r="E520" s="18">
        <v>1</v>
      </c>
      <c r="F520" s="18">
        <v>17</v>
      </c>
      <c r="G520" s="18" t="b">
        <v>0</v>
      </c>
      <c r="H520" s="18">
        <v>0</v>
      </c>
      <c r="I520" s="18">
        <v>1</v>
      </c>
      <c r="J520" s="18">
        <v>0.14000000000000001</v>
      </c>
    </row>
    <row r="521" spans="1:10" ht="12.5" x14ac:dyDescent="0.25">
      <c r="A521" s="16">
        <v>520</v>
      </c>
      <c r="B521" s="17">
        <v>40566</v>
      </c>
      <c r="C521" s="18">
        <v>1</v>
      </c>
      <c r="D521" s="18">
        <v>0</v>
      </c>
      <c r="E521" s="18">
        <v>1</v>
      </c>
      <c r="F521" s="18">
        <v>18</v>
      </c>
      <c r="G521" s="18" t="b">
        <v>0</v>
      </c>
      <c r="H521" s="18">
        <v>0</v>
      </c>
      <c r="I521" s="18">
        <v>1</v>
      </c>
      <c r="J521" s="18">
        <v>0.12</v>
      </c>
    </row>
    <row r="522" spans="1:10" ht="12.5" x14ac:dyDescent="0.25">
      <c r="A522" s="16">
        <v>521</v>
      </c>
      <c r="B522" s="17">
        <v>40566</v>
      </c>
      <c r="C522" s="18">
        <v>1</v>
      </c>
      <c r="D522" s="18">
        <v>0</v>
      </c>
      <c r="E522" s="18">
        <v>1</v>
      </c>
      <c r="F522" s="18">
        <v>19</v>
      </c>
      <c r="G522" s="18" t="b">
        <v>0</v>
      </c>
      <c r="H522" s="18">
        <v>0</v>
      </c>
      <c r="I522" s="18">
        <v>1</v>
      </c>
      <c r="J522" s="18">
        <v>0.12</v>
      </c>
    </row>
    <row r="523" spans="1:10" ht="12.5" x14ac:dyDescent="0.25">
      <c r="A523" s="16">
        <v>522</v>
      </c>
      <c r="B523" s="17">
        <v>40566</v>
      </c>
      <c r="C523" s="18">
        <v>1</v>
      </c>
      <c r="D523" s="18">
        <v>0</v>
      </c>
      <c r="E523" s="18">
        <v>1</v>
      </c>
      <c r="F523" s="18">
        <v>20</v>
      </c>
      <c r="G523" s="18" t="b">
        <v>0</v>
      </c>
      <c r="H523" s="18">
        <v>0</v>
      </c>
      <c r="I523" s="18">
        <v>1</v>
      </c>
      <c r="J523" s="18">
        <v>0.1</v>
      </c>
    </row>
    <row r="524" spans="1:10" ht="12.5" x14ac:dyDescent="0.25">
      <c r="A524" s="16">
        <v>523</v>
      </c>
      <c r="B524" s="17">
        <v>40566</v>
      </c>
      <c r="C524" s="18">
        <v>1</v>
      </c>
      <c r="D524" s="18">
        <v>0</v>
      </c>
      <c r="E524" s="18">
        <v>1</v>
      </c>
      <c r="F524" s="18">
        <v>21</v>
      </c>
      <c r="G524" s="18" t="b">
        <v>0</v>
      </c>
      <c r="H524" s="18">
        <v>0</v>
      </c>
      <c r="I524" s="18">
        <v>1</v>
      </c>
      <c r="J524" s="18">
        <v>0.1</v>
      </c>
    </row>
    <row r="525" spans="1:10" ht="12.5" x14ac:dyDescent="0.25">
      <c r="A525" s="16">
        <v>524</v>
      </c>
      <c r="B525" s="17">
        <v>40566</v>
      </c>
      <c r="C525" s="18">
        <v>1</v>
      </c>
      <c r="D525" s="18">
        <v>0</v>
      </c>
      <c r="E525" s="18">
        <v>1</v>
      </c>
      <c r="F525" s="18">
        <v>22</v>
      </c>
      <c r="G525" s="18" t="b">
        <v>0</v>
      </c>
      <c r="H525" s="18">
        <v>0</v>
      </c>
      <c r="I525" s="18">
        <v>1</v>
      </c>
      <c r="J525" s="18">
        <v>0.08</v>
      </c>
    </row>
    <row r="526" spans="1:10" ht="12.5" x14ac:dyDescent="0.25">
      <c r="A526" s="16">
        <v>525</v>
      </c>
      <c r="B526" s="17">
        <v>40566</v>
      </c>
      <c r="C526" s="18">
        <v>1</v>
      </c>
      <c r="D526" s="18">
        <v>0</v>
      </c>
      <c r="E526" s="18">
        <v>1</v>
      </c>
      <c r="F526" s="18">
        <v>23</v>
      </c>
      <c r="G526" s="18" t="b">
        <v>0</v>
      </c>
      <c r="H526" s="18">
        <v>0</v>
      </c>
      <c r="I526" s="18">
        <v>1</v>
      </c>
      <c r="J526" s="18">
        <v>0.06</v>
      </c>
    </row>
    <row r="527" spans="1:10" ht="12.5" x14ac:dyDescent="0.25">
      <c r="A527" s="16">
        <v>526</v>
      </c>
      <c r="B527" s="17">
        <v>40567</v>
      </c>
      <c r="C527" s="18">
        <v>1</v>
      </c>
      <c r="D527" s="18">
        <v>0</v>
      </c>
      <c r="E527" s="18">
        <v>1</v>
      </c>
      <c r="F527" s="18">
        <v>0</v>
      </c>
      <c r="G527" s="18" t="b">
        <v>0</v>
      </c>
      <c r="H527" s="18">
        <v>1</v>
      </c>
      <c r="I527" s="18">
        <v>1</v>
      </c>
      <c r="J527" s="18">
        <v>0.06</v>
      </c>
    </row>
    <row r="528" spans="1:10" ht="12.5" x14ac:dyDescent="0.25">
      <c r="A528" s="16">
        <v>527</v>
      </c>
      <c r="B528" s="17">
        <v>40567</v>
      </c>
      <c r="C528" s="18">
        <v>1</v>
      </c>
      <c r="D528" s="18">
        <v>0</v>
      </c>
      <c r="E528" s="18">
        <v>1</v>
      </c>
      <c r="F528" s="18">
        <v>1</v>
      </c>
      <c r="G528" s="18" t="b">
        <v>0</v>
      </c>
      <c r="H528" s="18">
        <v>1</v>
      </c>
      <c r="I528" s="18">
        <v>1</v>
      </c>
      <c r="J528" s="18">
        <v>0.04</v>
      </c>
    </row>
    <row r="529" spans="1:10" ht="12.5" x14ac:dyDescent="0.25">
      <c r="A529" s="16">
        <v>528</v>
      </c>
      <c r="B529" s="17">
        <v>40567</v>
      </c>
      <c r="C529" s="18">
        <v>1</v>
      </c>
      <c r="D529" s="18">
        <v>0</v>
      </c>
      <c r="E529" s="18">
        <v>1</v>
      </c>
      <c r="F529" s="18">
        <v>3</v>
      </c>
      <c r="G529" s="18" t="b">
        <v>0</v>
      </c>
      <c r="H529" s="18">
        <v>1</v>
      </c>
      <c r="I529" s="18">
        <v>1</v>
      </c>
      <c r="J529" s="18">
        <v>0.04</v>
      </c>
    </row>
    <row r="530" spans="1:10" ht="12.5" x14ac:dyDescent="0.25">
      <c r="A530" s="16">
        <v>529</v>
      </c>
      <c r="B530" s="17">
        <v>40567</v>
      </c>
      <c r="C530" s="18">
        <v>1</v>
      </c>
      <c r="D530" s="18">
        <v>0</v>
      </c>
      <c r="E530" s="18">
        <v>1</v>
      </c>
      <c r="F530" s="18">
        <v>4</v>
      </c>
      <c r="G530" s="18" t="b">
        <v>0</v>
      </c>
      <c r="H530" s="18">
        <v>1</v>
      </c>
      <c r="I530" s="18">
        <v>1</v>
      </c>
      <c r="J530" s="18">
        <v>0.02</v>
      </c>
    </row>
    <row r="531" spans="1:10" ht="12.5" x14ac:dyDescent="0.25">
      <c r="A531" s="16">
        <v>530</v>
      </c>
      <c r="B531" s="17">
        <v>40567</v>
      </c>
      <c r="C531" s="18">
        <v>1</v>
      </c>
      <c r="D531" s="18">
        <v>0</v>
      </c>
      <c r="E531" s="18">
        <v>1</v>
      </c>
      <c r="F531" s="18">
        <v>5</v>
      </c>
      <c r="G531" s="18" t="b">
        <v>0</v>
      </c>
      <c r="H531" s="18">
        <v>1</v>
      </c>
      <c r="I531" s="18">
        <v>1</v>
      </c>
      <c r="J531" s="18">
        <v>0.02</v>
      </c>
    </row>
    <row r="532" spans="1:10" ht="12.5" x14ac:dyDescent="0.25">
      <c r="A532" s="16">
        <v>531</v>
      </c>
      <c r="B532" s="17">
        <v>40567</v>
      </c>
      <c r="C532" s="18">
        <v>1</v>
      </c>
      <c r="D532" s="18">
        <v>0</v>
      </c>
      <c r="E532" s="18">
        <v>1</v>
      </c>
      <c r="F532" s="18">
        <v>6</v>
      </c>
      <c r="G532" s="18" t="b">
        <v>0</v>
      </c>
      <c r="H532" s="18">
        <v>1</v>
      </c>
      <c r="I532" s="18">
        <v>1</v>
      </c>
      <c r="J532" s="18">
        <v>0.02</v>
      </c>
    </row>
    <row r="533" spans="1:10" ht="12.5" x14ac:dyDescent="0.25">
      <c r="A533" s="16">
        <v>532</v>
      </c>
      <c r="B533" s="17">
        <v>40567</v>
      </c>
      <c r="C533" s="18">
        <v>1</v>
      </c>
      <c r="D533" s="18">
        <v>0</v>
      </c>
      <c r="E533" s="18">
        <v>1</v>
      </c>
      <c r="F533" s="18">
        <v>7</v>
      </c>
      <c r="G533" s="18" t="b">
        <v>0</v>
      </c>
      <c r="H533" s="18">
        <v>1</v>
      </c>
      <c r="I533" s="18">
        <v>1</v>
      </c>
      <c r="J533" s="18">
        <v>0.02</v>
      </c>
    </row>
    <row r="534" spans="1:10" ht="12.5" x14ac:dyDescent="0.25">
      <c r="A534" s="16">
        <v>533</v>
      </c>
      <c r="B534" s="17">
        <v>40567</v>
      </c>
      <c r="C534" s="18">
        <v>1</v>
      </c>
      <c r="D534" s="18">
        <v>0</v>
      </c>
      <c r="E534" s="18">
        <v>1</v>
      </c>
      <c r="F534" s="18">
        <v>8</v>
      </c>
      <c r="G534" s="18" t="b">
        <v>0</v>
      </c>
      <c r="H534" s="18">
        <v>1</v>
      </c>
      <c r="I534" s="18">
        <v>1</v>
      </c>
      <c r="J534" s="18">
        <v>0.04</v>
      </c>
    </row>
    <row r="535" spans="1:10" ht="12.5" x14ac:dyDescent="0.25">
      <c r="A535" s="16">
        <v>534</v>
      </c>
      <c r="B535" s="17">
        <v>40567</v>
      </c>
      <c r="C535" s="18">
        <v>1</v>
      </c>
      <c r="D535" s="18">
        <v>0</v>
      </c>
      <c r="E535" s="18">
        <v>1</v>
      </c>
      <c r="F535" s="18">
        <v>9</v>
      </c>
      <c r="G535" s="18" t="b">
        <v>0</v>
      </c>
      <c r="H535" s="18">
        <v>1</v>
      </c>
      <c r="I535" s="18">
        <v>1</v>
      </c>
      <c r="J535" s="18">
        <v>0.06</v>
      </c>
    </row>
    <row r="536" spans="1:10" ht="12.5" x14ac:dyDescent="0.25">
      <c r="A536" s="16">
        <v>535</v>
      </c>
      <c r="B536" s="17">
        <v>40567</v>
      </c>
      <c r="C536" s="18">
        <v>1</v>
      </c>
      <c r="D536" s="18">
        <v>0</v>
      </c>
      <c r="E536" s="18">
        <v>1</v>
      </c>
      <c r="F536" s="18">
        <v>10</v>
      </c>
      <c r="G536" s="18" t="b">
        <v>0</v>
      </c>
      <c r="H536" s="18">
        <v>1</v>
      </c>
      <c r="I536" s="18">
        <v>1</v>
      </c>
      <c r="J536" s="18">
        <v>0.1</v>
      </c>
    </row>
    <row r="537" spans="1:10" ht="12.5" x14ac:dyDescent="0.25">
      <c r="A537" s="16">
        <v>536</v>
      </c>
      <c r="B537" s="17">
        <v>40567</v>
      </c>
      <c r="C537" s="18">
        <v>1</v>
      </c>
      <c r="D537" s="18">
        <v>0</v>
      </c>
      <c r="E537" s="18">
        <v>1</v>
      </c>
      <c r="F537" s="18">
        <v>11</v>
      </c>
      <c r="G537" s="18" t="b">
        <v>0</v>
      </c>
      <c r="H537" s="18">
        <v>1</v>
      </c>
      <c r="I537" s="18">
        <v>1</v>
      </c>
      <c r="J537" s="18">
        <v>0.1</v>
      </c>
    </row>
    <row r="538" spans="1:10" ht="12.5" x14ac:dyDescent="0.25">
      <c r="A538" s="16">
        <v>537</v>
      </c>
      <c r="B538" s="17">
        <v>40567</v>
      </c>
      <c r="C538" s="18">
        <v>1</v>
      </c>
      <c r="D538" s="18">
        <v>0</v>
      </c>
      <c r="E538" s="18">
        <v>1</v>
      </c>
      <c r="F538" s="18">
        <v>12</v>
      </c>
      <c r="G538" s="18" t="b">
        <v>0</v>
      </c>
      <c r="H538" s="18">
        <v>1</v>
      </c>
      <c r="I538" s="18">
        <v>2</v>
      </c>
      <c r="J538" s="18">
        <v>0.12</v>
      </c>
    </row>
    <row r="539" spans="1:10" ht="12.5" x14ac:dyDescent="0.25">
      <c r="A539" s="16">
        <v>538</v>
      </c>
      <c r="B539" s="17">
        <v>40567</v>
      </c>
      <c r="C539" s="18">
        <v>1</v>
      </c>
      <c r="D539" s="18">
        <v>0</v>
      </c>
      <c r="E539" s="18">
        <v>1</v>
      </c>
      <c r="F539" s="18">
        <v>13</v>
      </c>
      <c r="G539" s="18" t="b">
        <v>0</v>
      </c>
      <c r="H539" s="18">
        <v>1</v>
      </c>
      <c r="I539" s="18">
        <v>2</v>
      </c>
      <c r="J539" s="18">
        <v>0.14000000000000001</v>
      </c>
    </row>
    <row r="540" spans="1:10" ht="12.5" x14ac:dyDescent="0.25">
      <c r="A540" s="16">
        <v>539</v>
      </c>
      <c r="B540" s="17">
        <v>40567</v>
      </c>
      <c r="C540" s="18">
        <v>1</v>
      </c>
      <c r="D540" s="18">
        <v>0</v>
      </c>
      <c r="E540" s="18">
        <v>1</v>
      </c>
      <c r="F540" s="18">
        <v>14</v>
      </c>
      <c r="G540" s="18" t="b">
        <v>0</v>
      </c>
      <c r="H540" s="18">
        <v>1</v>
      </c>
      <c r="I540" s="18">
        <v>2</v>
      </c>
      <c r="J540" s="18">
        <v>0.14000000000000001</v>
      </c>
    </row>
    <row r="541" spans="1:10" ht="12.5" x14ac:dyDescent="0.25">
      <c r="A541" s="16">
        <v>540</v>
      </c>
      <c r="B541" s="17">
        <v>40567</v>
      </c>
      <c r="C541" s="18">
        <v>1</v>
      </c>
      <c r="D541" s="18">
        <v>0</v>
      </c>
      <c r="E541" s="18">
        <v>1</v>
      </c>
      <c r="F541" s="18">
        <v>15</v>
      </c>
      <c r="G541" s="18" t="b">
        <v>0</v>
      </c>
      <c r="H541" s="18">
        <v>1</v>
      </c>
      <c r="I541" s="18">
        <v>1</v>
      </c>
      <c r="J541" s="18">
        <v>0.16</v>
      </c>
    </row>
    <row r="542" spans="1:10" ht="12.5" x14ac:dyDescent="0.25">
      <c r="A542" s="16">
        <v>541</v>
      </c>
      <c r="B542" s="17">
        <v>40567</v>
      </c>
      <c r="C542" s="18">
        <v>1</v>
      </c>
      <c r="D542" s="18">
        <v>0</v>
      </c>
      <c r="E542" s="18">
        <v>1</v>
      </c>
      <c r="F542" s="18">
        <v>16</v>
      </c>
      <c r="G542" s="18" t="b">
        <v>0</v>
      </c>
      <c r="H542" s="18">
        <v>1</v>
      </c>
      <c r="I542" s="18">
        <v>1</v>
      </c>
      <c r="J542" s="18">
        <v>0.16</v>
      </c>
    </row>
    <row r="543" spans="1:10" ht="12.5" x14ac:dyDescent="0.25">
      <c r="A543" s="16">
        <v>542</v>
      </c>
      <c r="B543" s="17">
        <v>40567</v>
      </c>
      <c r="C543" s="18">
        <v>1</v>
      </c>
      <c r="D543" s="18">
        <v>0</v>
      </c>
      <c r="E543" s="18">
        <v>1</v>
      </c>
      <c r="F543" s="18">
        <v>17</v>
      </c>
      <c r="G543" s="18" t="b">
        <v>0</v>
      </c>
      <c r="H543" s="18">
        <v>1</v>
      </c>
      <c r="I543" s="18">
        <v>1</v>
      </c>
      <c r="J543" s="18">
        <v>0.14000000000000001</v>
      </c>
    </row>
    <row r="544" spans="1:10" ht="12.5" x14ac:dyDescent="0.25">
      <c r="A544" s="16">
        <v>543</v>
      </c>
      <c r="B544" s="17">
        <v>40567</v>
      </c>
      <c r="C544" s="18">
        <v>1</v>
      </c>
      <c r="D544" s="18">
        <v>0</v>
      </c>
      <c r="E544" s="18">
        <v>1</v>
      </c>
      <c r="F544" s="18">
        <v>18</v>
      </c>
      <c r="G544" s="18" t="b">
        <v>0</v>
      </c>
      <c r="H544" s="18">
        <v>1</v>
      </c>
      <c r="I544" s="18">
        <v>1</v>
      </c>
      <c r="J544" s="18">
        <v>0.14000000000000001</v>
      </c>
    </row>
    <row r="545" spans="1:10" ht="12.5" x14ac:dyDescent="0.25">
      <c r="A545" s="16">
        <v>544</v>
      </c>
      <c r="B545" s="17">
        <v>40567</v>
      </c>
      <c r="C545" s="18">
        <v>1</v>
      </c>
      <c r="D545" s="18">
        <v>0</v>
      </c>
      <c r="E545" s="18">
        <v>1</v>
      </c>
      <c r="F545" s="18">
        <v>19</v>
      </c>
      <c r="G545" s="18" t="b">
        <v>0</v>
      </c>
      <c r="H545" s="18">
        <v>1</v>
      </c>
      <c r="I545" s="18">
        <v>1</v>
      </c>
      <c r="J545" s="18">
        <v>0.14000000000000001</v>
      </c>
    </row>
    <row r="546" spans="1:10" ht="12.5" x14ac:dyDescent="0.25">
      <c r="A546" s="16">
        <v>545</v>
      </c>
      <c r="B546" s="17">
        <v>40567</v>
      </c>
      <c r="C546" s="18">
        <v>1</v>
      </c>
      <c r="D546" s="18">
        <v>0</v>
      </c>
      <c r="E546" s="18">
        <v>1</v>
      </c>
      <c r="F546" s="18">
        <v>20</v>
      </c>
      <c r="G546" s="18" t="b">
        <v>0</v>
      </c>
      <c r="H546" s="18">
        <v>1</v>
      </c>
      <c r="I546" s="18">
        <v>1</v>
      </c>
      <c r="J546" s="18">
        <v>0.14000000000000001</v>
      </c>
    </row>
    <row r="547" spans="1:10" ht="12.5" x14ac:dyDescent="0.25">
      <c r="A547" s="16">
        <v>546</v>
      </c>
      <c r="B547" s="17">
        <v>40567</v>
      </c>
      <c r="C547" s="18">
        <v>1</v>
      </c>
      <c r="D547" s="18">
        <v>0</v>
      </c>
      <c r="E547" s="18">
        <v>1</v>
      </c>
      <c r="F547" s="18">
        <v>21</v>
      </c>
      <c r="G547" s="18" t="b">
        <v>0</v>
      </c>
      <c r="H547" s="18">
        <v>1</v>
      </c>
      <c r="I547" s="18">
        <v>1</v>
      </c>
      <c r="J547" s="18">
        <v>0.14000000000000001</v>
      </c>
    </row>
    <row r="548" spans="1:10" ht="12.5" x14ac:dyDescent="0.25">
      <c r="A548" s="16">
        <v>547</v>
      </c>
      <c r="B548" s="17">
        <v>40567</v>
      </c>
      <c r="C548" s="18">
        <v>1</v>
      </c>
      <c r="D548" s="18">
        <v>0</v>
      </c>
      <c r="E548" s="18">
        <v>1</v>
      </c>
      <c r="F548" s="18">
        <v>22</v>
      </c>
      <c r="G548" s="18" t="b">
        <v>0</v>
      </c>
      <c r="H548" s="18">
        <v>1</v>
      </c>
      <c r="I548" s="18">
        <v>2</v>
      </c>
      <c r="J548" s="18">
        <v>0.14000000000000001</v>
      </c>
    </row>
    <row r="549" spans="1:10" ht="12.5" x14ac:dyDescent="0.25">
      <c r="A549" s="16">
        <v>548</v>
      </c>
      <c r="B549" s="17">
        <v>40567</v>
      </c>
      <c r="C549" s="18">
        <v>1</v>
      </c>
      <c r="D549" s="18">
        <v>0</v>
      </c>
      <c r="E549" s="18">
        <v>1</v>
      </c>
      <c r="F549" s="18">
        <v>23</v>
      </c>
      <c r="G549" s="18" t="b">
        <v>0</v>
      </c>
      <c r="H549" s="18">
        <v>1</v>
      </c>
      <c r="I549" s="18">
        <v>2</v>
      </c>
      <c r="J549" s="18">
        <v>0.16</v>
      </c>
    </row>
    <row r="550" spans="1:10" ht="12.5" x14ac:dyDescent="0.25">
      <c r="A550" s="16">
        <v>549</v>
      </c>
      <c r="B550" s="17">
        <v>40568</v>
      </c>
      <c r="C550" s="18">
        <v>1</v>
      </c>
      <c r="D550" s="18">
        <v>0</v>
      </c>
      <c r="E550" s="18">
        <v>1</v>
      </c>
      <c r="F550" s="18">
        <v>0</v>
      </c>
      <c r="G550" s="18" t="b">
        <v>0</v>
      </c>
      <c r="H550" s="18">
        <v>2</v>
      </c>
      <c r="I550" s="18">
        <v>2</v>
      </c>
      <c r="J550" s="18">
        <v>0.16</v>
      </c>
    </row>
    <row r="551" spans="1:10" ht="12.5" x14ac:dyDescent="0.25">
      <c r="A551" s="16">
        <v>550</v>
      </c>
      <c r="B551" s="17">
        <v>40568</v>
      </c>
      <c r="C551" s="18">
        <v>1</v>
      </c>
      <c r="D551" s="18">
        <v>0</v>
      </c>
      <c r="E551" s="18">
        <v>1</v>
      </c>
      <c r="F551" s="18">
        <v>1</v>
      </c>
      <c r="G551" s="18" t="b">
        <v>0</v>
      </c>
      <c r="H551" s="18">
        <v>2</v>
      </c>
      <c r="I551" s="18">
        <v>2</v>
      </c>
      <c r="J551" s="18">
        <v>0.16</v>
      </c>
    </row>
    <row r="552" spans="1:10" ht="12.5" x14ac:dyDescent="0.25">
      <c r="A552" s="16">
        <v>551</v>
      </c>
      <c r="B552" s="17">
        <v>40568</v>
      </c>
      <c r="C552" s="18">
        <v>1</v>
      </c>
      <c r="D552" s="18">
        <v>0</v>
      </c>
      <c r="E552" s="18">
        <v>1</v>
      </c>
      <c r="F552" s="18">
        <v>2</v>
      </c>
      <c r="G552" s="18" t="b">
        <v>0</v>
      </c>
      <c r="H552" s="18">
        <v>2</v>
      </c>
      <c r="I552" s="18">
        <v>1</v>
      </c>
      <c r="J552" s="18">
        <v>0.16</v>
      </c>
    </row>
    <row r="553" spans="1:10" ht="12.5" x14ac:dyDescent="0.25">
      <c r="A553" s="16">
        <v>552</v>
      </c>
      <c r="B553" s="17">
        <v>40568</v>
      </c>
      <c r="C553" s="18">
        <v>1</v>
      </c>
      <c r="D553" s="18">
        <v>0</v>
      </c>
      <c r="E553" s="18">
        <v>1</v>
      </c>
      <c r="F553" s="18">
        <v>4</v>
      </c>
      <c r="G553" s="18" t="b">
        <v>0</v>
      </c>
      <c r="H553" s="18">
        <v>2</v>
      </c>
      <c r="I553" s="18">
        <v>1</v>
      </c>
      <c r="J553" s="18">
        <v>0.14000000000000001</v>
      </c>
    </row>
    <row r="554" spans="1:10" ht="12.5" x14ac:dyDescent="0.25">
      <c r="A554" s="16">
        <v>553</v>
      </c>
      <c r="B554" s="17">
        <v>40568</v>
      </c>
      <c r="C554" s="18">
        <v>1</v>
      </c>
      <c r="D554" s="18">
        <v>0</v>
      </c>
      <c r="E554" s="18">
        <v>1</v>
      </c>
      <c r="F554" s="18">
        <v>5</v>
      </c>
      <c r="G554" s="18" t="b">
        <v>0</v>
      </c>
      <c r="H554" s="18">
        <v>2</v>
      </c>
      <c r="I554" s="18">
        <v>1</v>
      </c>
      <c r="J554" s="18">
        <v>0.14000000000000001</v>
      </c>
    </row>
    <row r="555" spans="1:10" ht="12.5" x14ac:dyDescent="0.25">
      <c r="A555" s="16">
        <v>554</v>
      </c>
      <c r="B555" s="17">
        <v>40568</v>
      </c>
      <c r="C555" s="18">
        <v>1</v>
      </c>
      <c r="D555" s="18">
        <v>0</v>
      </c>
      <c r="E555" s="18">
        <v>1</v>
      </c>
      <c r="F555" s="18">
        <v>6</v>
      </c>
      <c r="G555" s="18" t="b">
        <v>0</v>
      </c>
      <c r="H555" s="18">
        <v>2</v>
      </c>
      <c r="I555" s="18">
        <v>1</v>
      </c>
      <c r="J555" s="18">
        <v>0.16</v>
      </c>
    </row>
    <row r="556" spans="1:10" ht="12.5" x14ac:dyDescent="0.25">
      <c r="A556" s="16">
        <v>555</v>
      </c>
      <c r="B556" s="17">
        <v>40568</v>
      </c>
      <c r="C556" s="18">
        <v>1</v>
      </c>
      <c r="D556" s="18">
        <v>0</v>
      </c>
      <c r="E556" s="18">
        <v>1</v>
      </c>
      <c r="F556" s="18">
        <v>7</v>
      </c>
      <c r="G556" s="18" t="b">
        <v>0</v>
      </c>
      <c r="H556" s="18">
        <v>2</v>
      </c>
      <c r="I556" s="18">
        <v>1</v>
      </c>
      <c r="J556" s="18">
        <v>0.16</v>
      </c>
    </row>
    <row r="557" spans="1:10" ht="12.5" x14ac:dyDescent="0.25">
      <c r="A557" s="16">
        <v>556</v>
      </c>
      <c r="B557" s="17">
        <v>40568</v>
      </c>
      <c r="C557" s="18">
        <v>1</v>
      </c>
      <c r="D557" s="18">
        <v>0</v>
      </c>
      <c r="E557" s="18">
        <v>1</v>
      </c>
      <c r="F557" s="18">
        <v>8</v>
      </c>
      <c r="G557" s="18" t="b">
        <v>0</v>
      </c>
      <c r="H557" s="18">
        <v>2</v>
      </c>
      <c r="I557" s="18">
        <v>2</v>
      </c>
      <c r="J557" s="18">
        <v>0.16</v>
      </c>
    </row>
    <row r="558" spans="1:10" ht="12.5" x14ac:dyDescent="0.25">
      <c r="A558" s="16">
        <v>557</v>
      </c>
      <c r="B558" s="17">
        <v>40568</v>
      </c>
      <c r="C558" s="18">
        <v>1</v>
      </c>
      <c r="D558" s="18">
        <v>0</v>
      </c>
      <c r="E558" s="18">
        <v>1</v>
      </c>
      <c r="F558" s="18">
        <v>9</v>
      </c>
      <c r="G558" s="18" t="b">
        <v>0</v>
      </c>
      <c r="H558" s="18">
        <v>2</v>
      </c>
      <c r="I558" s="18">
        <v>2</v>
      </c>
      <c r="J558" s="18">
        <v>0.2</v>
      </c>
    </row>
    <row r="559" spans="1:10" ht="12.5" x14ac:dyDescent="0.25">
      <c r="A559" s="16">
        <v>558</v>
      </c>
      <c r="B559" s="17">
        <v>40568</v>
      </c>
      <c r="C559" s="18">
        <v>1</v>
      </c>
      <c r="D559" s="18">
        <v>0</v>
      </c>
      <c r="E559" s="18">
        <v>1</v>
      </c>
      <c r="F559" s="18">
        <v>10</v>
      </c>
      <c r="G559" s="18" t="b">
        <v>0</v>
      </c>
      <c r="H559" s="18">
        <v>2</v>
      </c>
      <c r="I559" s="18">
        <v>2</v>
      </c>
      <c r="J559" s="18">
        <v>0.22</v>
      </c>
    </row>
    <row r="560" spans="1:10" ht="12.5" x14ac:dyDescent="0.25">
      <c r="A560" s="16">
        <v>559</v>
      </c>
      <c r="B560" s="17">
        <v>40568</v>
      </c>
      <c r="C560" s="18">
        <v>1</v>
      </c>
      <c r="D560" s="18">
        <v>0</v>
      </c>
      <c r="E560" s="18">
        <v>1</v>
      </c>
      <c r="F560" s="18">
        <v>11</v>
      </c>
      <c r="G560" s="18" t="b">
        <v>0</v>
      </c>
      <c r="H560" s="18">
        <v>2</v>
      </c>
      <c r="I560" s="18">
        <v>2</v>
      </c>
      <c r="J560" s="18">
        <v>0.24</v>
      </c>
    </row>
    <row r="561" spans="1:10" ht="12.5" x14ac:dyDescent="0.25">
      <c r="A561" s="16">
        <v>560</v>
      </c>
      <c r="B561" s="17">
        <v>40568</v>
      </c>
      <c r="C561" s="18">
        <v>1</v>
      </c>
      <c r="D561" s="18">
        <v>0</v>
      </c>
      <c r="E561" s="18">
        <v>1</v>
      </c>
      <c r="F561" s="18">
        <v>12</v>
      </c>
      <c r="G561" s="18" t="b">
        <v>0</v>
      </c>
      <c r="H561" s="18">
        <v>2</v>
      </c>
      <c r="I561" s="18">
        <v>2</v>
      </c>
      <c r="J561" s="18">
        <v>0.26</v>
      </c>
    </row>
    <row r="562" spans="1:10" ht="12.5" x14ac:dyDescent="0.25">
      <c r="A562" s="16">
        <v>561</v>
      </c>
      <c r="B562" s="17">
        <v>40568</v>
      </c>
      <c r="C562" s="18">
        <v>1</v>
      </c>
      <c r="D562" s="18">
        <v>0</v>
      </c>
      <c r="E562" s="18">
        <v>1</v>
      </c>
      <c r="F562" s="18">
        <v>13</v>
      </c>
      <c r="G562" s="18" t="b">
        <v>0</v>
      </c>
      <c r="H562" s="18">
        <v>2</v>
      </c>
      <c r="I562" s="18">
        <v>2</v>
      </c>
      <c r="J562" s="18">
        <v>0.26</v>
      </c>
    </row>
    <row r="563" spans="1:10" ht="12.5" x14ac:dyDescent="0.25">
      <c r="A563" s="16">
        <v>562</v>
      </c>
      <c r="B563" s="17">
        <v>40568</v>
      </c>
      <c r="C563" s="18">
        <v>1</v>
      </c>
      <c r="D563" s="18">
        <v>0</v>
      </c>
      <c r="E563" s="18">
        <v>1</v>
      </c>
      <c r="F563" s="18">
        <v>14</v>
      </c>
      <c r="G563" s="18" t="b">
        <v>0</v>
      </c>
      <c r="H563" s="18">
        <v>2</v>
      </c>
      <c r="I563" s="18">
        <v>2</v>
      </c>
      <c r="J563" s="18">
        <v>0.3</v>
      </c>
    </row>
    <row r="564" spans="1:10" ht="12.5" x14ac:dyDescent="0.25">
      <c r="A564" s="16">
        <v>563</v>
      </c>
      <c r="B564" s="17">
        <v>40568</v>
      </c>
      <c r="C564" s="18">
        <v>1</v>
      </c>
      <c r="D564" s="18">
        <v>0</v>
      </c>
      <c r="E564" s="18">
        <v>1</v>
      </c>
      <c r="F564" s="18">
        <v>15</v>
      </c>
      <c r="G564" s="18" t="b">
        <v>0</v>
      </c>
      <c r="H564" s="18">
        <v>2</v>
      </c>
      <c r="I564" s="18">
        <v>2</v>
      </c>
      <c r="J564" s="18">
        <v>0.32</v>
      </c>
    </row>
    <row r="565" spans="1:10" ht="12.5" x14ac:dyDescent="0.25">
      <c r="A565" s="16">
        <v>564</v>
      </c>
      <c r="B565" s="17">
        <v>40568</v>
      </c>
      <c r="C565" s="18">
        <v>1</v>
      </c>
      <c r="D565" s="18">
        <v>0</v>
      </c>
      <c r="E565" s="18">
        <v>1</v>
      </c>
      <c r="F565" s="18">
        <v>16</v>
      </c>
      <c r="G565" s="18" t="b">
        <v>0</v>
      </c>
      <c r="H565" s="18">
        <v>2</v>
      </c>
      <c r="I565" s="18">
        <v>2</v>
      </c>
      <c r="J565" s="18">
        <v>0.32</v>
      </c>
    </row>
    <row r="566" spans="1:10" ht="12.5" x14ac:dyDescent="0.25">
      <c r="A566" s="16">
        <v>565</v>
      </c>
      <c r="B566" s="17">
        <v>40568</v>
      </c>
      <c r="C566" s="18">
        <v>1</v>
      </c>
      <c r="D566" s="18">
        <v>0</v>
      </c>
      <c r="E566" s="18">
        <v>1</v>
      </c>
      <c r="F566" s="18">
        <v>17</v>
      </c>
      <c r="G566" s="18" t="b">
        <v>0</v>
      </c>
      <c r="H566" s="18">
        <v>2</v>
      </c>
      <c r="I566" s="18">
        <v>1</v>
      </c>
      <c r="J566" s="18">
        <v>0.3</v>
      </c>
    </row>
    <row r="567" spans="1:10" ht="12.5" x14ac:dyDescent="0.25">
      <c r="A567" s="16">
        <v>566</v>
      </c>
      <c r="B567" s="17">
        <v>40568</v>
      </c>
      <c r="C567" s="18">
        <v>1</v>
      </c>
      <c r="D567" s="18">
        <v>0</v>
      </c>
      <c r="E567" s="18">
        <v>1</v>
      </c>
      <c r="F567" s="18">
        <v>18</v>
      </c>
      <c r="G567" s="18" t="b">
        <v>0</v>
      </c>
      <c r="H567" s="18">
        <v>2</v>
      </c>
      <c r="I567" s="18">
        <v>2</v>
      </c>
      <c r="J567" s="18">
        <v>0.3</v>
      </c>
    </row>
    <row r="568" spans="1:10" ht="12.5" x14ac:dyDescent="0.25">
      <c r="A568" s="16">
        <v>567</v>
      </c>
      <c r="B568" s="17">
        <v>40568</v>
      </c>
      <c r="C568" s="18">
        <v>1</v>
      </c>
      <c r="D568" s="18">
        <v>0</v>
      </c>
      <c r="E568" s="18">
        <v>1</v>
      </c>
      <c r="F568" s="18">
        <v>19</v>
      </c>
      <c r="G568" s="18" t="b">
        <v>0</v>
      </c>
      <c r="H568" s="18">
        <v>2</v>
      </c>
      <c r="I568" s="18">
        <v>2</v>
      </c>
      <c r="J568" s="18">
        <v>0.26</v>
      </c>
    </row>
    <row r="569" spans="1:10" ht="12.5" x14ac:dyDescent="0.25">
      <c r="A569" s="16">
        <v>568</v>
      </c>
      <c r="B569" s="17">
        <v>40568</v>
      </c>
      <c r="C569" s="18">
        <v>1</v>
      </c>
      <c r="D569" s="18">
        <v>0</v>
      </c>
      <c r="E569" s="18">
        <v>1</v>
      </c>
      <c r="F569" s="18">
        <v>20</v>
      </c>
      <c r="G569" s="18" t="b">
        <v>0</v>
      </c>
      <c r="H569" s="18">
        <v>2</v>
      </c>
      <c r="I569" s="18">
        <v>1</v>
      </c>
      <c r="J569" s="18">
        <v>0.24</v>
      </c>
    </row>
    <row r="570" spans="1:10" ht="12.5" x14ac:dyDescent="0.25">
      <c r="A570" s="16">
        <v>569</v>
      </c>
      <c r="B570" s="17">
        <v>40568</v>
      </c>
      <c r="C570" s="18">
        <v>1</v>
      </c>
      <c r="D570" s="18">
        <v>0</v>
      </c>
      <c r="E570" s="18">
        <v>1</v>
      </c>
      <c r="F570" s="18">
        <v>21</v>
      </c>
      <c r="G570" s="18" t="b">
        <v>0</v>
      </c>
      <c r="H570" s="18">
        <v>2</v>
      </c>
      <c r="I570" s="18">
        <v>1</v>
      </c>
      <c r="J570" s="18">
        <v>0.24</v>
      </c>
    </row>
    <row r="571" spans="1:10" ht="12.5" x14ac:dyDescent="0.25">
      <c r="A571" s="16">
        <v>570</v>
      </c>
      <c r="B571" s="17">
        <v>40568</v>
      </c>
      <c r="C571" s="18">
        <v>1</v>
      </c>
      <c r="D571" s="18">
        <v>0</v>
      </c>
      <c r="E571" s="18">
        <v>1</v>
      </c>
      <c r="F571" s="18">
        <v>22</v>
      </c>
      <c r="G571" s="18" t="b">
        <v>0</v>
      </c>
      <c r="H571" s="18">
        <v>2</v>
      </c>
      <c r="I571" s="18">
        <v>1</v>
      </c>
      <c r="J571" s="18">
        <v>0.22</v>
      </c>
    </row>
    <row r="572" spans="1:10" ht="12.5" x14ac:dyDescent="0.25">
      <c r="A572" s="16">
        <v>571</v>
      </c>
      <c r="B572" s="17">
        <v>40568</v>
      </c>
      <c r="C572" s="18">
        <v>1</v>
      </c>
      <c r="D572" s="18">
        <v>0</v>
      </c>
      <c r="E572" s="18">
        <v>1</v>
      </c>
      <c r="F572" s="18">
        <v>23</v>
      </c>
      <c r="G572" s="18" t="b">
        <v>0</v>
      </c>
      <c r="H572" s="18">
        <v>2</v>
      </c>
      <c r="I572" s="18">
        <v>2</v>
      </c>
      <c r="J572" s="18">
        <v>0.22</v>
      </c>
    </row>
    <row r="573" spans="1:10" ht="12.5" x14ac:dyDescent="0.25">
      <c r="A573" s="16">
        <v>572</v>
      </c>
      <c r="B573" s="17">
        <v>40569</v>
      </c>
      <c r="C573" s="18">
        <v>1</v>
      </c>
      <c r="D573" s="18">
        <v>0</v>
      </c>
      <c r="E573" s="18">
        <v>1</v>
      </c>
      <c r="F573" s="18">
        <v>0</v>
      </c>
      <c r="G573" s="18" t="b">
        <v>0</v>
      </c>
      <c r="H573" s="18">
        <v>3</v>
      </c>
      <c r="I573" s="18">
        <v>2</v>
      </c>
      <c r="J573" s="18">
        <v>0.22</v>
      </c>
    </row>
    <row r="574" spans="1:10" ht="12.5" x14ac:dyDescent="0.25">
      <c r="A574" s="16">
        <v>573</v>
      </c>
      <c r="B574" s="17">
        <v>40569</v>
      </c>
      <c r="C574" s="18">
        <v>1</v>
      </c>
      <c r="D574" s="18">
        <v>0</v>
      </c>
      <c r="E574" s="18">
        <v>1</v>
      </c>
      <c r="F574" s="18">
        <v>1</v>
      </c>
      <c r="G574" s="18" t="b">
        <v>0</v>
      </c>
      <c r="H574" s="18">
        <v>3</v>
      </c>
      <c r="I574" s="18">
        <v>2</v>
      </c>
      <c r="J574" s="18">
        <v>0.24</v>
      </c>
    </row>
    <row r="575" spans="1:10" ht="12.5" x14ac:dyDescent="0.25">
      <c r="A575" s="16">
        <v>574</v>
      </c>
      <c r="B575" s="17">
        <v>40569</v>
      </c>
      <c r="C575" s="18">
        <v>1</v>
      </c>
      <c r="D575" s="18">
        <v>0</v>
      </c>
      <c r="E575" s="18">
        <v>1</v>
      </c>
      <c r="F575" s="18">
        <v>2</v>
      </c>
      <c r="G575" s="18" t="b">
        <v>0</v>
      </c>
      <c r="H575" s="18">
        <v>3</v>
      </c>
      <c r="I575" s="18">
        <v>3</v>
      </c>
      <c r="J575" s="18">
        <v>0.22</v>
      </c>
    </row>
    <row r="576" spans="1:10" ht="12.5" x14ac:dyDescent="0.25">
      <c r="A576" s="16">
        <v>575</v>
      </c>
      <c r="B576" s="17">
        <v>40569</v>
      </c>
      <c r="C576" s="18">
        <v>1</v>
      </c>
      <c r="D576" s="18">
        <v>0</v>
      </c>
      <c r="E576" s="18">
        <v>1</v>
      </c>
      <c r="F576" s="18">
        <v>5</v>
      </c>
      <c r="G576" s="18" t="b">
        <v>0</v>
      </c>
      <c r="H576" s="18">
        <v>3</v>
      </c>
      <c r="I576" s="18">
        <v>3</v>
      </c>
      <c r="J576" s="18">
        <v>0.2</v>
      </c>
    </row>
    <row r="577" spans="1:10" ht="12.5" x14ac:dyDescent="0.25">
      <c r="A577" s="16">
        <v>576</v>
      </c>
      <c r="B577" s="17">
        <v>40569</v>
      </c>
      <c r="C577" s="18">
        <v>1</v>
      </c>
      <c r="D577" s="18">
        <v>0</v>
      </c>
      <c r="E577" s="18">
        <v>1</v>
      </c>
      <c r="F577" s="18">
        <v>6</v>
      </c>
      <c r="G577" s="18" t="b">
        <v>0</v>
      </c>
      <c r="H577" s="18">
        <v>3</v>
      </c>
      <c r="I577" s="18">
        <v>3</v>
      </c>
      <c r="J577" s="18">
        <v>0.2</v>
      </c>
    </row>
    <row r="578" spans="1:10" ht="12.5" x14ac:dyDescent="0.25">
      <c r="A578" s="16">
        <v>577</v>
      </c>
      <c r="B578" s="17">
        <v>40569</v>
      </c>
      <c r="C578" s="18">
        <v>1</v>
      </c>
      <c r="D578" s="18">
        <v>0</v>
      </c>
      <c r="E578" s="18">
        <v>1</v>
      </c>
      <c r="F578" s="18">
        <v>7</v>
      </c>
      <c r="G578" s="18" t="b">
        <v>0</v>
      </c>
      <c r="H578" s="18">
        <v>3</v>
      </c>
      <c r="I578" s="18">
        <v>3</v>
      </c>
      <c r="J578" s="18">
        <v>0.22</v>
      </c>
    </row>
    <row r="579" spans="1:10" ht="12.5" x14ac:dyDescent="0.25">
      <c r="A579" s="16">
        <v>578</v>
      </c>
      <c r="B579" s="17">
        <v>40569</v>
      </c>
      <c r="C579" s="18">
        <v>1</v>
      </c>
      <c r="D579" s="18">
        <v>0</v>
      </c>
      <c r="E579" s="18">
        <v>1</v>
      </c>
      <c r="F579" s="18">
        <v>8</v>
      </c>
      <c r="G579" s="18" t="b">
        <v>0</v>
      </c>
      <c r="H579" s="18">
        <v>3</v>
      </c>
      <c r="I579" s="18">
        <v>3</v>
      </c>
      <c r="J579" s="18">
        <v>0.22</v>
      </c>
    </row>
    <row r="580" spans="1:10" ht="12.5" x14ac:dyDescent="0.25">
      <c r="A580" s="16">
        <v>579</v>
      </c>
      <c r="B580" s="17">
        <v>40569</v>
      </c>
      <c r="C580" s="18">
        <v>1</v>
      </c>
      <c r="D580" s="18">
        <v>0</v>
      </c>
      <c r="E580" s="18">
        <v>1</v>
      </c>
      <c r="F580" s="18">
        <v>9</v>
      </c>
      <c r="G580" s="18" t="b">
        <v>0</v>
      </c>
      <c r="H580" s="18">
        <v>3</v>
      </c>
      <c r="I580" s="18">
        <v>3</v>
      </c>
      <c r="J580" s="18">
        <v>0.22</v>
      </c>
    </row>
    <row r="581" spans="1:10" ht="12.5" x14ac:dyDescent="0.25">
      <c r="A581" s="16">
        <v>580</v>
      </c>
      <c r="B581" s="17">
        <v>40569</v>
      </c>
      <c r="C581" s="18">
        <v>1</v>
      </c>
      <c r="D581" s="18">
        <v>0</v>
      </c>
      <c r="E581" s="18">
        <v>1</v>
      </c>
      <c r="F581" s="18">
        <v>10</v>
      </c>
      <c r="G581" s="18" t="b">
        <v>0</v>
      </c>
      <c r="H581" s="18">
        <v>3</v>
      </c>
      <c r="I581" s="18">
        <v>3</v>
      </c>
      <c r="J581" s="18">
        <v>0.22</v>
      </c>
    </row>
    <row r="582" spans="1:10" ht="12.5" x14ac:dyDescent="0.25">
      <c r="A582" s="16">
        <v>581</v>
      </c>
      <c r="B582" s="17">
        <v>40569</v>
      </c>
      <c r="C582" s="18">
        <v>1</v>
      </c>
      <c r="D582" s="18">
        <v>0</v>
      </c>
      <c r="E582" s="18">
        <v>1</v>
      </c>
      <c r="F582" s="18">
        <v>11</v>
      </c>
      <c r="G582" s="18" t="b">
        <v>0</v>
      </c>
      <c r="H582" s="18">
        <v>3</v>
      </c>
      <c r="I582" s="18">
        <v>3</v>
      </c>
      <c r="J582" s="18">
        <v>0.22</v>
      </c>
    </row>
    <row r="583" spans="1:10" ht="12.5" x14ac:dyDescent="0.25">
      <c r="A583" s="16">
        <v>582</v>
      </c>
      <c r="B583" s="17">
        <v>40569</v>
      </c>
      <c r="C583" s="18">
        <v>1</v>
      </c>
      <c r="D583" s="18">
        <v>0</v>
      </c>
      <c r="E583" s="18">
        <v>1</v>
      </c>
      <c r="F583" s="18">
        <v>12</v>
      </c>
      <c r="G583" s="18" t="b">
        <v>0</v>
      </c>
      <c r="H583" s="18">
        <v>3</v>
      </c>
      <c r="I583" s="18">
        <v>3</v>
      </c>
      <c r="J583" s="18">
        <v>0.22</v>
      </c>
    </row>
    <row r="584" spans="1:10" ht="12.5" x14ac:dyDescent="0.25">
      <c r="A584" s="16">
        <v>583</v>
      </c>
      <c r="B584" s="17">
        <v>40569</v>
      </c>
      <c r="C584" s="18">
        <v>1</v>
      </c>
      <c r="D584" s="18">
        <v>0</v>
      </c>
      <c r="E584" s="18">
        <v>1</v>
      </c>
      <c r="F584" s="18">
        <v>13</v>
      </c>
      <c r="G584" s="18" t="b">
        <v>0</v>
      </c>
      <c r="H584" s="18">
        <v>3</v>
      </c>
      <c r="I584" s="18">
        <v>3</v>
      </c>
      <c r="J584" s="18">
        <v>0.22</v>
      </c>
    </row>
    <row r="585" spans="1:10" ht="12.5" x14ac:dyDescent="0.25">
      <c r="A585" s="16">
        <v>584</v>
      </c>
      <c r="B585" s="17">
        <v>40569</v>
      </c>
      <c r="C585" s="18">
        <v>1</v>
      </c>
      <c r="D585" s="18">
        <v>0</v>
      </c>
      <c r="E585" s="18">
        <v>1</v>
      </c>
      <c r="F585" s="18">
        <v>14</v>
      </c>
      <c r="G585" s="18" t="b">
        <v>0</v>
      </c>
      <c r="H585" s="18">
        <v>3</v>
      </c>
      <c r="I585" s="18">
        <v>3</v>
      </c>
      <c r="J585" s="18">
        <v>0.22</v>
      </c>
    </row>
    <row r="586" spans="1:10" ht="12.5" x14ac:dyDescent="0.25">
      <c r="A586" s="16">
        <v>585</v>
      </c>
      <c r="B586" s="17">
        <v>40569</v>
      </c>
      <c r="C586" s="18">
        <v>1</v>
      </c>
      <c r="D586" s="18">
        <v>0</v>
      </c>
      <c r="E586" s="18">
        <v>1</v>
      </c>
      <c r="F586" s="18">
        <v>15</v>
      </c>
      <c r="G586" s="18" t="b">
        <v>0</v>
      </c>
      <c r="H586" s="18">
        <v>3</v>
      </c>
      <c r="I586" s="18">
        <v>3</v>
      </c>
      <c r="J586" s="18">
        <v>0.22</v>
      </c>
    </row>
    <row r="587" spans="1:10" ht="12.5" x14ac:dyDescent="0.25">
      <c r="A587" s="16">
        <v>586</v>
      </c>
      <c r="B587" s="17">
        <v>40569</v>
      </c>
      <c r="C587" s="18">
        <v>1</v>
      </c>
      <c r="D587" s="18">
        <v>0</v>
      </c>
      <c r="E587" s="18">
        <v>1</v>
      </c>
      <c r="F587" s="18">
        <v>16</v>
      </c>
      <c r="G587" s="18" t="b">
        <v>0</v>
      </c>
      <c r="H587" s="18">
        <v>3</v>
      </c>
      <c r="I587" s="18">
        <v>4</v>
      </c>
      <c r="J587" s="18">
        <v>0.22</v>
      </c>
    </row>
    <row r="588" spans="1:10" ht="12.5" x14ac:dyDescent="0.25">
      <c r="A588" s="16">
        <v>587</v>
      </c>
      <c r="B588" s="17">
        <v>40569</v>
      </c>
      <c r="C588" s="18">
        <v>1</v>
      </c>
      <c r="D588" s="18">
        <v>0</v>
      </c>
      <c r="E588" s="18">
        <v>1</v>
      </c>
      <c r="F588" s="18">
        <v>17</v>
      </c>
      <c r="G588" s="18" t="b">
        <v>0</v>
      </c>
      <c r="H588" s="18">
        <v>3</v>
      </c>
      <c r="I588" s="18">
        <v>3</v>
      </c>
      <c r="J588" s="18">
        <v>0.2</v>
      </c>
    </row>
    <row r="589" spans="1:10" ht="12.5" x14ac:dyDescent="0.25">
      <c r="A589" s="16">
        <v>588</v>
      </c>
      <c r="B589" s="17">
        <v>40570</v>
      </c>
      <c r="C589" s="18">
        <v>1</v>
      </c>
      <c r="D589" s="18">
        <v>0</v>
      </c>
      <c r="E589" s="18">
        <v>1</v>
      </c>
      <c r="F589" s="18">
        <v>16</v>
      </c>
      <c r="G589" s="18" t="b">
        <v>0</v>
      </c>
      <c r="H589" s="18">
        <v>4</v>
      </c>
      <c r="I589" s="18">
        <v>1</v>
      </c>
      <c r="J589" s="18">
        <v>0.22</v>
      </c>
    </row>
    <row r="590" spans="1:10" ht="12.5" x14ac:dyDescent="0.25">
      <c r="A590" s="16">
        <v>589</v>
      </c>
      <c r="B590" s="17">
        <v>40570</v>
      </c>
      <c r="C590" s="18">
        <v>1</v>
      </c>
      <c r="D590" s="18">
        <v>0</v>
      </c>
      <c r="E590" s="18">
        <v>1</v>
      </c>
      <c r="F590" s="18">
        <v>17</v>
      </c>
      <c r="G590" s="18" t="b">
        <v>0</v>
      </c>
      <c r="H590" s="18">
        <v>4</v>
      </c>
      <c r="I590" s="18">
        <v>1</v>
      </c>
      <c r="J590" s="18">
        <v>0.22</v>
      </c>
    </row>
    <row r="591" spans="1:10" ht="12.5" x14ac:dyDescent="0.25">
      <c r="A591" s="16">
        <v>590</v>
      </c>
      <c r="B591" s="17">
        <v>40570</v>
      </c>
      <c r="C591" s="18">
        <v>1</v>
      </c>
      <c r="D591" s="18">
        <v>0</v>
      </c>
      <c r="E591" s="18">
        <v>1</v>
      </c>
      <c r="F591" s="18">
        <v>18</v>
      </c>
      <c r="G591" s="18" t="b">
        <v>0</v>
      </c>
      <c r="H591" s="18">
        <v>4</v>
      </c>
      <c r="I591" s="18">
        <v>1</v>
      </c>
      <c r="J591" s="18">
        <v>0.2</v>
      </c>
    </row>
    <row r="592" spans="1:10" ht="12.5" x14ac:dyDescent="0.25">
      <c r="A592" s="16">
        <v>591</v>
      </c>
      <c r="B592" s="17">
        <v>40570</v>
      </c>
      <c r="C592" s="18">
        <v>1</v>
      </c>
      <c r="D592" s="18">
        <v>0</v>
      </c>
      <c r="E592" s="18">
        <v>1</v>
      </c>
      <c r="F592" s="18">
        <v>19</v>
      </c>
      <c r="G592" s="18" t="b">
        <v>0</v>
      </c>
      <c r="H592" s="18">
        <v>4</v>
      </c>
      <c r="I592" s="18">
        <v>1</v>
      </c>
      <c r="J592" s="18">
        <v>0.2</v>
      </c>
    </row>
    <row r="593" spans="1:10" ht="12.5" x14ac:dyDescent="0.25">
      <c r="A593" s="16">
        <v>592</v>
      </c>
      <c r="B593" s="17">
        <v>40570</v>
      </c>
      <c r="C593" s="18">
        <v>1</v>
      </c>
      <c r="D593" s="18">
        <v>0</v>
      </c>
      <c r="E593" s="18">
        <v>1</v>
      </c>
      <c r="F593" s="18">
        <v>20</v>
      </c>
      <c r="G593" s="18" t="b">
        <v>0</v>
      </c>
      <c r="H593" s="18">
        <v>4</v>
      </c>
      <c r="I593" s="18">
        <v>1</v>
      </c>
      <c r="J593" s="18">
        <v>0.18</v>
      </c>
    </row>
    <row r="594" spans="1:10" ht="12.5" x14ac:dyDescent="0.25">
      <c r="A594" s="16">
        <v>593</v>
      </c>
      <c r="B594" s="17">
        <v>40570</v>
      </c>
      <c r="C594" s="18">
        <v>1</v>
      </c>
      <c r="D594" s="18">
        <v>0</v>
      </c>
      <c r="E594" s="18">
        <v>1</v>
      </c>
      <c r="F594" s="18">
        <v>21</v>
      </c>
      <c r="G594" s="18" t="b">
        <v>0</v>
      </c>
      <c r="H594" s="18">
        <v>4</v>
      </c>
      <c r="I594" s="18">
        <v>1</v>
      </c>
      <c r="J594" s="18">
        <v>0.18</v>
      </c>
    </row>
    <row r="595" spans="1:10" ht="12.5" x14ac:dyDescent="0.25">
      <c r="A595" s="16">
        <v>594</v>
      </c>
      <c r="B595" s="17">
        <v>40570</v>
      </c>
      <c r="C595" s="18">
        <v>1</v>
      </c>
      <c r="D595" s="18">
        <v>0</v>
      </c>
      <c r="E595" s="18">
        <v>1</v>
      </c>
      <c r="F595" s="18">
        <v>22</v>
      </c>
      <c r="G595" s="18" t="b">
        <v>0</v>
      </c>
      <c r="H595" s="18">
        <v>4</v>
      </c>
      <c r="I595" s="18">
        <v>1</v>
      </c>
      <c r="J595" s="18">
        <v>0.18</v>
      </c>
    </row>
    <row r="596" spans="1:10" ht="12.5" x14ac:dyDescent="0.25">
      <c r="A596" s="16">
        <v>595</v>
      </c>
      <c r="B596" s="17">
        <v>40570</v>
      </c>
      <c r="C596" s="18">
        <v>1</v>
      </c>
      <c r="D596" s="18">
        <v>0</v>
      </c>
      <c r="E596" s="18">
        <v>1</v>
      </c>
      <c r="F596" s="18">
        <v>23</v>
      </c>
      <c r="G596" s="18" t="b">
        <v>0</v>
      </c>
      <c r="H596" s="18">
        <v>4</v>
      </c>
      <c r="I596" s="18">
        <v>1</v>
      </c>
      <c r="J596" s="18">
        <v>0.18</v>
      </c>
    </row>
    <row r="597" spans="1:10" ht="12.5" x14ac:dyDescent="0.25">
      <c r="A597" s="16">
        <v>596</v>
      </c>
      <c r="B597" s="17">
        <v>40571</v>
      </c>
      <c r="C597" s="18">
        <v>1</v>
      </c>
      <c r="D597" s="18">
        <v>0</v>
      </c>
      <c r="E597" s="18">
        <v>1</v>
      </c>
      <c r="F597" s="18">
        <v>0</v>
      </c>
      <c r="G597" s="18" t="b">
        <v>0</v>
      </c>
      <c r="H597" s="18">
        <v>5</v>
      </c>
      <c r="I597" s="18">
        <v>2</v>
      </c>
      <c r="J597" s="18">
        <v>0.2</v>
      </c>
    </row>
    <row r="598" spans="1:10" ht="12.5" x14ac:dyDescent="0.25">
      <c r="A598" s="16">
        <v>597</v>
      </c>
      <c r="B598" s="17">
        <v>40571</v>
      </c>
      <c r="C598" s="18">
        <v>1</v>
      </c>
      <c r="D598" s="18">
        <v>0</v>
      </c>
      <c r="E598" s="18">
        <v>1</v>
      </c>
      <c r="F598" s="18">
        <v>1</v>
      </c>
      <c r="G598" s="18" t="b">
        <v>0</v>
      </c>
      <c r="H598" s="18">
        <v>5</v>
      </c>
      <c r="I598" s="18">
        <v>2</v>
      </c>
      <c r="J598" s="18">
        <v>0.2</v>
      </c>
    </row>
    <row r="599" spans="1:10" ht="12.5" x14ac:dyDescent="0.25">
      <c r="A599" s="16">
        <v>598</v>
      </c>
      <c r="B599" s="17">
        <v>40571</v>
      </c>
      <c r="C599" s="18">
        <v>1</v>
      </c>
      <c r="D599" s="18">
        <v>0</v>
      </c>
      <c r="E599" s="18">
        <v>1</v>
      </c>
      <c r="F599" s="18">
        <v>2</v>
      </c>
      <c r="G599" s="18" t="b">
        <v>0</v>
      </c>
      <c r="H599" s="18">
        <v>5</v>
      </c>
      <c r="I599" s="18">
        <v>2</v>
      </c>
      <c r="J599" s="18">
        <v>0.2</v>
      </c>
    </row>
    <row r="600" spans="1:10" ht="12.5" x14ac:dyDescent="0.25">
      <c r="A600" s="16">
        <v>599</v>
      </c>
      <c r="B600" s="17">
        <v>40571</v>
      </c>
      <c r="C600" s="18">
        <v>1</v>
      </c>
      <c r="D600" s="18">
        <v>0</v>
      </c>
      <c r="E600" s="18">
        <v>1</v>
      </c>
      <c r="F600" s="18">
        <v>3</v>
      </c>
      <c r="G600" s="18" t="b">
        <v>0</v>
      </c>
      <c r="H600" s="18">
        <v>5</v>
      </c>
      <c r="I600" s="18">
        <v>2</v>
      </c>
      <c r="J600" s="18">
        <v>0.2</v>
      </c>
    </row>
    <row r="601" spans="1:10" ht="12.5" x14ac:dyDescent="0.25">
      <c r="A601" s="16">
        <v>600</v>
      </c>
      <c r="B601" s="17">
        <v>40571</v>
      </c>
      <c r="C601" s="18">
        <v>1</v>
      </c>
      <c r="D601" s="18">
        <v>0</v>
      </c>
      <c r="E601" s="18">
        <v>1</v>
      </c>
      <c r="F601" s="18">
        <v>5</v>
      </c>
      <c r="G601" s="18" t="b">
        <v>0</v>
      </c>
      <c r="H601" s="18">
        <v>5</v>
      </c>
      <c r="I601" s="18">
        <v>2</v>
      </c>
      <c r="J601" s="18">
        <v>0.18</v>
      </c>
    </row>
    <row r="602" spans="1:10" ht="12.5" x14ac:dyDescent="0.25">
      <c r="A602" s="16">
        <v>601</v>
      </c>
      <c r="B602" s="17">
        <v>40571</v>
      </c>
      <c r="C602" s="18">
        <v>1</v>
      </c>
      <c r="D602" s="18">
        <v>0</v>
      </c>
      <c r="E602" s="18">
        <v>1</v>
      </c>
      <c r="F602" s="18">
        <v>6</v>
      </c>
      <c r="G602" s="18" t="b">
        <v>0</v>
      </c>
      <c r="H602" s="18">
        <v>5</v>
      </c>
      <c r="I602" s="18">
        <v>2</v>
      </c>
      <c r="J602" s="18">
        <v>0.18</v>
      </c>
    </row>
    <row r="603" spans="1:10" ht="12.5" x14ac:dyDescent="0.25">
      <c r="A603" s="16">
        <v>602</v>
      </c>
      <c r="B603" s="17">
        <v>40571</v>
      </c>
      <c r="C603" s="18">
        <v>1</v>
      </c>
      <c r="D603" s="18">
        <v>0</v>
      </c>
      <c r="E603" s="18">
        <v>1</v>
      </c>
      <c r="F603" s="18">
        <v>7</v>
      </c>
      <c r="G603" s="18" t="b">
        <v>0</v>
      </c>
      <c r="H603" s="18">
        <v>5</v>
      </c>
      <c r="I603" s="18">
        <v>2</v>
      </c>
      <c r="J603" s="18">
        <v>0.16</v>
      </c>
    </row>
    <row r="604" spans="1:10" ht="12.5" x14ac:dyDescent="0.25">
      <c r="A604" s="16">
        <v>603</v>
      </c>
      <c r="B604" s="17">
        <v>40571</v>
      </c>
      <c r="C604" s="18">
        <v>1</v>
      </c>
      <c r="D604" s="18">
        <v>0</v>
      </c>
      <c r="E604" s="18">
        <v>1</v>
      </c>
      <c r="F604" s="18">
        <v>8</v>
      </c>
      <c r="G604" s="18" t="b">
        <v>0</v>
      </c>
      <c r="H604" s="18">
        <v>5</v>
      </c>
      <c r="I604" s="18">
        <v>2</v>
      </c>
      <c r="J604" s="18">
        <v>0.16</v>
      </c>
    </row>
    <row r="605" spans="1:10" ht="12.5" x14ac:dyDescent="0.25">
      <c r="A605" s="16">
        <v>604</v>
      </c>
      <c r="B605" s="17">
        <v>40571</v>
      </c>
      <c r="C605" s="18">
        <v>1</v>
      </c>
      <c r="D605" s="18">
        <v>0</v>
      </c>
      <c r="E605" s="18">
        <v>1</v>
      </c>
      <c r="F605" s="18">
        <v>9</v>
      </c>
      <c r="G605" s="18" t="b">
        <v>0</v>
      </c>
      <c r="H605" s="18">
        <v>5</v>
      </c>
      <c r="I605" s="18">
        <v>3</v>
      </c>
      <c r="J605" s="18">
        <v>0.18</v>
      </c>
    </row>
    <row r="606" spans="1:10" ht="12.5" x14ac:dyDescent="0.25">
      <c r="A606" s="16">
        <v>605</v>
      </c>
      <c r="B606" s="17">
        <v>40571</v>
      </c>
      <c r="C606" s="18">
        <v>1</v>
      </c>
      <c r="D606" s="18">
        <v>0</v>
      </c>
      <c r="E606" s="18">
        <v>1</v>
      </c>
      <c r="F606" s="18">
        <v>10</v>
      </c>
      <c r="G606" s="18" t="b">
        <v>0</v>
      </c>
      <c r="H606" s="18">
        <v>5</v>
      </c>
      <c r="I606" s="18">
        <v>3</v>
      </c>
      <c r="J606" s="18">
        <v>0.18</v>
      </c>
    </row>
    <row r="607" spans="1:10" ht="12.5" x14ac:dyDescent="0.25">
      <c r="A607" s="16">
        <v>606</v>
      </c>
      <c r="B607" s="17">
        <v>40571</v>
      </c>
      <c r="C607" s="18">
        <v>1</v>
      </c>
      <c r="D607" s="18">
        <v>0</v>
      </c>
      <c r="E607" s="18">
        <v>1</v>
      </c>
      <c r="F607" s="18">
        <v>11</v>
      </c>
      <c r="G607" s="18" t="b">
        <v>0</v>
      </c>
      <c r="H607" s="18">
        <v>5</v>
      </c>
      <c r="I607" s="18">
        <v>3</v>
      </c>
      <c r="J607" s="18">
        <v>0.18</v>
      </c>
    </row>
    <row r="608" spans="1:10" ht="12.5" x14ac:dyDescent="0.25">
      <c r="A608" s="16">
        <v>607</v>
      </c>
      <c r="B608" s="17">
        <v>40571</v>
      </c>
      <c r="C608" s="18">
        <v>1</v>
      </c>
      <c r="D608" s="18">
        <v>0</v>
      </c>
      <c r="E608" s="18">
        <v>1</v>
      </c>
      <c r="F608" s="18">
        <v>12</v>
      </c>
      <c r="G608" s="18" t="b">
        <v>0</v>
      </c>
      <c r="H608" s="18">
        <v>5</v>
      </c>
      <c r="I608" s="18">
        <v>3</v>
      </c>
      <c r="J608" s="18">
        <v>0.18</v>
      </c>
    </row>
    <row r="609" spans="1:10" ht="12.5" x14ac:dyDescent="0.25">
      <c r="A609" s="16">
        <v>608</v>
      </c>
      <c r="B609" s="17">
        <v>40571</v>
      </c>
      <c r="C609" s="18">
        <v>1</v>
      </c>
      <c r="D609" s="18">
        <v>0</v>
      </c>
      <c r="E609" s="18">
        <v>1</v>
      </c>
      <c r="F609" s="18">
        <v>13</v>
      </c>
      <c r="G609" s="18" t="b">
        <v>0</v>
      </c>
      <c r="H609" s="18">
        <v>5</v>
      </c>
      <c r="I609" s="18">
        <v>3</v>
      </c>
      <c r="J609" s="18">
        <v>0.18</v>
      </c>
    </row>
    <row r="610" spans="1:10" ht="12.5" x14ac:dyDescent="0.25">
      <c r="A610" s="16">
        <v>609</v>
      </c>
      <c r="B610" s="17">
        <v>40571</v>
      </c>
      <c r="C610" s="18">
        <v>1</v>
      </c>
      <c r="D610" s="18">
        <v>0</v>
      </c>
      <c r="E610" s="18">
        <v>1</v>
      </c>
      <c r="F610" s="18">
        <v>14</v>
      </c>
      <c r="G610" s="18" t="b">
        <v>0</v>
      </c>
      <c r="H610" s="18">
        <v>5</v>
      </c>
      <c r="I610" s="18">
        <v>3</v>
      </c>
      <c r="J610" s="18">
        <v>0.22</v>
      </c>
    </row>
    <row r="611" spans="1:10" ht="12.5" x14ac:dyDescent="0.25">
      <c r="A611" s="19">
        <v>610</v>
      </c>
      <c r="B611" s="20">
        <v>40571</v>
      </c>
      <c r="C611" s="21">
        <v>1</v>
      </c>
      <c r="D611" s="21">
        <v>0</v>
      </c>
      <c r="E611" s="21">
        <v>1</v>
      </c>
      <c r="F611" s="21">
        <v>15</v>
      </c>
      <c r="G611" s="21" t="b">
        <v>0</v>
      </c>
      <c r="H611" s="21">
        <v>5</v>
      </c>
      <c r="I611" s="21">
        <v>2</v>
      </c>
      <c r="J611" s="21">
        <v>0.2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BE3CB-178E-442B-A229-562E56C1FB2E}">
  <dimension ref="A1:K611"/>
  <sheetViews>
    <sheetView workbookViewId="0">
      <pane ySplit="1" topLeftCell="A2" activePane="bottomLeft" state="frozen"/>
      <selection pane="bottomLeft" activeCell="H10" sqref="H10"/>
    </sheetView>
  </sheetViews>
  <sheetFormatPr defaultRowHeight="12.5" x14ac:dyDescent="0.25"/>
  <cols>
    <col min="1" max="1" width="9.08984375" customWidth="1"/>
    <col min="4" max="4" width="13" customWidth="1"/>
    <col min="5" max="5" width="8.81640625" customWidth="1"/>
    <col min="6" max="6" width="12.08984375" customWidth="1"/>
    <col min="8" max="8" width="16" bestFit="1" customWidth="1"/>
    <col min="10" max="10" width="14.54296875" bestFit="1" customWidth="1"/>
  </cols>
  <sheetData>
    <row r="1" spans="1:11" ht="14" x14ac:dyDescent="0.3">
      <c r="A1" s="22" t="s">
        <v>0</v>
      </c>
      <c r="B1" s="22" t="s">
        <v>10</v>
      </c>
      <c r="C1" s="22" t="s">
        <v>11</v>
      </c>
      <c r="D1" s="22" t="s">
        <v>12</v>
      </c>
      <c r="E1" s="22" t="s">
        <v>13</v>
      </c>
      <c r="F1" s="22" t="s">
        <v>14</v>
      </c>
      <c r="G1" s="23" t="s">
        <v>15</v>
      </c>
      <c r="H1" s="45" t="s">
        <v>25</v>
      </c>
    </row>
    <row r="2" spans="1:11" ht="14" x14ac:dyDescent="0.3">
      <c r="A2" s="24">
        <v>1</v>
      </c>
      <c r="B2" s="24">
        <v>0.28789999999999999</v>
      </c>
      <c r="C2" s="24">
        <v>0.81</v>
      </c>
      <c r="D2" s="24">
        <v>0</v>
      </c>
      <c r="E2" s="24">
        <v>3</v>
      </c>
      <c r="F2" s="24">
        <v>13</v>
      </c>
      <c r="G2" s="25">
        <v>16</v>
      </c>
      <c r="H2" s="45">
        <f t="shared" ref="H2:H65" si="0">IF(ISBLANK(B2),0.197,B2)</f>
        <v>0.28789999999999999</v>
      </c>
    </row>
    <row r="3" spans="1:11" ht="14" x14ac:dyDescent="0.3">
      <c r="A3" s="24">
        <v>2</v>
      </c>
      <c r="B3" s="24">
        <v>0.2727</v>
      </c>
      <c r="C3" s="24">
        <v>0.8</v>
      </c>
      <c r="D3" s="24">
        <v>0</v>
      </c>
      <c r="E3" s="24">
        <v>8</v>
      </c>
      <c r="F3" s="24">
        <v>32</v>
      </c>
      <c r="G3" s="25">
        <v>40</v>
      </c>
      <c r="H3" s="44">
        <f t="shared" si="0"/>
        <v>0.2727</v>
      </c>
    </row>
    <row r="4" spans="1:11" ht="14" x14ac:dyDescent="0.3">
      <c r="A4" s="24">
        <v>3</v>
      </c>
      <c r="B4" s="24">
        <v>0.2727</v>
      </c>
      <c r="C4" s="24">
        <v>0.8</v>
      </c>
      <c r="D4" s="24">
        <v>0</v>
      </c>
      <c r="E4" s="24">
        <v>5</v>
      </c>
      <c r="F4" s="24">
        <v>27</v>
      </c>
      <c r="G4" s="25">
        <v>32</v>
      </c>
      <c r="H4" s="44">
        <f t="shared" si="0"/>
        <v>0.2727</v>
      </c>
      <c r="J4" s="47" t="s">
        <v>26</v>
      </c>
      <c r="K4" s="2">
        <f>MEDIAN(B:B)</f>
        <v>0.19700000000000001</v>
      </c>
    </row>
    <row r="5" spans="1:11" ht="14" x14ac:dyDescent="0.3">
      <c r="A5" s="24">
        <v>4</v>
      </c>
      <c r="B5" s="24">
        <v>0.28789999999999999</v>
      </c>
      <c r="C5" s="24">
        <v>0.75</v>
      </c>
      <c r="D5" s="24">
        <v>0</v>
      </c>
      <c r="E5" s="24">
        <v>3</v>
      </c>
      <c r="F5" s="24">
        <v>10</v>
      </c>
      <c r="G5" s="25">
        <v>13</v>
      </c>
      <c r="H5" s="44">
        <f t="shared" si="0"/>
        <v>0.28789999999999999</v>
      </c>
    </row>
    <row r="6" spans="1:11" ht="14" x14ac:dyDescent="0.3">
      <c r="A6" s="24">
        <v>5</v>
      </c>
      <c r="B6" s="24">
        <v>0.28789999999999999</v>
      </c>
      <c r="C6" s="24">
        <v>0.75</v>
      </c>
      <c r="D6" s="24">
        <v>0</v>
      </c>
      <c r="E6" s="24">
        <v>0</v>
      </c>
      <c r="F6" s="24">
        <v>1</v>
      </c>
      <c r="G6" s="25">
        <v>1</v>
      </c>
      <c r="H6" s="44">
        <f t="shared" si="0"/>
        <v>0.28789999999999999</v>
      </c>
    </row>
    <row r="7" spans="1:11" ht="14" x14ac:dyDescent="0.3">
      <c r="A7" s="24">
        <v>6</v>
      </c>
      <c r="B7" s="24">
        <v>0.2576</v>
      </c>
      <c r="C7" s="24">
        <v>0.75</v>
      </c>
      <c r="D7" s="24">
        <v>8.9599999999999999E-2</v>
      </c>
      <c r="E7" s="24">
        <v>0</v>
      </c>
      <c r="F7" s="24">
        <v>1</v>
      </c>
      <c r="G7" s="25">
        <v>1</v>
      </c>
      <c r="H7" s="44">
        <f t="shared" si="0"/>
        <v>0.2576</v>
      </c>
    </row>
    <row r="8" spans="1:11" ht="14" x14ac:dyDescent="0.3">
      <c r="A8" s="24">
        <v>7</v>
      </c>
      <c r="B8" s="24">
        <v>0.2727</v>
      </c>
      <c r="C8" s="24">
        <v>0.8</v>
      </c>
      <c r="D8" s="24">
        <v>0</v>
      </c>
      <c r="E8" s="24">
        <v>2</v>
      </c>
      <c r="F8" s="24">
        <v>0</v>
      </c>
      <c r="G8" s="25">
        <v>2</v>
      </c>
      <c r="H8" s="44">
        <f t="shared" si="0"/>
        <v>0.2727</v>
      </c>
    </row>
    <row r="9" spans="1:11" ht="14" x14ac:dyDescent="0.3">
      <c r="A9" s="24">
        <v>8</v>
      </c>
      <c r="B9" s="24">
        <v>0.2576</v>
      </c>
      <c r="C9" s="24">
        <v>0.86</v>
      </c>
      <c r="D9" s="24">
        <v>0</v>
      </c>
      <c r="E9" s="24">
        <v>1</v>
      </c>
      <c r="F9" s="24">
        <v>2</v>
      </c>
      <c r="G9" s="25">
        <v>3</v>
      </c>
      <c r="H9" s="44">
        <f t="shared" si="0"/>
        <v>0.2576</v>
      </c>
    </row>
    <row r="10" spans="1:11" ht="14" x14ac:dyDescent="0.3">
      <c r="A10" s="24">
        <v>9</v>
      </c>
      <c r="B10" s="26"/>
      <c r="C10" s="24">
        <v>0.75</v>
      </c>
      <c r="D10" s="24">
        <v>0</v>
      </c>
      <c r="E10" s="24">
        <v>1</v>
      </c>
      <c r="F10" s="24">
        <v>7</v>
      </c>
      <c r="G10" s="25">
        <v>8</v>
      </c>
      <c r="H10" s="44">
        <f t="shared" si="0"/>
        <v>0.19700000000000001</v>
      </c>
    </row>
    <row r="11" spans="1:11" ht="14" x14ac:dyDescent="0.3">
      <c r="A11" s="24">
        <v>10</v>
      </c>
      <c r="B11" s="24">
        <v>0.34849999999999998</v>
      </c>
      <c r="C11" s="24">
        <v>0.76</v>
      </c>
      <c r="D11" s="24">
        <v>0</v>
      </c>
      <c r="E11" s="24">
        <v>8</v>
      </c>
      <c r="F11" s="24">
        <v>6</v>
      </c>
      <c r="G11" s="25">
        <v>14</v>
      </c>
      <c r="H11" s="44">
        <f t="shared" si="0"/>
        <v>0.34849999999999998</v>
      </c>
    </row>
    <row r="12" spans="1:11" ht="14" x14ac:dyDescent="0.3">
      <c r="A12" s="24">
        <v>11</v>
      </c>
      <c r="B12" s="24">
        <v>0.39389999999999997</v>
      </c>
      <c r="C12" s="24">
        <v>0.76</v>
      </c>
      <c r="D12" s="24">
        <v>0.25369999999999998</v>
      </c>
      <c r="E12" s="24">
        <v>12</v>
      </c>
      <c r="F12" s="24">
        <v>24</v>
      </c>
      <c r="G12" s="25">
        <v>36</v>
      </c>
      <c r="H12" s="44">
        <f t="shared" si="0"/>
        <v>0.39389999999999997</v>
      </c>
    </row>
    <row r="13" spans="1:11" ht="14" x14ac:dyDescent="0.3">
      <c r="A13" s="24">
        <v>12</v>
      </c>
      <c r="B13" s="24">
        <v>0.33329999999999999</v>
      </c>
      <c r="C13" s="24">
        <v>0.81</v>
      </c>
      <c r="D13" s="24">
        <v>0.28360000000000002</v>
      </c>
      <c r="E13" s="24">
        <v>26</v>
      </c>
      <c r="F13" s="24">
        <v>30</v>
      </c>
      <c r="G13" s="25">
        <v>56</v>
      </c>
      <c r="H13" s="44">
        <f t="shared" si="0"/>
        <v>0.33329999999999999</v>
      </c>
    </row>
    <row r="14" spans="1:11" ht="14" x14ac:dyDescent="0.3">
      <c r="A14" s="24">
        <v>13</v>
      </c>
      <c r="B14" s="24">
        <v>0.42420000000000002</v>
      </c>
      <c r="C14" s="24">
        <v>0.77</v>
      </c>
      <c r="D14" s="24">
        <v>0.28360000000000002</v>
      </c>
      <c r="E14" s="24">
        <v>29</v>
      </c>
      <c r="F14" s="24">
        <v>55</v>
      </c>
      <c r="G14" s="25">
        <v>84</v>
      </c>
      <c r="H14" s="44">
        <f t="shared" si="0"/>
        <v>0.42420000000000002</v>
      </c>
    </row>
    <row r="15" spans="1:11" ht="14" x14ac:dyDescent="0.3">
      <c r="A15" s="24">
        <v>14</v>
      </c>
      <c r="B15" s="24">
        <v>0.45450000000000002</v>
      </c>
      <c r="C15" s="24">
        <v>0.72</v>
      </c>
      <c r="D15" s="24">
        <v>0.29849999999999999</v>
      </c>
      <c r="E15" s="24">
        <v>47</v>
      </c>
      <c r="F15" s="24">
        <v>47</v>
      </c>
      <c r="G15" s="25">
        <v>94</v>
      </c>
      <c r="H15" s="44">
        <f t="shared" si="0"/>
        <v>0.45450000000000002</v>
      </c>
    </row>
    <row r="16" spans="1:11" ht="14" x14ac:dyDescent="0.3">
      <c r="A16" s="24">
        <v>15</v>
      </c>
      <c r="B16" s="24">
        <v>0.45450000000000002</v>
      </c>
      <c r="C16" s="24">
        <v>0.72</v>
      </c>
      <c r="D16" s="24">
        <v>0.28360000000000002</v>
      </c>
      <c r="E16" s="24">
        <v>35</v>
      </c>
      <c r="F16" s="24">
        <v>71</v>
      </c>
      <c r="G16" s="25">
        <v>106</v>
      </c>
      <c r="H16" s="44">
        <f t="shared" si="0"/>
        <v>0.45450000000000002</v>
      </c>
    </row>
    <row r="17" spans="1:8" ht="14" x14ac:dyDescent="0.3">
      <c r="A17" s="24">
        <v>16</v>
      </c>
      <c r="B17" s="24">
        <v>0.43940000000000001</v>
      </c>
      <c r="C17" s="24">
        <v>0.77</v>
      </c>
      <c r="D17" s="24">
        <v>0.29849999999999999</v>
      </c>
      <c r="E17" s="24">
        <v>40</v>
      </c>
      <c r="F17" s="24">
        <v>70</v>
      </c>
      <c r="G17" s="25">
        <v>110</v>
      </c>
      <c r="H17" s="44">
        <f t="shared" si="0"/>
        <v>0.43940000000000001</v>
      </c>
    </row>
    <row r="18" spans="1:8" ht="14" x14ac:dyDescent="0.3">
      <c r="A18" s="24">
        <v>17</v>
      </c>
      <c r="B18" s="24">
        <v>0.42420000000000002</v>
      </c>
      <c r="C18" s="24">
        <v>0.82</v>
      </c>
      <c r="D18" s="24">
        <v>0.29849999999999999</v>
      </c>
      <c r="E18" s="24">
        <v>41</v>
      </c>
      <c r="F18" s="24">
        <v>52</v>
      </c>
      <c r="G18" s="25">
        <v>93</v>
      </c>
      <c r="H18" s="44">
        <f t="shared" si="0"/>
        <v>0.42420000000000002</v>
      </c>
    </row>
    <row r="19" spans="1:8" ht="14" x14ac:dyDescent="0.3">
      <c r="A19" s="24">
        <v>18</v>
      </c>
      <c r="B19" s="26"/>
      <c r="C19" s="24">
        <v>0.82</v>
      </c>
      <c r="D19" s="24">
        <v>0.28360000000000002</v>
      </c>
      <c r="E19" s="24">
        <v>15</v>
      </c>
      <c r="F19" s="24">
        <v>52</v>
      </c>
      <c r="G19" s="25">
        <v>67</v>
      </c>
      <c r="H19" s="44">
        <f t="shared" si="0"/>
        <v>0.19700000000000001</v>
      </c>
    </row>
    <row r="20" spans="1:8" ht="14" x14ac:dyDescent="0.3">
      <c r="A20" s="24">
        <v>19</v>
      </c>
      <c r="B20" s="24">
        <v>0.42420000000000002</v>
      </c>
      <c r="C20" s="24">
        <v>0.88</v>
      </c>
      <c r="D20" s="24">
        <v>0.25369999999999998</v>
      </c>
      <c r="E20" s="24">
        <v>9</v>
      </c>
      <c r="F20" s="24">
        <v>26</v>
      </c>
      <c r="G20" s="25">
        <v>35</v>
      </c>
      <c r="H20" s="44">
        <f t="shared" si="0"/>
        <v>0.42420000000000002</v>
      </c>
    </row>
    <row r="21" spans="1:8" ht="14" x14ac:dyDescent="0.3">
      <c r="A21" s="24">
        <v>20</v>
      </c>
      <c r="B21" s="24">
        <v>0.42420000000000002</v>
      </c>
      <c r="C21" s="24">
        <v>0.88</v>
      </c>
      <c r="D21" s="24">
        <v>0.25369999999999998</v>
      </c>
      <c r="E21" s="24">
        <v>6</v>
      </c>
      <c r="F21" s="24">
        <v>31</v>
      </c>
      <c r="G21" s="25">
        <v>37</v>
      </c>
      <c r="H21" s="44">
        <f t="shared" si="0"/>
        <v>0.42420000000000002</v>
      </c>
    </row>
    <row r="22" spans="1:8" ht="14" x14ac:dyDescent="0.3">
      <c r="A22" s="24">
        <v>21</v>
      </c>
      <c r="B22" s="24">
        <v>0.40910000000000002</v>
      </c>
      <c r="C22" s="24">
        <v>0.87</v>
      </c>
      <c r="D22" s="24">
        <v>0.25369999999999998</v>
      </c>
      <c r="E22" s="24">
        <v>11</v>
      </c>
      <c r="F22" s="24">
        <v>25</v>
      </c>
      <c r="G22" s="25">
        <v>36</v>
      </c>
      <c r="H22" s="44">
        <f t="shared" si="0"/>
        <v>0.40910000000000002</v>
      </c>
    </row>
    <row r="23" spans="1:8" ht="14" x14ac:dyDescent="0.3">
      <c r="A23" s="24">
        <v>22</v>
      </c>
      <c r="B23" s="24">
        <v>0.40910000000000002</v>
      </c>
      <c r="C23" s="24">
        <v>0.87</v>
      </c>
      <c r="D23" s="24">
        <v>0.19400000000000001</v>
      </c>
      <c r="E23" s="24">
        <v>3</v>
      </c>
      <c r="F23" s="24">
        <v>31</v>
      </c>
      <c r="G23" s="25">
        <v>34</v>
      </c>
      <c r="H23" s="44">
        <f t="shared" si="0"/>
        <v>0.40910000000000002</v>
      </c>
    </row>
    <row r="24" spans="1:8" ht="14" x14ac:dyDescent="0.3">
      <c r="A24" s="24">
        <v>23</v>
      </c>
      <c r="B24" s="24">
        <v>0.40910000000000002</v>
      </c>
      <c r="C24" s="24">
        <v>0.94</v>
      </c>
      <c r="D24" s="24">
        <v>0.22389999999999999</v>
      </c>
      <c r="E24" s="24">
        <v>11</v>
      </c>
      <c r="F24" s="24">
        <v>17</v>
      </c>
      <c r="G24" s="25">
        <v>28</v>
      </c>
      <c r="H24" s="44">
        <f t="shared" si="0"/>
        <v>0.40910000000000002</v>
      </c>
    </row>
    <row r="25" spans="1:8" ht="14" x14ac:dyDescent="0.3">
      <c r="A25" s="24">
        <v>24</v>
      </c>
      <c r="B25" s="26"/>
      <c r="C25" s="24">
        <v>0.88</v>
      </c>
      <c r="D25" s="24">
        <v>0.29849999999999999</v>
      </c>
      <c r="E25" s="24">
        <v>15</v>
      </c>
      <c r="F25" s="24">
        <v>24</v>
      </c>
      <c r="G25" s="25">
        <v>39</v>
      </c>
      <c r="H25" s="44">
        <f t="shared" si="0"/>
        <v>0.19700000000000001</v>
      </c>
    </row>
    <row r="26" spans="1:8" ht="14" x14ac:dyDescent="0.3">
      <c r="A26" s="24">
        <v>25</v>
      </c>
      <c r="B26" s="24">
        <v>0.45450000000000002</v>
      </c>
      <c r="C26" s="24">
        <v>0.88</v>
      </c>
      <c r="D26" s="24">
        <v>0.29849999999999999</v>
      </c>
      <c r="E26" s="24">
        <v>4</v>
      </c>
      <c r="F26" s="24">
        <v>13</v>
      </c>
      <c r="G26" s="25">
        <v>17</v>
      </c>
      <c r="H26" s="44">
        <f t="shared" si="0"/>
        <v>0.45450000000000002</v>
      </c>
    </row>
    <row r="27" spans="1:8" ht="14" x14ac:dyDescent="0.3">
      <c r="A27" s="24">
        <v>26</v>
      </c>
      <c r="B27" s="24">
        <v>0.43940000000000001</v>
      </c>
      <c r="C27" s="24">
        <v>0.94</v>
      </c>
      <c r="D27" s="24">
        <v>0.25369999999999998</v>
      </c>
      <c r="E27" s="24">
        <v>1</v>
      </c>
      <c r="F27" s="24">
        <v>16</v>
      </c>
      <c r="G27" s="25">
        <v>17</v>
      </c>
      <c r="H27" s="44">
        <f t="shared" si="0"/>
        <v>0.43940000000000001</v>
      </c>
    </row>
    <row r="28" spans="1:8" ht="14" x14ac:dyDescent="0.3">
      <c r="A28" s="24">
        <v>27</v>
      </c>
      <c r="B28" s="24">
        <v>0.42420000000000002</v>
      </c>
      <c r="C28" s="24">
        <v>1</v>
      </c>
      <c r="D28" s="24">
        <v>0.28360000000000002</v>
      </c>
      <c r="E28" s="24">
        <v>1</v>
      </c>
      <c r="F28" s="24">
        <v>8</v>
      </c>
      <c r="G28" s="25">
        <v>9</v>
      </c>
      <c r="H28" s="44">
        <f t="shared" si="0"/>
        <v>0.42420000000000002</v>
      </c>
    </row>
    <row r="29" spans="1:8" ht="14" x14ac:dyDescent="0.3">
      <c r="A29" s="24">
        <v>28</v>
      </c>
      <c r="B29" s="24">
        <v>0.45450000000000002</v>
      </c>
      <c r="C29" s="24">
        <v>0.94</v>
      </c>
      <c r="D29" s="24">
        <v>0.19400000000000001</v>
      </c>
      <c r="E29" s="24">
        <v>2</v>
      </c>
      <c r="F29" s="24">
        <v>4</v>
      </c>
      <c r="G29" s="25">
        <v>6</v>
      </c>
      <c r="H29" s="44">
        <f t="shared" si="0"/>
        <v>0.45450000000000002</v>
      </c>
    </row>
    <row r="30" spans="1:8" ht="14" x14ac:dyDescent="0.3">
      <c r="A30" s="24">
        <v>29</v>
      </c>
      <c r="B30" s="26"/>
      <c r="C30" s="24">
        <v>0.94</v>
      </c>
      <c r="D30" s="24">
        <v>0.19400000000000001</v>
      </c>
      <c r="E30" s="24">
        <v>2</v>
      </c>
      <c r="F30" s="24">
        <v>1</v>
      </c>
      <c r="G30" s="25">
        <v>3</v>
      </c>
      <c r="H30" s="44">
        <f t="shared" si="0"/>
        <v>0.19700000000000001</v>
      </c>
    </row>
    <row r="31" spans="1:8" ht="14" x14ac:dyDescent="0.3">
      <c r="A31" s="24">
        <v>30</v>
      </c>
      <c r="B31" s="24">
        <v>0.42420000000000002</v>
      </c>
      <c r="C31" s="24">
        <v>0.77</v>
      </c>
      <c r="D31" s="24">
        <v>0.29849999999999999</v>
      </c>
      <c r="E31" s="24">
        <v>0</v>
      </c>
      <c r="F31" s="24">
        <v>2</v>
      </c>
      <c r="G31" s="25">
        <v>2</v>
      </c>
      <c r="H31" s="44">
        <f t="shared" si="0"/>
        <v>0.42420000000000002</v>
      </c>
    </row>
    <row r="32" spans="1:8" ht="14" x14ac:dyDescent="0.3">
      <c r="A32" s="24">
        <v>31</v>
      </c>
      <c r="B32" s="24">
        <v>0.40910000000000002</v>
      </c>
      <c r="C32" s="24">
        <v>0.76</v>
      </c>
      <c r="D32" s="24">
        <v>0.19400000000000001</v>
      </c>
      <c r="E32" s="24">
        <v>0</v>
      </c>
      <c r="F32" s="24">
        <v>1</v>
      </c>
      <c r="G32" s="25">
        <v>1</v>
      </c>
      <c r="H32" s="44">
        <f t="shared" si="0"/>
        <v>0.40910000000000002</v>
      </c>
    </row>
    <row r="33" spans="1:8" ht="14" x14ac:dyDescent="0.3">
      <c r="A33" s="24">
        <v>32</v>
      </c>
      <c r="B33" s="24">
        <v>0.40910000000000002</v>
      </c>
      <c r="C33" s="24">
        <v>0.71</v>
      </c>
      <c r="D33" s="24">
        <v>0.22389999999999999</v>
      </c>
      <c r="E33" s="24">
        <v>0</v>
      </c>
      <c r="F33" s="24">
        <v>8</v>
      </c>
      <c r="G33" s="25">
        <v>8</v>
      </c>
      <c r="H33" s="44">
        <f t="shared" si="0"/>
        <v>0.40910000000000002</v>
      </c>
    </row>
    <row r="34" spans="1:8" ht="14" x14ac:dyDescent="0.3">
      <c r="A34" s="24">
        <v>33</v>
      </c>
      <c r="B34" s="26"/>
      <c r="C34" s="24">
        <v>0.76</v>
      </c>
      <c r="D34" s="24">
        <v>0.22389999999999999</v>
      </c>
      <c r="E34" s="24">
        <v>1</v>
      </c>
      <c r="F34" s="24">
        <v>19</v>
      </c>
      <c r="G34" s="25">
        <v>20</v>
      </c>
      <c r="H34" s="44">
        <f t="shared" si="0"/>
        <v>0.19700000000000001</v>
      </c>
    </row>
    <row r="35" spans="1:8" ht="14" x14ac:dyDescent="0.3">
      <c r="A35" s="24">
        <v>34</v>
      </c>
      <c r="B35" s="24">
        <v>0.34849999999999998</v>
      </c>
      <c r="C35" s="24">
        <v>0.81</v>
      </c>
      <c r="D35" s="24">
        <v>0.22389999999999999</v>
      </c>
      <c r="E35" s="24">
        <v>7</v>
      </c>
      <c r="F35" s="24">
        <v>46</v>
      </c>
      <c r="G35" s="25">
        <v>53</v>
      </c>
      <c r="H35" s="44">
        <f t="shared" si="0"/>
        <v>0.34849999999999998</v>
      </c>
    </row>
    <row r="36" spans="1:8" ht="14" x14ac:dyDescent="0.3">
      <c r="A36" s="24">
        <v>35</v>
      </c>
      <c r="B36" s="24">
        <v>0.33329999999999999</v>
      </c>
      <c r="C36" s="24">
        <v>0.71</v>
      </c>
      <c r="D36" s="24">
        <v>0.25369999999999998</v>
      </c>
      <c r="E36" s="24">
        <v>16</v>
      </c>
      <c r="F36" s="24">
        <v>54</v>
      </c>
      <c r="G36" s="25">
        <v>70</v>
      </c>
      <c r="H36" s="44">
        <f t="shared" si="0"/>
        <v>0.33329999999999999</v>
      </c>
    </row>
    <row r="37" spans="1:8" ht="14" x14ac:dyDescent="0.3">
      <c r="A37" s="24">
        <v>36</v>
      </c>
      <c r="B37" s="24">
        <v>0.33329999999999999</v>
      </c>
      <c r="C37" s="24">
        <v>0.66</v>
      </c>
      <c r="D37" s="24">
        <v>0.29849999999999999</v>
      </c>
      <c r="E37" s="24">
        <v>20</v>
      </c>
      <c r="F37" s="24">
        <v>73</v>
      </c>
      <c r="G37" s="25">
        <v>93</v>
      </c>
      <c r="H37" s="44">
        <f t="shared" si="0"/>
        <v>0.33329999999999999</v>
      </c>
    </row>
    <row r="38" spans="1:8" ht="14" x14ac:dyDescent="0.3">
      <c r="A38" s="24">
        <v>37</v>
      </c>
      <c r="B38" s="24">
        <v>0.34849999999999998</v>
      </c>
      <c r="C38" s="24">
        <v>0.66</v>
      </c>
      <c r="D38" s="24">
        <v>0.1343</v>
      </c>
      <c r="E38" s="24">
        <v>11</v>
      </c>
      <c r="F38" s="24">
        <v>64</v>
      </c>
      <c r="G38" s="25">
        <v>75</v>
      </c>
      <c r="H38" s="44">
        <f t="shared" si="0"/>
        <v>0.34849999999999998</v>
      </c>
    </row>
    <row r="39" spans="1:8" ht="14" x14ac:dyDescent="0.3">
      <c r="A39" s="24">
        <v>38</v>
      </c>
      <c r="B39" s="26"/>
      <c r="C39" s="24">
        <v>0.76</v>
      </c>
      <c r="D39" s="24">
        <v>0.19400000000000001</v>
      </c>
      <c r="E39" s="24">
        <v>4</v>
      </c>
      <c r="F39" s="24">
        <v>55</v>
      </c>
      <c r="G39" s="25">
        <v>59</v>
      </c>
      <c r="H39" s="44">
        <f t="shared" si="0"/>
        <v>0.19700000000000001</v>
      </c>
    </row>
    <row r="40" spans="1:8" ht="14" x14ac:dyDescent="0.3">
      <c r="A40" s="24">
        <v>39</v>
      </c>
      <c r="B40" s="24">
        <v>0.33329999999999999</v>
      </c>
      <c r="C40" s="24">
        <v>0.81</v>
      </c>
      <c r="D40" s="24">
        <v>0.16420000000000001</v>
      </c>
      <c r="E40" s="24">
        <v>19</v>
      </c>
      <c r="F40" s="24">
        <v>55</v>
      </c>
      <c r="G40" s="25">
        <v>74</v>
      </c>
      <c r="H40" s="44">
        <f t="shared" si="0"/>
        <v>0.33329999999999999</v>
      </c>
    </row>
    <row r="41" spans="1:8" ht="14" x14ac:dyDescent="0.3">
      <c r="A41" s="24">
        <v>40</v>
      </c>
      <c r="B41" s="24">
        <v>0.33329999999999999</v>
      </c>
      <c r="C41" s="24">
        <v>0.71</v>
      </c>
      <c r="D41" s="24">
        <v>0.16420000000000001</v>
      </c>
      <c r="E41" s="24">
        <v>9</v>
      </c>
      <c r="F41" s="24">
        <v>67</v>
      </c>
      <c r="G41" s="25">
        <v>76</v>
      </c>
      <c r="H41" s="44">
        <f t="shared" si="0"/>
        <v>0.33329999999999999</v>
      </c>
    </row>
    <row r="42" spans="1:8" ht="14" x14ac:dyDescent="0.3">
      <c r="A42" s="24">
        <v>41</v>
      </c>
      <c r="B42" s="24">
        <v>0.33329999999999999</v>
      </c>
      <c r="C42" s="24">
        <v>0.56999999999999995</v>
      </c>
      <c r="D42" s="24">
        <v>0.19400000000000001</v>
      </c>
      <c r="E42" s="24">
        <v>7</v>
      </c>
      <c r="F42" s="24">
        <v>58</v>
      </c>
      <c r="G42" s="25">
        <v>65</v>
      </c>
      <c r="H42" s="44">
        <f t="shared" si="0"/>
        <v>0.33329999999999999</v>
      </c>
    </row>
    <row r="43" spans="1:8" ht="14" x14ac:dyDescent="0.3">
      <c r="A43" s="24">
        <v>42</v>
      </c>
      <c r="B43" s="24">
        <v>0.33329999999999999</v>
      </c>
      <c r="C43" s="24">
        <v>0.46</v>
      </c>
      <c r="D43" s="24">
        <v>0.32840000000000003</v>
      </c>
      <c r="E43" s="24">
        <v>10</v>
      </c>
      <c r="F43" s="24">
        <v>43</v>
      </c>
      <c r="G43" s="25">
        <v>53</v>
      </c>
      <c r="H43" s="44">
        <f t="shared" si="0"/>
        <v>0.33329999999999999</v>
      </c>
    </row>
    <row r="44" spans="1:8" ht="14" x14ac:dyDescent="0.3">
      <c r="A44" s="24">
        <v>43</v>
      </c>
      <c r="B44" s="24">
        <v>0.28789999999999999</v>
      </c>
      <c r="C44" s="24">
        <v>0.42</v>
      </c>
      <c r="D44" s="24">
        <v>0.44779999999999998</v>
      </c>
      <c r="E44" s="24">
        <v>1</v>
      </c>
      <c r="F44" s="24">
        <v>29</v>
      </c>
      <c r="G44" s="25">
        <v>30</v>
      </c>
      <c r="H44" s="44">
        <f t="shared" si="0"/>
        <v>0.28789999999999999</v>
      </c>
    </row>
    <row r="45" spans="1:8" ht="14" x14ac:dyDescent="0.3">
      <c r="A45" s="24">
        <v>44</v>
      </c>
      <c r="B45" s="26"/>
      <c r="C45" s="24">
        <v>0.39</v>
      </c>
      <c r="D45" s="24">
        <v>0.35820000000000002</v>
      </c>
      <c r="E45" s="24">
        <v>5</v>
      </c>
      <c r="F45" s="24">
        <v>17</v>
      </c>
      <c r="G45" s="25">
        <v>22</v>
      </c>
      <c r="H45" s="44">
        <f t="shared" si="0"/>
        <v>0.19700000000000001</v>
      </c>
    </row>
    <row r="46" spans="1:8" ht="14" x14ac:dyDescent="0.3">
      <c r="A46" s="24">
        <v>45</v>
      </c>
      <c r="B46" s="24">
        <v>0.2273</v>
      </c>
      <c r="C46" s="24">
        <v>0.44</v>
      </c>
      <c r="D46" s="24">
        <v>0.32840000000000003</v>
      </c>
      <c r="E46" s="24">
        <v>11</v>
      </c>
      <c r="F46" s="24">
        <v>20</v>
      </c>
      <c r="G46" s="25">
        <v>31</v>
      </c>
      <c r="H46" s="44">
        <f t="shared" si="0"/>
        <v>0.2273</v>
      </c>
    </row>
    <row r="47" spans="1:8" ht="14" x14ac:dyDescent="0.3">
      <c r="A47" s="24">
        <v>46</v>
      </c>
      <c r="B47" s="24">
        <v>0.21210000000000001</v>
      </c>
      <c r="C47" s="24">
        <v>0.44</v>
      </c>
      <c r="D47" s="24">
        <v>0.29849999999999999</v>
      </c>
      <c r="E47" s="24">
        <v>0</v>
      </c>
      <c r="F47" s="24">
        <v>9</v>
      </c>
      <c r="G47" s="25">
        <v>9</v>
      </c>
      <c r="H47" s="44">
        <f t="shared" si="0"/>
        <v>0.21210000000000001</v>
      </c>
    </row>
    <row r="48" spans="1:8" ht="14" x14ac:dyDescent="0.3">
      <c r="A48" s="24">
        <v>47</v>
      </c>
      <c r="B48" s="24">
        <v>0.2273</v>
      </c>
      <c r="C48" s="24">
        <v>0.47</v>
      </c>
      <c r="D48" s="24">
        <v>0.16420000000000001</v>
      </c>
      <c r="E48" s="24">
        <v>0</v>
      </c>
      <c r="F48" s="24">
        <v>8</v>
      </c>
      <c r="G48" s="25">
        <v>8</v>
      </c>
      <c r="H48" s="44">
        <f t="shared" si="0"/>
        <v>0.2273</v>
      </c>
    </row>
    <row r="49" spans="1:8" ht="14" x14ac:dyDescent="0.3">
      <c r="A49" s="24">
        <v>48</v>
      </c>
      <c r="B49" s="24">
        <v>0.19700000000000001</v>
      </c>
      <c r="C49" s="24">
        <v>0.44</v>
      </c>
      <c r="D49" s="24">
        <v>0.35820000000000002</v>
      </c>
      <c r="E49" s="24">
        <v>0</v>
      </c>
      <c r="F49" s="24">
        <v>5</v>
      </c>
      <c r="G49" s="25">
        <v>5</v>
      </c>
      <c r="H49" s="44">
        <f t="shared" si="0"/>
        <v>0.19700000000000001</v>
      </c>
    </row>
    <row r="50" spans="1:8" ht="14" x14ac:dyDescent="0.3">
      <c r="A50" s="24">
        <v>49</v>
      </c>
      <c r="B50" s="26"/>
      <c r="C50" s="24">
        <v>0.44</v>
      </c>
      <c r="D50" s="24">
        <v>0.41789999999999999</v>
      </c>
      <c r="E50" s="24">
        <v>0</v>
      </c>
      <c r="F50" s="24">
        <v>2</v>
      </c>
      <c r="G50" s="25">
        <v>2</v>
      </c>
      <c r="H50" s="44">
        <f t="shared" si="0"/>
        <v>0.19700000000000001</v>
      </c>
    </row>
    <row r="51" spans="1:8" ht="14" x14ac:dyDescent="0.3">
      <c r="A51" s="24">
        <v>50</v>
      </c>
      <c r="B51" s="24">
        <v>0.13639999999999999</v>
      </c>
      <c r="C51" s="24">
        <v>0.47</v>
      </c>
      <c r="D51" s="24">
        <v>0.3881</v>
      </c>
      <c r="E51" s="24">
        <v>0</v>
      </c>
      <c r="F51" s="24">
        <v>1</v>
      </c>
      <c r="G51" s="25">
        <v>1</v>
      </c>
      <c r="H51" s="44">
        <f t="shared" si="0"/>
        <v>0.13639999999999999</v>
      </c>
    </row>
    <row r="52" spans="1:8" ht="14" x14ac:dyDescent="0.3">
      <c r="A52" s="24">
        <v>51</v>
      </c>
      <c r="B52" s="24">
        <v>0.13639999999999999</v>
      </c>
      <c r="C52" s="24">
        <v>0.47</v>
      </c>
      <c r="D52" s="24">
        <v>0.28360000000000002</v>
      </c>
      <c r="E52" s="24">
        <v>0</v>
      </c>
      <c r="F52" s="24">
        <v>3</v>
      </c>
      <c r="G52" s="25">
        <v>3</v>
      </c>
      <c r="H52" s="44">
        <f t="shared" si="0"/>
        <v>0.13639999999999999</v>
      </c>
    </row>
    <row r="53" spans="1:8" ht="14" x14ac:dyDescent="0.3">
      <c r="A53" s="24">
        <v>52</v>
      </c>
      <c r="B53" s="24">
        <v>0.1061</v>
      </c>
      <c r="C53" s="24">
        <v>0.5</v>
      </c>
      <c r="D53" s="24">
        <v>0.3881</v>
      </c>
      <c r="E53" s="24">
        <v>0</v>
      </c>
      <c r="F53" s="24">
        <v>30</v>
      </c>
      <c r="G53" s="25">
        <v>30</v>
      </c>
      <c r="H53" s="44">
        <f t="shared" si="0"/>
        <v>0.1061</v>
      </c>
    </row>
    <row r="54" spans="1:8" ht="14" x14ac:dyDescent="0.3">
      <c r="A54" s="24">
        <v>53</v>
      </c>
      <c r="B54" s="24">
        <v>0.13639999999999999</v>
      </c>
      <c r="C54" s="24">
        <v>0.5</v>
      </c>
      <c r="D54" s="24">
        <v>0.19400000000000001</v>
      </c>
      <c r="E54" s="24">
        <v>1</v>
      </c>
      <c r="F54" s="24">
        <v>63</v>
      </c>
      <c r="G54" s="25">
        <v>64</v>
      </c>
      <c r="H54" s="44">
        <f t="shared" si="0"/>
        <v>0.13639999999999999</v>
      </c>
    </row>
    <row r="55" spans="1:8" ht="14" x14ac:dyDescent="0.3">
      <c r="A55" s="24">
        <v>54</v>
      </c>
      <c r="B55" s="24">
        <v>0.1212</v>
      </c>
      <c r="C55" s="24">
        <v>0.5</v>
      </c>
      <c r="D55" s="24">
        <v>0.28360000000000002</v>
      </c>
      <c r="E55" s="24">
        <v>1</v>
      </c>
      <c r="F55" s="24">
        <v>153</v>
      </c>
      <c r="G55" s="25">
        <v>154</v>
      </c>
      <c r="H55" s="44">
        <f t="shared" si="0"/>
        <v>0.1212</v>
      </c>
    </row>
    <row r="56" spans="1:8" ht="14" x14ac:dyDescent="0.3">
      <c r="A56" s="24">
        <v>55</v>
      </c>
      <c r="B56" s="24">
        <v>0.13639999999999999</v>
      </c>
      <c r="C56" s="24">
        <v>0.43</v>
      </c>
      <c r="D56" s="24">
        <v>0.3881</v>
      </c>
      <c r="E56" s="24">
        <v>7</v>
      </c>
      <c r="F56" s="24">
        <v>81</v>
      </c>
      <c r="G56" s="25">
        <v>88</v>
      </c>
      <c r="H56" s="44">
        <f t="shared" si="0"/>
        <v>0.13639999999999999</v>
      </c>
    </row>
    <row r="57" spans="1:8" ht="14" x14ac:dyDescent="0.3">
      <c r="A57" s="24">
        <v>56</v>
      </c>
      <c r="B57" s="24">
        <v>0.16669999999999999</v>
      </c>
      <c r="C57" s="24">
        <v>0.43</v>
      </c>
      <c r="D57" s="24">
        <v>0.25369999999999998</v>
      </c>
      <c r="E57" s="24">
        <v>11</v>
      </c>
      <c r="F57" s="24">
        <v>33</v>
      </c>
      <c r="G57" s="25">
        <v>44</v>
      </c>
      <c r="H57" s="44">
        <f t="shared" si="0"/>
        <v>0.16669999999999999</v>
      </c>
    </row>
    <row r="58" spans="1:8" ht="14" x14ac:dyDescent="0.3">
      <c r="A58" s="24">
        <v>57</v>
      </c>
      <c r="B58" s="24">
        <v>0.18179999999999999</v>
      </c>
      <c r="C58" s="24">
        <v>0.4</v>
      </c>
      <c r="D58" s="24">
        <v>0.32840000000000003</v>
      </c>
      <c r="E58" s="24">
        <v>10</v>
      </c>
      <c r="F58" s="24">
        <v>41</v>
      </c>
      <c r="G58" s="25">
        <v>51</v>
      </c>
      <c r="H58" s="44">
        <f t="shared" si="0"/>
        <v>0.18179999999999999</v>
      </c>
    </row>
    <row r="59" spans="1:8" ht="14" x14ac:dyDescent="0.3">
      <c r="A59" s="24">
        <v>58</v>
      </c>
      <c r="B59" s="24">
        <v>0.21210000000000001</v>
      </c>
      <c r="C59" s="24">
        <v>0.35</v>
      </c>
      <c r="D59" s="24">
        <v>0.29849999999999999</v>
      </c>
      <c r="E59" s="24">
        <v>13</v>
      </c>
      <c r="F59" s="24">
        <v>48</v>
      </c>
      <c r="G59" s="25">
        <v>61</v>
      </c>
      <c r="H59" s="44">
        <f t="shared" si="0"/>
        <v>0.21210000000000001</v>
      </c>
    </row>
    <row r="60" spans="1:8" ht="14" x14ac:dyDescent="0.3">
      <c r="A60" s="24">
        <v>59</v>
      </c>
      <c r="B60" s="26"/>
      <c r="C60" s="24">
        <v>0.35</v>
      </c>
      <c r="D60" s="24">
        <v>0.28360000000000002</v>
      </c>
      <c r="E60" s="24">
        <v>8</v>
      </c>
      <c r="F60" s="24">
        <v>53</v>
      </c>
      <c r="G60" s="25">
        <v>61</v>
      </c>
      <c r="H60" s="44">
        <f t="shared" si="0"/>
        <v>0.19700000000000001</v>
      </c>
    </row>
    <row r="61" spans="1:8" ht="14" x14ac:dyDescent="0.3">
      <c r="A61" s="24">
        <v>60</v>
      </c>
      <c r="B61" s="24">
        <v>0.2424</v>
      </c>
      <c r="C61" s="24">
        <v>0.3</v>
      </c>
      <c r="D61" s="24">
        <v>0.28360000000000002</v>
      </c>
      <c r="E61" s="24">
        <v>11</v>
      </c>
      <c r="F61" s="24">
        <v>66</v>
      </c>
      <c r="G61" s="25">
        <v>77</v>
      </c>
      <c r="H61" s="44">
        <f t="shared" si="0"/>
        <v>0.2424</v>
      </c>
    </row>
    <row r="62" spans="1:8" ht="14" x14ac:dyDescent="0.3">
      <c r="A62" s="24">
        <v>61</v>
      </c>
      <c r="B62" s="24">
        <v>0.2424</v>
      </c>
      <c r="C62" s="24">
        <v>0.3</v>
      </c>
      <c r="D62" s="24">
        <v>0.25369999999999998</v>
      </c>
      <c r="E62" s="24">
        <v>14</v>
      </c>
      <c r="F62" s="24">
        <v>58</v>
      </c>
      <c r="G62" s="25">
        <v>72</v>
      </c>
      <c r="H62" s="44">
        <f t="shared" si="0"/>
        <v>0.2424</v>
      </c>
    </row>
    <row r="63" spans="1:8" ht="14" x14ac:dyDescent="0.3">
      <c r="A63" s="24">
        <v>62</v>
      </c>
      <c r="B63" s="24">
        <v>0.2424</v>
      </c>
      <c r="C63" s="24">
        <v>0.3</v>
      </c>
      <c r="D63" s="24">
        <v>0.25369999999999998</v>
      </c>
      <c r="E63" s="24">
        <v>9</v>
      </c>
      <c r="F63" s="24">
        <v>67</v>
      </c>
      <c r="G63" s="25">
        <v>76</v>
      </c>
      <c r="H63" s="44">
        <f t="shared" si="0"/>
        <v>0.2424</v>
      </c>
    </row>
    <row r="64" spans="1:8" ht="14" x14ac:dyDescent="0.3">
      <c r="A64" s="24">
        <v>63</v>
      </c>
      <c r="B64" s="24">
        <v>0.2273</v>
      </c>
      <c r="C64" s="24">
        <v>0.3</v>
      </c>
      <c r="D64" s="24">
        <v>0.22389999999999999</v>
      </c>
      <c r="E64" s="24">
        <v>11</v>
      </c>
      <c r="F64" s="24">
        <v>146</v>
      </c>
      <c r="G64" s="25">
        <v>157</v>
      </c>
      <c r="H64" s="44">
        <f t="shared" si="0"/>
        <v>0.2273</v>
      </c>
    </row>
    <row r="65" spans="1:9" ht="14" x14ac:dyDescent="0.3">
      <c r="A65" s="24">
        <v>64</v>
      </c>
      <c r="B65" s="24">
        <v>0.2576</v>
      </c>
      <c r="C65" s="24">
        <v>0.32</v>
      </c>
      <c r="D65" s="24">
        <v>0.1045</v>
      </c>
      <c r="E65" s="24">
        <v>9</v>
      </c>
      <c r="F65" s="24">
        <v>148</v>
      </c>
      <c r="G65" s="25">
        <v>157</v>
      </c>
      <c r="H65" s="44">
        <f t="shared" si="0"/>
        <v>0.2576</v>
      </c>
    </row>
    <row r="66" spans="1:9" ht="14" x14ac:dyDescent="0.3">
      <c r="A66" s="24">
        <v>65</v>
      </c>
      <c r="B66" s="24">
        <v>0.2576</v>
      </c>
      <c r="C66" s="24">
        <v>0.47</v>
      </c>
      <c r="D66" s="24">
        <v>0</v>
      </c>
      <c r="E66" s="24">
        <v>8</v>
      </c>
      <c r="F66" s="24">
        <v>102</v>
      </c>
      <c r="G66" s="25">
        <v>110</v>
      </c>
      <c r="H66" s="44">
        <f t="shared" ref="H66:H129" si="1">IF(ISBLANK(B66),0.197,B66)</f>
        <v>0.2576</v>
      </c>
    </row>
    <row r="67" spans="1:9" ht="14" x14ac:dyDescent="0.3">
      <c r="A67" s="24">
        <v>66</v>
      </c>
      <c r="B67" s="26"/>
      <c r="C67" s="24">
        <v>0.47</v>
      </c>
      <c r="D67" s="24">
        <v>0.1045</v>
      </c>
      <c r="E67" s="24">
        <v>3</v>
      </c>
      <c r="F67" s="24">
        <v>49</v>
      </c>
      <c r="G67" s="25">
        <v>52</v>
      </c>
      <c r="H67" s="44">
        <f t="shared" si="1"/>
        <v>0.19700000000000001</v>
      </c>
    </row>
    <row r="68" spans="1:9" ht="14" x14ac:dyDescent="0.3">
      <c r="A68" s="24">
        <v>67</v>
      </c>
      <c r="B68" s="24">
        <v>0.19700000000000001</v>
      </c>
      <c r="C68" s="24">
        <v>0.64</v>
      </c>
      <c r="D68" s="24">
        <v>0.1343</v>
      </c>
      <c r="E68" s="24">
        <v>3</v>
      </c>
      <c r="F68" s="24">
        <v>49</v>
      </c>
      <c r="G68" s="25">
        <v>52</v>
      </c>
      <c r="H68" s="44">
        <f t="shared" si="1"/>
        <v>0.19700000000000001</v>
      </c>
    </row>
    <row r="69" spans="1:9" ht="14" x14ac:dyDescent="0.3">
      <c r="A69" s="24">
        <v>68</v>
      </c>
      <c r="B69" s="24">
        <v>0.1515</v>
      </c>
      <c r="C69" s="24">
        <v>0.69</v>
      </c>
      <c r="D69" s="24">
        <v>0.1343</v>
      </c>
      <c r="E69" s="24">
        <v>0</v>
      </c>
      <c r="F69" s="24">
        <v>20</v>
      </c>
      <c r="G69" s="25">
        <v>20</v>
      </c>
      <c r="H69" s="44">
        <f t="shared" si="1"/>
        <v>0.1515</v>
      </c>
    </row>
    <row r="70" spans="1:9" ht="14" x14ac:dyDescent="0.3">
      <c r="A70" s="24">
        <v>69</v>
      </c>
      <c r="B70" s="24">
        <v>0.21210000000000001</v>
      </c>
      <c r="C70" s="24">
        <v>0.55000000000000004</v>
      </c>
      <c r="D70" s="24">
        <v>0.1045</v>
      </c>
      <c r="E70" s="24">
        <v>1</v>
      </c>
      <c r="F70" s="24">
        <v>11</v>
      </c>
      <c r="G70" s="25">
        <v>12</v>
      </c>
      <c r="H70" s="44">
        <f t="shared" si="1"/>
        <v>0.21210000000000001</v>
      </c>
    </row>
    <row r="71" spans="1:9" ht="14" x14ac:dyDescent="0.3">
      <c r="A71" s="24">
        <v>70</v>
      </c>
      <c r="B71" s="26"/>
      <c r="C71" s="24">
        <v>0.55000000000000004</v>
      </c>
      <c r="D71" s="24">
        <v>0.1045</v>
      </c>
      <c r="E71" s="24">
        <v>0</v>
      </c>
      <c r="F71" s="24">
        <v>5</v>
      </c>
      <c r="G71" s="25">
        <v>5</v>
      </c>
      <c r="H71" s="44">
        <f t="shared" si="1"/>
        <v>0.19700000000000001</v>
      </c>
      <c r="I71" t="s">
        <v>19</v>
      </c>
    </row>
    <row r="72" spans="1:9" ht="14" x14ac:dyDescent="0.3">
      <c r="A72" s="24">
        <v>71</v>
      </c>
      <c r="B72" s="24">
        <v>0.18179999999999999</v>
      </c>
      <c r="C72" s="24">
        <v>0.59</v>
      </c>
      <c r="D72" s="24">
        <v>0.1045</v>
      </c>
      <c r="E72" s="24">
        <v>0</v>
      </c>
      <c r="F72" s="24">
        <v>2</v>
      </c>
      <c r="G72" s="25">
        <v>2</v>
      </c>
      <c r="H72" s="44">
        <f t="shared" si="1"/>
        <v>0.18179999999999999</v>
      </c>
    </row>
    <row r="73" spans="1:9" ht="14" x14ac:dyDescent="0.3">
      <c r="A73" s="24">
        <v>72</v>
      </c>
      <c r="B73" s="24">
        <v>0.1515</v>
      </c>
      <c r="C73" s="24">
        <v>0.63</v>
      </c>
      <c r="D73" s="24">
        <v>0.1343</v>
      </c>
      <c r="E73" s="24">
        <v>0</v>
      </c>
      <c r="F73" s="24">
        <v>1</v>
      </c>
      <c r="G73" s="25">
        <v>1</v>
      </c>
      <c r="H73" s="44">
        <f t="shared" si="1"/>
        <v>0.1515</v>
      </c>
    </row>
    <row r="74" spans="1:9" ht="14" x14ac:dyDescent="0.3">
      <c r="A74" s="24">
        <v>73</v>
      </c>
      <c r="B74" s="24">
        <v>0.18179999999999999</v>
      </c>
      <c r="C74" s="24">
        <v>0.63</v>
      </c>
      <c r="D74" s="24">
        <v>8.9599999999999999E-2</v>
      </c>
      <c r="E74" s="24">
        <v>0</v>
      </c>
      <c r="F74" s="24">
        <v>2</v>
      </c>
      <c r="G74" s="25">
        <v>2</v>
      </c>
      <c r="H74" s="44">
        <f t="shared" si="1"/>
        <v>0.18179999999999999</v>
      </c>
    </row>
    <row r="75" spans="1:9" ht="14" x14ac:dyDescent="0.3">
      <c r="A75" s="24">
        <v>74</v>
      </c>
      <c r="B75" s="24">
        <v>0.1515</v>
      </c>
      <c r="C75" s="24">
        <v>0.68</v>
      </c>
      <c r="D75" s="24">
        <v>0.1045</v>
      </c>
      <c r="E75" s="24">
        <v>0</v>
      </c>
      <c r="F75" s="24">
        <v>4</v>
      </c>
      <c r="G75" s="25">
        <v>4</v>
      </c>
      <c r="H75" s="44">
        <f t="shared" si="1"/>
        <v>0.1515</v>
      </c>
    </row>
    <row r="76" spans="1:9" ht="14" x14ac:dyDescent="0.3">
      <c r="A76" s="24">
        <v>75</v>
      </c>
      <c r="B76" s="24">
        <v>0.1515</v>
      </c>
      <c r="C76" s="24">
        <v>0.74</v>
      </c>
      <c r="D76" s="24">
        <v>0.1045</v>
      </c>
      <c r="E76" s="24">
        <v>0</v>
      </c>
      <c r="F76" s="24">
        <v>36</v>
      </c>
      <c r="G76" s="25">
        <v>36</v>
      </c>
      <c r="H76" s="44">
        <f t="shared" si="1"/>
        <v>0.1515</v>
      </c>
    </row>
    <row r="77" spans="1:9" ht="14" x14ac:dyDescent="0.3">
      <c r="A77" s="24">
        <v>76</v>
      </c>
      <c r="B77" s="24">
        <v>0.1515</v>
      </c>
      <c r="C77" s="24">
        <v>0.74</v>
      </c>
      <c r="D77" s="24">
        <v>0.1343</v>
      </c>
      <c r="E77" s="24">
        <v>2</v>
      </c>
      <c r="F77" s="24">
        <v>92</v>
      </c>
      <c r="G77" s="25">
        <v>94</v>
      </c>
      <c r="H77" s="44">
        <f t="shared" si="1"/>
        <v>0.1515</v>
      </c>
    </row>
    <row r="78" spans="1:9" ht="14" x14ac:dyDescent="0.3">
      <c r="A78" s="24">
        <v>77</v>
      </c>
      <c r="B78" s="24">
        <v>0.1515</v>
      </c>
      <c r="C78" s="24">
        <v>0.69</v>
      </c>
      <c r="D78" s="24">
        <v>0.16420000000000001</v>
      </c>
      <c r="E78" s="24">
        <v>2</v>
      </c>
      <c r="F78" s="24">
        <v>177</v>
      </c>
      <c r="G78" s="25">
        <v>179</v>
      </c>
      <c r="H78" s="44">
        <f t="shared" si="1"/>
        <v>0.1515</v>
      </c>
    </row>
    <row r="79" spans="1:9" ht="14" x14ac:dyDescent="0.3">
      <c r="A79" s="24">
        <v>78</v>
      </c>
      <c r="B79" s="24">
        <v>0.1515</v>
      </c>
      <c r="C79" s="24">
        <v>0.64</v>
      </c>
      <c r="D79" s="24">
        <v>0.22389999999999999</v>
      </c>
      <c r="E79" s="24">
        <v>2</v>
      </c>
      <c r="F79" s="24">
        <v>98</v>
      </c>
      <c r="G79" s="25">
        <v>100</v>
      </c>
      <c r="H79" s="44">
        <f t="shared" si="1"/>
        <v>0.1515</v>
      </c>
    </row>
    <row r="80" spans="1:9" ht="14" x14ac:dyDescent="0.3">
      <c r="A80" s="24">
        <v>79</v>
      </c>
      <c r="B80" s="24">
        <v>0.13639999999999999</v>
      </c>
      <c r="C80" s="24">
        <v>0.69</v>
      </c>
      <c r="D80" s="24">
        <v>0.32840000000000003</v>
      </c>
      <c r="E80" s="24">
        <v>5</v>
      </c>
      <c r="F80" s="24">
        <v>37</v>
      </c>
      <c r="G80" s="25">
        <v>42</v>
      </c>
      <c r="H80" s="44">
        <f t="shared" si="1"/>
        <v>0.13639999999999999</v>
      </c>
    </row>
    <row r="81" spans="1:8" ht="14" x14ac:dyDescent="0.3">
      <c r="A81" s="24">
        <v>80</v>
      </c>
      <c r="B81" s="24">
        <v>0.21210000000000001</v>
      </c>
      <c r="C81" s="24">
        <v>0.51</v>
      </c>
      <c r="D81" s="24">
        <v>0.29849999999999999</v>
      </c>
      <c r="E81" s="24">
        <v>7</v>
      </c>
      <c r="F81" s="24">
        <v>50</v>
      </c>
      <c r="G81" s="25">
        <v>57</v>
      </c>
      <c r="H81" s="44">
        <f t="shared" si="1"/>
        <v>0.21210000000000001</v>
      </c>
    </row>
    <row r="82" spans="1:8" ht="14" x14ac:dyDescent="0.3">
      <c r="A82" s="24">
        <v>81</v>
      </c>
      <c r="B82" s="24">
        <v>0.2273</v>
      </c>
      <c r="C82" s="24">
        <v>0.51</v>
      </c>
      <c r="D82" s="24">
        <v>0.16420000000000001</v>
      </c>
      <c r="E82" s="24">
        <v>12</v>
      </c>
      <c r="F82" s="24">
        <v>66</v>
      </c>
      <c r="G82" s="25">
        <v>78</v>
      </c>
      <c r="H82" s="44">
        <f t="shared" si="1"/>
        <v>0.2273</v>
      </c>
    </row>
    <row r="83" spans="1:8" ht="14" x14ac:dyDescent="0.3">
      <c r="A83" s="24">
        <v>82</v>
      </c>
      <c r="B83" s="24">
        <v>0.2273</v>
      </c>
      <c r="C83" s="24">
        <v>0.56000000000000005</v>
      </c>
      <c r="D83" s="24">
        <v>0.19400000000000001</v>
      </c>
      <c r="E83" s="24">
        <v>18</v>
      </c>
      <c r="F83" s="24">
        <v>79</v>
      </c>
      <c r="G83" s="25">
        <v>97</v>
      </c>
      <c r="H83" s="44">
        <f t="shared" si="1"/>
        <v>0.2273</v>
      </c>
    </row>
    <row r="84" spans="1:8" ht="14" x14ac:dyDescent="0.3">
      <c r="A84" s="24">
        <v>83</v>
      </c>
      <c r="B84" s="24">
        <v>0.2576</v>
      </c>
      <c r="C84" s="24">
        <v>0.52</v>
      </c>
      <c r="D84" s="24">
        <v>0.22389999999999999</v>
      </c>
      <c r="E84" s="24">
        <v>9</v>
      </c>
      <c r="F84" s="24">
        <v>54</v>
      </c>
      <c r="G84" s="25">
        <v>63</v>
      </c>
      <c r="H84" s="44">
        <f t="shared" si="1"/>
        <v>0.2576</v>
      </c>
    </row>
    <row r="85" spans="1:8" ht="14" x14ac:dyDescent="0.3">
      <c r="A85" s="24">
        <v>84</v>
      </c>
      <c r="B85" s="24">
        <v>0.2727</v>
      </c>
      <c r="C85" s="24">
        <v>0.52</v>
      </c>
      <c r="D85" s="24">
        <v>0.25369999999999998</v>
      </c>
      <c r="E85" s="24">
        <v>17</v>
      </c>
      <c r="F85" s="24">
        <v>48</v>
      </c>
      <c r="G85" s="25">
        <v>65</v>
      </c>
      <c r="H85" s="44">
        <f t="shared" si="1"/>
        <v>0.2727</v>
      </c>
    </row>
    <row r="86" spans="1:8" ht="14" x14ac:dyDescent="0.3">
      <c r="A86" s="24">
        <v>85</v>
      </c>
      <c r="B86" s="24">
        <v>0.28789999999999999</v>
      </c>
      <c r="C86" s="24">
        <v>0.49</v>
      </c>
      <c r="D86" s="24">
        <v>0.25369999999999998</v>
      </c>
      <c r="E86" s="24">
        <v>15</v>
      </c>
      <c r="F86" s="24">
        <v>68</v>
      </c>
      <c r="G86" s="25">
        <v>83</v>
      </c>
      <c r="H86" s="44">
        <f t="shared" si="1"/>
        <v>0.28789999999999999</v>
      </c>
    </row>
    <row r="87" spans="1:8" ht="14" x14ac:dyDescent="0.3">
      <c r="A87" s="24">
        <v>86</v>
      </c>
      <c r="B87" s="24">
        <v>0.2727</v>
      </c>
      <c r="C87" s="24">
        <v>0.48</v>
      </c>
      <c r="D87" s="24">
        <v>0.22389999999999999</v>
      </c>
      <c r="E87" s="24">
        <v>10</v>
      </c>
      <c r="F87" s="24">
        <v>202</v>
      </c>
      <c r="G87" s="25">
        <v>212</v>
      </c>
      <c r="H87" s="44">
        <f t="shared" si="1"/>
        <v>0.2727</v>
      </c>
    </row>
    <row r="88" spans="1:8" ht="14" x14ac:dyDescent="0.3">
      <c r="A88" s="24">
        <v>87</v>
      </c>
      <c r="B88" s="24">
        <v>0.2576</v>
      </c>
      <c r="C88" s="24">
        <v>0.48</v>
      </c>
      <c r="D88" s="24">
        <v>0.19400000000000001</v>
      </c>
      <c r="E88" s="24">
        <v>3</v>
      </c>
      <c r="F88" s="24">
        <v>179</v>
      </c>
      <c r="G88" s="25">
        <v>182</v>
      </c>
      <c r="H88" s="44">
        <f t="shared" si="1"/>
        <v>0.2576</v>
      </c>
    </row>
    <row r="89" spans="1:8" ht="14" x14ac:dyDescent="0.3">
      <c r="A89" s="24">
        <v>88</v>
      </c>
      <c r="B89" s="24">
        <v>0.2576</v>
      </c>
      <c r="C89" s="24">
        <v>0.48</v>
      </c>
      <c r="D89" s="24">
        <v>0.1045</v>
      </c>
      <c r="E89" s="24">
        <v>2</v>
      </c>
      <c r="F89" s="24">
        <v>110</v>
      </c>
      <c r="G89" s="25">
        <v>112</v>
      </c>
      <c r="H89" s="44">
        <f t="shared" si="1"/>
        <v>0.2576</v>
      </c>
    </row>
    <row r="90" spans="1:8" ht="14" x14ac:dyDescent="0.3">
      <c r="A90" s="24">
        <v>89</v>
      </c>
      <c r="B90" s="24">
        <v>0.2576</v>
      </c>
      <c r="C90" s="24">
        <v>0.48</v>
      </c>
      <c r="D90" s="24">
        <v>0.1045</v>
      </c>
      <c r="E90" s="24">
        <v>1</v>
      </c>
      <c r="F90" s="24">
        <v>53</v>
      </c>
      <c r="G90" s="25">
        <v>54</v>
      </c>
      <c r="H90" s="44">
        <f t="shared" si="1"/>
        <v>0.2576</v>
      </c>
    </row>
    <row r="91" spans="1:8" ht="14" x14ac:dyDescent="0.3">
      <c r="A91" s="24">
        <v>90</v>
      </c>
      <c r="B91" s="24">
        <v>0.2727</v>
      </c>
      <c r="C91" s="24">
        <v>0.64</v>
      </c>
      <c r="D91" s="24">
        <v>0</v>
      </c>
      <c r="E91" s="24">
        <v>0</v>
      </c>
      <c r="F91" s="24">
        <v>48</v>
      </c>
      <c r="G91" s="25">
        <v>48</v>
      </c>
      <c r="H91" s="44">
        <f t="shared" si="1"/>
        <v>0.2727</v>
      </c>
    </row>
    <row r="92" spans="1:8" ht="14" x14ac:dyDescent="0.3">
      <c r="A92" s="24">
        <v>91</v>
      </c>
      <c r="B92" s="24">
        <v>0.2576</v>
      </c>
      <c r="C92" s="24">
        <v>0.64</v>
      </c>
      <c r="D92" s="24">
        <v>8.9599999999999999E-2</v>
      </c>
      <c r="E92" s="24">
        <v>1</v>
      </c>
      <c r="F92" s="24">
        <v>34</v>
      </c>
      <c r="G92" s="25">
        <v>35</v>
      </c>
      <c r="H92" s="44">
        <f t="shared" si="1"/>
        <v>0.2576</v>
      </c>
    </row>
    <row r="93" spans="1:8" ht="14" x14ac:dyDescent="0.3">
      <c r="A93" s="24">
        <v>92</v>
      </c>
      <c r="B93" s="24">
        <v>0.2273</v>
      </c>
      <c r="C93" s="24">
        <v>0.69</v>
      </c>
      <c r="D93" s="24">
        <v>8.9599999999999999E-2</v>
      </c>
      <c r="E93" s="24">
        <v>2</v>
      </c>
      <c r="F93" s="24">
        <v>9</v>
      </c>
      <c r="G93" s="25">
        <v>11</v>
      </c>
      <c r="H93" s="44">
        <f t="shared" si="1"/>
        <v>0.2273</v>
      </c>
    </row>
    <row r="94" spans="1:8" ht="14" x14ac:dyDescent="0.3">
      <c r="A94" s="24">
        <v>93</v>
      </c>
      <c r="B94" s="24">
        <v>0.2576</v>
      </c>
      <c r="C94" s="24">
        <v>0.64</v>
      </c>
      <c r="D94" s="24">
        <v>0</v>
      </c>
      <c r="E94" s="24">
        <v>0</v>
      </c>
      <c r="F94" s="24">
        <v>6</v>
      </c>
      <c r="G94" s="25">
        <v>6</v>
      </c>
      <c r="H94" s="44">
        <f t="shared" si="1"/>
        <v>0.2576</v>
      </c>
    </row>
    <row r="95" spans="1:8" ht="14" x14ac:dyDescent="0.3">
      <c r="A95" s="24">
        <v>94</v>
      </c>
      <c r="B95" s="24">
        <v>0.19700000000000001</v>
      </c>
      <c r="C95" s="24">
        <v>0.74</v>
      </c>
      <c r="D95" s="24">
        <v>8.9599999999999999E-2</v>
      </c>
      <c r="E95" s="24">
        <v>0</v>
      </c>
      <c r="F95" s="24">
        <v>6</v>
      </c>
      <c r="G95" s="25">
        <v>6</v>
      </c>
      <c r="H95" s="44">
        <f t="shared" si="1"/>
        <v>0.19700000000000001</v>
      </c>
    </row>
    <row r="96" spans="1:8" ht="14" x14ac:dyDescent="0.3">
      <c r="A96" s="24">
        <v>95</v>
      </c>
      <c r="B96" s="24">
        <v>0.19700000000000001</v>
      </c>
      <c r="C96" s="24">
        <v>0.74</v>
      </c>
      <c r="D96" s="24">
        <v>8.9599999999999999E-2</v>
      </c>
      <c r="E96" s="24">
        <v>0</v>
      </c>
      <c r="F96" s="24">
        <v>2</v>
      </c>
      <c r="G96" s="25">
        <v>2</v>
      </c>
      <c r="H96" s="44">
        <f t="shared" si="1"/>
        <v>0.19700000000000001</v>
      </c>
    </row>
    <row r="97" spans="1:8" ht="14" x14ac:dyDescent="0.3">
      <c r="A97" s="24">
        <v>96</v>
      </c>
      <c r="B97" s="24">
        <v>0.2273</v>
      </c>
      <c r="C97" s="24">
        <v>0.48</v>
      </c>
      <c r="D97" s="24">
        <v>0.22389999999999999</v>
      </c>
      <c r="E97" s="24">
        <v>0</v>
      </c>
      <c r="F97" s="24">
        <v>2</v>
      </c>
      <c r="G97" s="25">
        <v>2</v>
      </c>
      <c r="H97" s="44">
        <f t="shared" si="1"/>
        <v>0.2273</v>
      </c>
    </row>
    <row r="98" spans="1:8" ht="14" x14ac:dyDescent="0.3">
      <c r="A98" s="24">
        <v>97</v>
      </c>
      <c r="B98" s="24">
        <v>0.2273</v>
      </c>
      <c r="C98" s="24">
        <v>0.47</v>
      </c>
      <c r="D98" s="24">
        <v>0.16420000000000001</v>
      </c>
      <c r="E98" s="24">
        <v>0</v>
      </c>
      <c r="F98" s="24">
        <v>3</v>
      </c>
      <c r="G98" s="25">
        <v>3</v>
      </c>
      <c r="H98" s="44">
        <f t="shared" si="1"/>
        <v>0.2273</v>
      </c>
    </row>
    <row r="99" spans="1:8" ht="14" x14ac:dyDescent="0.3">
      <c r="A99" s="24">
        <v>98</v>
      </c>
      <c r="B99" s="24">
        <v>0.19700000000000001</v>
      </c>
      <c r="C99" s="24">
        <v>0.47</v>
      </c>
      <c r="D99" s="24">
        <v>0.22389999999999999</v>
      </c>
      <c r="E99" s="24">
        <v>0</v>
      </c>
      <c r="F99" s="24">
        <v>33</v>
      </c>
      <c r="G99" s="25">
        <v>33</v>
      </c>
      <c r="H99" s="44">
        <f t="shared" si="1"/>
        <v>0.19700000000000001</v>
      </c>
    </row>
    <row r="100" spans="1:8" ht="14" x14ac:dyDescent="0.3">
      <c r="A100" s="24">
        <v>99</v>
      </c>
      <c r="B100" s="24">
        <v>0.18179999999999999</v>
      </c>
      <c r="C100" s="24">
        <v>0.43</v>
      </c>
      <c r="D100" s="24">
        <v>0.19400000000000001</v>
      </c>
      <c r="E100" s="24">
        <v>1</v>
      </c>
      <c r="F100" s="24">
        <v>87</v>
      </c>
      <c r="G100" s="25">
        <v>88</v>
      </c>
      <c r="H100" s="44">
        <f t="shared" si="1"/>
        <v>0.18179999999999999</v>
      </c>
    </row>
    <row r="101" spans="1:8" ht="14" x14ac:dyDescent="0.3">
      <c r="A101" s="24">
        <v>100</v>
      </c>
      <c r="B101" s="24">
        <v>0.18179999999999999</v>
      </c>
      <c r="C101" s="24">
        <v>0.4</v>
      </c>
      <c r="D101" s="24">
        <v>0.29849999999999999</v>
      </c>
      <c r="E101" s="24">
        <v>3</v>
      </c>
      <c r="F101" s="24">
        <v>192</v>
      </c>
      <c r="G101" s="25">
        <v>195</v>
      </c>
      <c r="H101" s="44">
        <f t="shared" si="1"/>
        <v>0.18179999999999999</v>
      </c>
    </row>
    <row r="102" spans="1:8" ht="14" x14ac:dyDescent="0.3">
      <c r="A102" s="24">
        <v>101</v>
      </c>
      <c r="B102" s="24">
        <v>0.19700000000000001</v>
      </c>
      <c r="C102" s="24">
        <v>0.37</v>
      </c>
      <c r="D102" s="24">
        <v>0.32840000000000003</v>
      </c>
      <c r="E102" s="24">
        <v>6</v>
      </c>
      <c r="F102" s="24">
        <v>109</v>
      </c>
      <c r="G102" s="25">
        <v>115</v>
      </c>
      <c r="H102" s="44">
        <f t="shared" si="1"/>
        <v>0.19700000000000001</v>
      </c>
    </row>
    <row r="103" spans="1:8" ht="14" x14ac:dyDescent="0.3">
      <c r="A103" s="24">
        <v>102</v>
      </c>
      <c r="B103" s="24">
        <v>0.19700000000000001</v>
      </c>
      <c r="C103" s="24">
        <v>0.37</v>
      </c>
      <c r="D103" s="24">
        <v>0.32840000000000003</v>
      </c>
      <c r="E103" s="24">
        <v>4</v>
      </c>
      <c r="F103" s="24">
        <v>53</v>
      </c>
      <c r="G103" s="25">
        <v>57</v>
      </c>
      <c r="H103" s="44">
        <f t="shared" si="1"/>
        <v>0.19700000000000001</v>
      </c>
    </row>
    <row r="104" spans="1:8" ht="14" x14ac:dyDescent="0.3">
      <c r="A104" s="24">
        <v>103</v>
      </c>
      <c r="B104" s="24">
        <v>0.2273</v>
      </c>
      <c r="C104" s="24">
        <v>0.33</v>
      </c>
      <c r="D104" s="24">
        <v>0.32840000000000003</v>
      </c>
      <c r="E104" s="24">
        <v>12</v>
      </c>
      <c r="F104" s="24">
        <v>34</v>
      </c>
      <c r="G104" s="25">
        <v>46</v>
      </c>
      <c r="H104" s="44">
        <f t="shared" si="1"/>
        <v>0.2273</v>
      </c>
    </row>
    <row r="105" spans="1:8" ht="14" x14ac:dyDescent="0.3">
      <c r="A105" s="24">
        <v>104</v>
      </c>
      <c r="B105" s="24">
        <v>0.2273</v>
      </c>
      <c r="C105" s="24">
        <v>0.33</v>
      </c>
      <c r="D105" s="24">
        <v>0.32840000000000003</v>
      </c>
      <c r="E105" s="24">
        <v>5</v>
      </c>
      <c r="F105" s="24">
        <v>74</v>
      </c>
      <c r="G105" s="25">
        <v>79</v>
      </c>
      <c r="H105" s="44">
        <f t="shared" si="1"/>
        <v>0.2273</v>
      </c>
    </row>
    <row r="106" spans="1:8" ht="14" x14ac:dyDescent="0.3">
      <c r="A106" s="24">
        <v>105</v>
      </c>
      <c r="B106" s="24">
        <v>0.2576</v>
      </c>
      <c r="C106" s="24">
        <v>0.3</v>
      </c>
      <c r="D106" s="24">
        <v>0.29849999999999999</v>
      </c>
      <c r="E106" s="24">
        <v>6</v>
      </c>
      <c r="F106" s="24">
        <v>65</v>
      </c>
      <c r="G106" s="25">
        <v>71</v>
      </c>
      <c r="H106" s="44">
        <f t="shared" si="1"/>
        <v>0.2576</v>
      </c>
    </row>
    <row r="107" spans="1:8" ht="14" x14ac:dyDescent="0.3">
      <c r="A107" s="24">
        <v>106</v>
      </c>
      <c r="B107" s="24">
        <v>0.28789999999999999</v>
      </c>
      <c r="C107" s="24">
        <v>0.28000000000000003</v>
      </c>
      <c r="D107" s="24">
        <v>0.19400000000000001</v>
      </c>
      <c r="E107" s="24">
        <v>10</v>
      </c>
      <c r="F107" s="24">
        <v>52</v>
      </c>
      <c r="G107" s="25">
        <v>62</v>
      </c>
      <c r="H107" s="44">
        <f t="shared" si="1"/>
        <v>0.28789999999999999</v>
      </c>
    </row>
    <row r="108" spans="1:8" ht="14" x14ac:dyDescent="0.3">
      <c r="A108" s="24">
        <v>107</v>
      </c>
      <c r="B108" s="24">
        <v>0.28789999999999999</v>
      </c>
      <c r="C108" s="24">
        <v>0.28000000000000003</v>
      </c>
      <c r="D108" s="24">
        <v>0.19400000000000001</v>
      </c>
      <c r="E108" s="24">
        <v>7</v>
      </c>
      <c r="F108" s="24">
        <v>55</v>
      </c>
      <c r="G108" s="25">
        <v>62</v>
      </c>
      <c r="H108" s="44">
        <f t="shared" si="1"/>
        <v>0.28789999999999999</v>
      </c>
    </row>
    <row r="109" spans="1:8" ht="14" x14ac:dyDescent="0.3">
      <c r="A109" s="24">
        <v>108</v>
      </c>
      <c r="B109" s="24">
        <v>0.31819999999999998</v>
      </c>
      <c r="C109" s="24">
        <v>0.28000000000000003</v>
      </c>
      <c r="D109" s="24">
        <v>8.9599999999999999E-2</v>
      </c>
      <c r="E109" s="24">
        <v>4</v>
      </c>
      <c r="F109" s="24">
        <v>85</v>
      </c>
      <c r="G109" s="25">
        <v>89</v>
      </c>
      <c r="H109" s="44">
        <f t="shared" si="1"/>
        <v>0.31819999999999998</v>
      </c>
    </row>
    <row r="110" spans="1:8" ht="14" x14ac:dyDescent="0.3">
      <c r="A110" s="24">
        <v>109</v>
      </c>
      <c r="B110" s="24">
        <v>0.2273</v>
      </c>
      <c r="C110" s="24">
        <v>0.38</v>
      </c>
      <c r="D110" s="24">
        <v>0.19400000000000001</v>
      </c>
      <c r="E110" s="24">
        <v>4</v>
      </c>
      <c r="F110" s="24">
        <v>186</v>
      </c>
      <c r="G110" s="25">
        <v>190</v>
      </c>
      <c r="H110" s="44">
        <f t="shared" si="1"/>
        <v>0.2273</v>
      </c>
    </row>
    <row r="111" spans="1:8" ht="14" x14ac:dyDescent="0.3">
      <c r="A111" s="24">
        <v>110</v>
      </c>
      <c r="B111" s="24">
        <v>0.2424</v>
      </c>
      <c r="C111" s="24">
        <v>0.38</v>
      </c>
      <c r="D111" s="24">
        <v>0.1343</v>
      </c>
      <c r="E111" s="24">
        <v>3</v>
      </c>
      <c r="F111" s="24">
        <v>166</v>
      </c>
      <c r="G111" s="25">
        <v>169</v>
      </c>
      <c r="H111" s="44">
        <f t="shared" si="1"/>
        <v>0.2424</v>
      </c>
    </row>
    <row r="112" spans="1:8" ht="14" x14ac:dyDescent="0.3">
      <c r="A112" s="24">
        <v>111</v>
      </c>
      <c r="B112" s="24">
        <v>0.2576</v>
      </c>
      <c r="C112" s="24">
        <v>0.38</v>
      </c>
      <c r="D112" s="24">
        <v>0.1045</v>
      </c>
      <c r="E112" s="24">
        <v>5</v>
      </c>
      <c r="F112" s="24">
        <v>127</v>
      </c>
      <c r="G112" s="25">
        <v>132</v>
      </c>
      <c r="H112" s="44">
        <f t="shared" si="1"/>
        <v>0.2576</v>
      </c>
    </row>
    <row r="113" spans="1:8" ht="14" x14ac:dyDescent="0.3">
      <c r="A113" s="24">
        <v>112</v>
      </c>
      <c r="B113" s="24">
        <v>0.2273</v>
      </c>
      <c r="C113" s="24">
        <v>0.47</v>
      </c>
      <c r="D113" s="24">
        <v>0.16420000000000001</v>
      </c>
      <c r="E113" s="24">
        <v>7</v>
      </c>
      <c r="F113" s="24">
        <v>82</v>
      </c>
      <c r="G113" s="25">
        <v>89</v>
      </c>
      <c r="H113" s="44">
        <f t="shared" si="1"/>
        <v>0.2273</v>
      </c>
    </row>
    <row r="114" spans="1:8" ht="14" x14ac:dyDescent="0.3">
      <c r="A114" s="24">
        <v>113</v>
      </c>
      <c r="B114" s="24">
        <v>0.19700000000000001</v>
      </c>
      <c r="C114" s="24">
        <v>0.51</v>
      </c>
      <c r="D114" s="24">
        <v>0.19400000000000001</v>
      </c>
      <c r="E114" s="24">
        <v>3</v>
      </c>
      <c r="F114" s="24">
        <v>40</v>
      </c>
      <c r="G114" s="25">
        <v>43</v>
      </c>
      <c r="H114" s="44">
        <f t="shared" si="1"/>
        <v>0.19700000000000001</v>
      </c>
    </row>
    <row r="115" spans="1:8" ht="14" x14ac:dyDescent="0.3">
      <c r="A115" s="24">
        <v>114</v>
      </c>
      <c r="B115" s="24">
        <v>0.19700000000000001</v>
      </c>
      <c r="C115" s="24">
        <v>0.55000000000000004</v>
      </c>
      <c r="D115" s="24">
        <v>0.1343</v>
      </c>
      <c r="E115" s="24">
        <v>1</v>
      </c>
      <c r="F115" s="24">
        <v>41</v>
      </c>
      <c r="G115" s="25">
        <v>42</v>
      </c>
      <c r="H115" s="44">
        <f t="shared" si="1"/>
        <v>0.19700000000000001</v>
      </c>
    </row>
    <row r="116" spans="1:8" ht="14" x14ac:dyDescent="0.3">
      <c r="A116" s="24">
        <v>115</v>
      </c>
      <c r="B116" s="24">
        <v>0.2576</v>
      </c>
      <c r="C116" s="24">
        <v>0.47</v>
      </c>
      <c r="D116" s="24">
        <v>0</v>
      </c>
      <c r="E116" s="24">
        <v>1</v>
      </c>
      <c r="F116" s="24">
        <v>18</v>
      </c>
      <c r="G116" s="25">
        <v>19</v>
      </c>
      <c r="H116" s="44">
        <f t="shared" si="1"/>
        <v>0.2576</v>
      </c>
    </row>
    <row r="117" spans="1:8" ht="14" x14ac:dyDescent="0.3">
      <c r="A117" s="24">
        <v>116</v>
      </c>
      <c r="B117" s="24">
        <v>0.2424</v>
      </c>
      <c r="C117" s="24">
        <v>0.55000000000000004</v>
      </c>
      <c r="D117" s="24">
        <v>0</v>
      </c>
      <c r="E117" s="24">
        <v>0</v>
      </c>
      <c r="F117" s="24">
        <v>11</v>
      </c>
      <c r="G117" s="25">
        <v>11</v>
      </c>
      <c r="H117" s="44">
        <f t="shared" si="1"/>
        <v>0.2424</v>
      </c>
    </row>
    <row r="118" spans="1:8" ht="14" x14ac:dyDescent="0.3">
      <c r="A118" s="24">
        <v>117</v>
      </c>
      <c r="B118" s="24">
        <v>0.2273</v>
      </c>
      <c r="C118" s="24">
        <v>0.64</v>
      </c>
      <c r="D118" s="24">
        <v>0</v>
      </c>
      <c r="E118" s="24">
        <v>0</v>
      </c>
      <c r="F118" s="24">
        <v>4</v>
      </c>
      <c r="G118" s="25">
        <v>4</v>
      </c>
      <c r="H118" s="44">
        <f t="shared" si="1"/>
        <v>0.2273</v>
      </c>
    </row>
    <row r="119" spans="1:8" ht="14" x14ac:dyDescent="0.3">
      <c r="A119" s="24">
        <v>118</v>
      </c>
      <c r="B119" s="24">
        <v>0.2273</v>
      </c>
      <c r="C119" s="24">
        <v>0.64</v>
      </c>
      <c r="D119" s="24">
        <v>0</v>
      </c>
      <c r="E119" s="24">
        <v>0</v>
      </c>
      <c r="F119" s="24">
        <v>2</v>
      </c>
      <c r="G119" s="25">
        <v>2</v>
      </c>
      <c r="H119" s="44">
        <f t="shared" si="1"/>
        <v>0.2273</v>
      </c>
    </row>
    <row r="120" spans="1:8" ht="14" x14ac:dyDescent="0.3">
      <c r="A120" s="24">
        <v>119</v>
      </c>
      <c r="B120" s="24">
        <v>0.19700000000000001</v>
      </c>
      <c r="C120" s="24">
        <v>0.64</v>
      </c>
      <c r="D120" s="24">
        <v>8.9599999999999999E-2</v>
      </c>
      <c r="E120" s="24">
        <v>0</v>
      </c>
      <c r="F120" s="24">
        <v>1</v>
      </c>
      <c r="G120" s="25">
        <v>1</v>
      </c>
      <c r="H120" s="44">
        <f t="shared" si="1"/>
        <v>0.19700000000000001</v>
      </c>
    </row>
    <row r="121" spans="1:8" ht="14" x14ac:dyDescent="0.3">
      <c r="A121" s="24">
        <v>120</v>
      </c>
      <c r="B121" s="24">
        <v>0.18179999999999999</v>
      </c>
      <c r="C121" s="24">
        <v>0.69</v>
      </c>
      <c r="D121" s="24">
        <v>8.9599999999999999E-2</v>
      </c>
      <c r="E121" s="24">
        <v>0</v>
      </c>
      <c r="F121" s="24">
        <v>4</v>
      </c>
      <c r="G121" s="25">
        <v>4</v>
      </c>
      <c r="H121" s="44">
        <f t="shared" si="1"/>
        <v>0.18179999999999999</v>
      </c>
    </row>
    <row r="122" spans="1:8" ht="14" x14ac:dyDescent="0.3">
      <c r="A122" s="24">
        <v>121</v>
      </c>
      <c r="B122" s="24">
        <v>0.16669999999999999</v>
      </c>
      <c r="C122" s="24">
        <v>0.63</v>
      </c>
      <c r="D122" s="24">
        <v>0.1045</v>
      </c>
      <c r="E122" s="24">
        <v>0</v>
      </c>
      <c r="F122" s="24">
        <v>36</v>
      </c>
      <c r="G122" s="25">
        <v>36</v>
      </c>
      <c r="H122" s="44">
        <f t="shared" si="1"/>
        <v>0.16669999999999999</v>
      </c>
    </row>
    <row r="123" spans="1:8" ht="14" x14ac:dyDescent="0.3">
      <c r="A123" s="24">
        <v>122</v>
      </c>
      <c r="B123" s="24">
        <v>0.2273</v>
      </c>
      <c r="C123" s="24">
        <v>0.59</v>
      </c>
      <c r="D123" s="24">
        <v>0</v>
      </c>
      <c r="E123" s="24">
        <v>0</v>
      </c>
      <c r="F123" s="24">
        <v>95</v>
      </c>
      <c r="G123" s="25">
        <v>95</v>
      </c>
      <c r="H123" s="44">
        <f t="shared" si="1"/>
        <v>0.2273</v>
      </c>
    </row>
    <row r="124" spans="1:8" ht="14" x14ac:dyDescent="0.3">
      <c r="A124" s="24">
        <v>123</v>
      </c>
      <c r="B124" s="24">
        <v>0.2273</v>
      </c>
      <c r="C124" s="24">
        <v>0.59</v>
      </c>
      <c r="D124" s="24">
        <v>0</v>
      </c>
      <c r="E124" s="24">
        <v>3</v>
      </c>
      <c r="F124" s="24">
        <v>216</v>
      </c>
      <c r="G124" s="25">
        <v>219</v>
      </c>
      <c r="H124" s="44">
        <f t="shared" si="1"/>
        <v>0.2273</v>
      </c>
    </row>
    <row r="125" spans="1:8" ht="14" x14ac:dyDescent="0.3">
      <c r="A125" s="24">
        <v>124</v>
      </c>
      <c r="B125" s="24">
        <v>0.2424</v>
      </c>
      <c r="C125" s="24">
        <v>0.51</v>
      </c>
      <c r="D125" s="24">
        <v>0</v>
      </c>
      <c r="E125" s="24">
        <v>6</v>
      </c>
      <c r="F125" s="24">
        <v>116</v>
      </c>
      <c r="G125" s="25">
        <v>122</v>
      </c>
      <c r="H125" s="44">
        <f t="shared" si="1"/>
        <v>0.2424</v>
      </c>
    </row>
    <row r="126" spans="1:8" ht="14" x14ac:dyDescent="0.3">
      <c r="A126" s="24">
        <v>125</v>
      </c>
      <c r="B126" s="24">
        <v>0.2576</v>
      </c>
      <c r="C126" s="24">
        <v>0.47</v>
      </c>
      <c r="D126" s="24">
        <v>0</v>
      </c>
      <c r="E126" s="24">
        <v>3</v>
      </c>
      <c r="F126" s="24">
        <v>42</v>
      </c>
      <c r="G126" s="25">
        <v>45</v>
      </c>
      <c r="H126" s="44">
        <f t="shared" si="1"/>
        <v>0.2576</v>
      </c>
    </row>
    <row r="127" spans="1:8" ht="14" x14ac:dyDescent="0.3">
      <c r="A127" s="24">
        <v>126</v>
      </c>
      <c r="B127" s="24">
        <v>0.2576</v>
      </c>
      <c r="C127" s="24">
        <v>0.44</v>
      </c>
      <c r="D127" s="24">
        <v>8.9599999999999999E-2</v>
      </c>
      <c r="E127" s="24">
        <v>2</v>
      </c>
      <c r="F127" s="24">
        <v>57</v>
      </c>
      <c r="G127" s="25">
        <v>59</v>
      </c>
      <c r="H127" s="44">
        <f t="shared" si="1"/>
        <v>0.2576</v>
      </c>
    </row>
    <row r="128" spans="1:8" ht="14" x14ac:dyDescent="0.3">
      <c r="A128" s="24">
        <v>127</v>
      </c>
      <c r="B128" s="24">
        <v>0.28789999999999999</v>
      </c>
      <c r="C128" s="24">
        <v>0.35</v>
      </c>
      <c r="D128" s="24">
        <v>0</v>
      </c>
      <c r="E128" s="24">
        <v>6</v>
      </c>
      <c r="F128" s="24">
        <v>78</v>
      </c>
      <c r="G128" s="25">
        <v>84</v>
      </c>
      <c r="H128" s="44">
        <f t="shared" si="1"/>
        <v>0.28789999999999999</v>
      </c>
    </row>
    <row r="129" spans="1:8" ht="14" x14ac:dyDescent="0.3">
      <c r="A129" s="24">
        <v>128</v>
      </c>
      <c r="B129" s="24">
        <v>0.2727</v>
      </c>
      <c r="C129" s="24">
        <v>0.35</v>
      </c>
      <c r="D129" s="24">
        <v>0.1045</v>
      </c>
      <c r="E129" s="24">
        <v>12</v>
      </c>
      <c r="F129" s="24">
        <v>55</v>
      </c>
      <c r="G129" s="25">
        <v>67</v>
      </c>
      <c r="H129" s="44">
        <f t="shared" si="1"/>
        <v>0.2727</v>
      </c>
    </row>
    <row r="130" spans="1:8" ht="14" x14ac:dyDescent="0.3">
      <c r="A130" s="24">
        <v>129</v>
      </c>
      <c r="B130" s="24">
        <v>0.2727</v>
      </c>
      <c r="C130" s="24">
        <v>0.36</v>
      </c>
      <c r="D130" s="24">
        <v>0.16420000000000001</v>
      </c>
      <c r="E130" s="24">
        <v>11</v>
      </c>
      <c r="F130" s="24">
        <v>59</v>
      </c>
      <c r="G130" s="25">
        <v>70</v>
      </c>
      <c r="H130" s="44">
        <f t="shared" ref="H130:H193" si="2">IF(ISBLANK(B130),0.197,B130)</f>
        <v>0.2727</v>
      </c>
    </row>
    <row r="131" spans="1:8" ht="14" x14ac:dyDescent="0.3">
      <c r="A131" s="24">
        <v>130</v>
      </c>
      <c r="B131" s="24">
        <v>0.2727</v>
      </c>
      <c r="C131" s="24">
        <v>0.36</v>
      </c>
      <c r="D131" s="24">
        <v>0</v>
      </c>
      <c r="E131" s="24">
        <v>8</v>
      </c>
      <c r="F131" s="24">
        <v>54</v>
      </c>
      <c r="G131" s="25">
        <v>62</v>
      </c>
      <c r="H131" s="44">
        <f t="shared" si="2"/>
        <v>0.2727</v>
      </c>
    </row>
    <row r="132" spans="1:8" ht="14" x14ac:dyDescent="0.3">
      <c r="A132" s="24">
        <v>131</v>
      </c>
      <c r="B132" s="24">
        <v>0.2576</v>
      </c>
      <c r="C132" s="24">
        <v>0.38</v>
      </c>
      <c r="D132" s="24">
        <v>0.16420000000000001</v>
      </c>
      <c r="E132" s="24">
        <v>12</v>
      </c>
      <c r="F132" s="24">
        <v>74</v>
      </c>
      <c r="G132" s="25">
        <v>86</v>
      </c>
      <c r="H132" s="44">
        <f t="shared" si="2"/>
        <v>0.2576</v>
      </c>
    </row>
    <row r="133" spans="1:8" ht="14" x14ac:dyDescent="0.3">
      <c r="A133" s="24">
        <v>132</v>
      </c>
      <c r="B133" s="24">
        <v>0.2273</v>
      </c>
      <c r="C133" s="24">
        <v>0.51</v>
      </c>
      <c r="D133" s="24">
        <v>0.16420000000000001</v>
      </c>
      <c r="E133" s="24">
        <v>9</v>
      </c>
      <c r="F133" s="24">
        <v>163</v>
      </c>
      <c r="G133" s="25">
        <v>172</v>
      </c>
      <c r="H133" s="44">
        <f t="shared" si="2"/>
        <v>0.2273</v>
      </c>
    </row>
    <row r="134" spans="1:8" ht="14" x14ac:dyDescent="0.3">
      <c r="A134" s="24">
        <v>133</v>
      </c>
      <c r="B134" s="24">
        <v>0.2273</v>
      </c>
      <c r="C134" s="24">
        <v>0.51</v>
      </c>
      <c r="D134" s="24">
        <v>0.1343</v>
      </c>
      <c r="E134" s="24">
        <v>5</v>
      </c>
      <c r="F134" s="24">
        <v>158</v>
      </c>
      <c r="G134" s="25">
        <v>163</v>
      </c>
      <c r="H134" s="44">
        <f t="shared" si="2"/>
        <v>0.2273</v>
      </c>
    </row>
    <row r="135" spans="1:8" ht="14" x14ac:dyDescent="0.3">
      <c r="A135" s="24">
        <v>134</v>
      </c>
      <c r="B135" s="24">
        <v>0.2576</v>
      </c>
      <c r="C135" s="24">
        <v>0.55000000000000004</v>
      </c>
      <c r="D135" s="24">
        <v>8.9599999999999999E-2</v>
      </c>
      <c r="E135" s="24">
        <v>3</v>
      </c>
      <c r="F135" s="24">
        <v>109</v>
      </c>
      <c r="G135" s="25">
        <v>112</v>
      </c>
      <c r="H135" s="44">
        <f t="shared" si="2"/>
        <v>0.2576</v>
      </c>
    </row>
    <row r="136" spans="1:8" ht="14" x14ac:dyDescent="0.3">
      <c r="A136" s="24">
        <v>135</v>
      </c>
      <c r="B136" s="24">
        <v>0.21210000000000001</v>
      </c>
      <c r="C136" s="24">
        <v>0.51</v>
      </c>
      <c r="D136" s="24">
        <v>0.16420000000000001</v>
      </c>
      <c r="E136" s="24">
        <v>3</v>
      </c>
      <c r="F136" s="24">
        <v>66</v>
      </c>
      <c r="G136" s="25">
        <v>69</v>
      </c>
      <c r="H136" s="44">
        <f t="shared" si="2"/>
        <v>0.21210000000000001</v>
      </c>
    </row>
    <row r="137" spans="1:8" ht="14" x14ac:dyDescent="0.3">
      <c r="A137" s="24">
        <v>136</v>
      </c>
      <c r="B137" s="24">
        <v>0.21210000000000001</v>
      </c>
      <c r="C137" s="24">
        <v>0.55000000000000004</v>
      </c>
      <c r="D137" s="24">
        <v>0.22389999999999999</v>
      </c>
      <c r="E137" s="24">
        <v>0</v>
      </c>
      <c r="F137" s="24">
        <v>48</v>
      </c>
      <c r="G137" s="25">
        <v>48</v>
      </c>
      <c r="H137" s="44">
        <f t="shared" si="2"/>
        <v>0.21210000000000001</v>
      </c>
    </row>
    <row r="138" spans="1:8" ht="14" x14ac:dyDescent="0.3">
      <c r="A138" s="24">
        <v>137</v>
      </c>
      <c r="B138" s="24">
        <v>0.21210000000000001</v>
      </c>
      <c r="C138" s="24">
        <v>0.51</v>
      </c>
      <c r="D138" s="24">
        <v>0.28360000000000002</v>
      </c>
      <c r="E138" s="24">
        <v>1</v>
      </c>
      <c r="F138" s="24">
        <v>51</v>
      </c>
      <c r="G138" s="25">
        <v>52</v>
      </c>
      <c r="H138" s="44">
        <f t="shared" si="2"/>
        <v>0.21210000000000001</v>
      </c>
    </row>
    <row r="139" spans="1:8" ht="14" x14ac:dyDescent="0.3">
      <c r="A139" s="24">
        <v>138</v>
      </c>
      <c r="B139" s="24">
        <v>0.19700000000000001</v>
      </c>
      <c r="C139" s="24">
        <v>0.59</v>
      </c>
      <c r="D139" s="24">
        <v>0.19400000000000001</v>
      </c>
      <c r="E139" s="24">
        <v>4</v>
      </c>
      <c r="F139" s="24">
        <v>19</v>
      </c>
      <c r="G139" s="25">
        <v>23</v>
      </c>
      <c r="H139" s="44">
        <f t="shared" si="2"/>
        <v>0.19700000000000001</v>
      </c>
    </row>
    <row r="140" spans="1:8" ht="14" x14ac:dyDescent="0.3">
      <c r="A140" s="24">
        <v>139</v>
      </c>
      <c r="B140" s="24">
        <v>0.19700000000000001</v>
      </c>
      <c r="C140" s="24">
        <v>0.64</v>
      </c>
      <c r="D140" s="24">
        <v>0.19400000000000001</v>
      </c>
      <c r="E140" s="24">
        <v>4</v>
      </c>
      <c r="F140" s="24">
        <v>13</v>
      </c>
      <c r="G140" s="25">
        <v>17</v>
      </c>
      <c r="H140" s="44">
        <f t="shared" si="2"/>
        <v>0.19700000000000001</v>
      </c>
    </row>
    <row r="141" spans="1:8" ht="14" x14ac:dyDescent="0.3">
      <c r="A141" s="24">
        <v>140</v>
      </c>
      <c r="B141" s="24">
        <v>0.19700000000000001</v>
      </c>
      <c r="C141" s="24">
        <v>0.69</v>
      </c>
      <c r="D141" s="24">
        <v>0.22389999999999999</v>
      </c>
      <c r="E141" s="24">
        <v>2</v>
      </c>
      <c r="F141" s="24">
        <v>5</v>
      </c>
      <c r="G141" s="25">
        <v>7</v>
      </c>
      <c r="H141" s="44">
        <f t="shared" si="2"/>
        <v>0.19700000000000001</v>
      </c>
    </row>
    <row r="142" spans="1:8" ht="14" x14ac:dyDescent="0.3">
      <c r="A142" s="24">
        <v>141</v>
      </c>
      <c r="B142" s="24">
        <v>0.19700000000000001</v>
      </c>
      <c r="C142" s="24">
        <v>0.69</v>
      </c>
      <c r="D142" s="24">
        <v>0.22389999999999999</v>
      </c>
      <c r="E142" s="24">
        <v>0</v>
      </c>
      <c r="F142" s="24">
        <v>1</v>
      </c>
      <c r="G142" s="25">
        <v>1</v>
      </c>
      <c r="H142" s="44">
        <f t="shared" si="2"/>
        <v>0.19700000000000001</v>
      </c>
    </row>
    <row r="143" spans="1:8" ht="14" x14ac:dyDescent="0.3">
      <c r="A143" s="24">
        <v>142</v>
      </c>
      <c r="B143" s="24">
        <v>0.21210000000000001</v>
      </c>
      <c r="C143" s="24">
        <v>0.69</v>
      </c>
      <c r="D143" s="24">
        <v>0.1343</v>
      </c>
      <c r="E143" s="24">
        <v>0</v>
      </c>
      <c r="F143" s="24">
        <v>1</v>
      </c>
      <c r="G143" s="25">
        <v>1</v>
      </c>
      <c r="H143" s="44">
        <f t="shared" si="2"/>
        <v>0.21210000000000001</v>
      </c>
    </row>
    <row r="144" spans="1:8" ht="14" x14ac:dyDescent="0.3">
      <c r="A144" s="24">
        <v>143</v>
      </c>
      <c r="B144" s="24">
        <v>0.2727</v>
      </c>
      <c r="C144" s="24">
        <v>0.55000000000000004</v>
      </c>
      <c r="D144" s="24">
        <v>0</v>
      </c>
      <c r="E144" s="24">
        <v>0</v>
      </c>
      <c r="F144" s="24">
        <v>5</v>
      </c>
      <c r="G144" s="25">
        <v>5</v>
      </c>
      <c r="H144" s="44">
        <f t="shared" si="2"/>
        <v>0.2727</v>
      </c>
    </row>
    <row r="145" spans="1:8" ht="14" x14ac:dyDescent="0.3">
      <c r="A145" s="24">
        <v>144</v>
      </c>
      <c r="B145" s="24">
        <v>0.2576</v>
      </c>
      <c r="C145" s="24">
        <v>0.69</v>
      </c>
      <c r="D145" s="24">
        <v>0</v>
      </c>
      <c r="E145" s="24">
        <v>8</v>
      </c>
      <c r="F145" s="24">
        <v>26</v>
      </c>
      <c r="G145" s="25">
        <v>34</v>
      </c>
      <c r="H145" s="44">
        <f t="shared" si="2"/>
        <v>0.2576</v>
      </c>
    </row>
    <row r="146" spans="1:8" ht="14" x14ac:dyDescent="0.3">
      <c r="A146" s="24">
        <v>145</v>
      </c>
      <c r="B146" s="24">
        <v>0.21210000000000001</v>
      </c>
      <c r="C146" s="24">
        <v>0.69</v>
      </c>
      <c r="D146" s="24">
        <v>0.1343</v>
      </c>
      <c r="E146" s="24">
        <v>8</v>
      </c>
      <c r="F146" s="24">
        <v>76</v>
      </c>
      <c r="G146" s="25">
        <v>84</v>
      </c>
      <c r="H146" s="44">
        <f t="shared" si="2"/>
        <v>0.21210000000000001</v>
      </c>
    </row>
    <row r="147" spans="1:8" ht="14" x14ac:dyDescent="0.3">
      <c r="A147" s="24">
        <v>146</v>
      </c>
      <c r="B147" s="24">
        <v>0.19700000000000001</v>
      </c>
      <c r="C147" s="24">
        <v>0.51</v>
      </c>
      <c r="D147" s="24">
        <v>0.25369999999999998</v>
      </c>
      <c r="E147" s="24">
        <v>20</v>
      </c>
      <c r="F147" s="24">
        <v>190</v>
      </c>
      <c r="G147" s="25">
        <v>210</v>
      </c>
      <c r="H147" s="44">
        <f t="shared" si="2"/>
        <v>0.19700000000000001</v>
      </c>
    </row>
    <row r="148" spans="1:8" ht="14" x14ac:dyDescent="0.3">
      <c r="A148" s="24">
        <v>147</v>
      </c>
      <c r="B148" s="24">
        <v>0.18179999999999999</v>
      </c>
      <c r="C148" s="24">
        <v>0.47</v>
      </c>
      <c r="D148" s="24">
        <v>0.29849999999999999</v>
      </c>
      <c r="E148" s="24">
        <v>9</v>
      </c>
      <c r="F148" s="24">
        <v>125</v>
      </c>
      <c r="G148" s="25">
        <v>134</v>
      </c>
      <c r="H148" s="44">
        <f t="shared" si="2"/>
        <v>0.18179999999999999</v>
      </c>
    </row>
    <row r="149" spans="1:8" ht="14" x14ac:dyDescent="0.3">
      <c r="A149" s="24">
        <v>148</v>
      </c>
      <c r="B149" s="24">
        <v>0.19700000000000001</v>
      </c>
      <c r="C149" s="24">
        <v>0.37</v>
      </c>
      <c r="D149" s="24">
        <v>0.32840000000000003</v>
      </c>
      <c r="E149" s="24">
        <v>16</v>
      </c>
      <c r="F149" s="24">
        <v>47</v>
      </c>
      <c r="G149" s="25">
        <v>63</v>
      </c>
      <c r="H149" s="44">
        <f t="shared" si="2"/>
        <v>0.19700000000000001</v>
      </c>
    </row>
    <row r="150" spans="1:8" ht="14" x14ac:dyDescent="0.3">
      <c r="A150" s="24">
        <v>149</v>
      </c>
      <c r="B150" s="24">
        <v>0.19700000000000001</v>
      </c>
      <c r="C150" s="24">
        <v>0.4</v>
      </c>
      <c r="D150" s="24">
        <v>0.22389999999999999</v>
      </c>
      <c r="E150" s="24">
        <v>19</v>
      </c>
      <c r="F150" s="24">
        <v>48</v>
      </c>
      <c r="G150" s="25">
        <v>67</v>
      </c>
      <c r="H150" s="44">
        <f t="shared" si="2"/>
        <v>0.19700000000000001</v>
      </c>
    </row>
    <row r="151" spans="1:8" ht="14" x14ac:dyDescent="0.3">
      <c r="A151" s="24">
        <v>150</v>
      </c>
      <c r="B151" s="24">
        <v>0.19700000000000001</v>
      </c>
      <c r="C151" s="24">
        <v>0.37</v>
      </c>
      <c r="D151" s="24">
        <v>0.25369999999999998</v>
      </c>
      <c r="E151" s="24">
        <v>9</v>
      </c>
      <c r="F151" s="24">
        <v>50</v>
      </c>
      <c r="G151" s="25">
        <v>59</v>
      </c>
      <c r="H151" s="44">
        <f t="shared" si="2"/>
        <v>0.19700000000000001</v>
      </c>
    </row>
    <row r="152" spans="1:8" ht="14" x14ac:dyDescent="0.3">
      <c r="A152" s="24">
        <v>151</v>
      </c>
      <c r="B152" s="24">
        <v>0.18179999999999999</v>
      </c>
      <c r="C152" s="24">
        <v>0.37</v>
      </c>
      <c r="D152" s="24">
        <v>0.28360000000000002</v>
      </c>
      <c r="E152" s="24">
        <v>9</v>
      </c>
      <c r="F152" s="24">
        <v>64</v>
      </c>
      <c r="G152" s="25">
        <v>73</v>
      </c>
      <c r="H152" s="44">
        <f t="shared" si="2"/>
        <v>0.18179999999999999</v>
      </c>
    </row>
    <row r="153" spans="1:8" ht="14" x14ac:dyDescent="0.3">
      <c r="A153" s="24">
        <v>152</v>
      </c>
      <c r="B153" s="24">
        <v>0.19700000000000001</v>
      </c>
      <c r="C153" s="24">
        <v>0.4</v>
      </c>
      <c r="D153" s="24">
        <v>0.25369999999999998</v>
      </c>
      <c r="E153" s="24">
        <v>7</v>
      </c>
      <c r="F153" s="24">
        <v>43</v>
      </c>
      <c r="G153" s="25">
        <v>50</v>
      </c>
      <c r="H153" s="44">
        <f t="shared" si="2"/>
        <v>0.19700000000000001</v>
      </c>
    </row>
    <row r="154" spans="1:8" ht="14" x14ac:dyDescent="0.3">
      <c r="A154" s="24">
        <v>153</v>
      </c>
      <c r="B154" s="24">
        <v>0.21210000000000001</v>
      </c>
      <c r="C154" s="24">
        <v>0.37</v>
      </c>
      <c r="D154" s="24">
        <v>0.16420000000000001</v>
      </c>
      <c r="E154" s="24">
        <v>9</v>
      </c>
      <c r="F154" s="24">
        <v>63</v>
      </c>
      <c r="G154" s="25">
        <v>72</v>
      </c>
      <c r="H154" s="44">
        <f t="shared" si="2"/>
        <v>0.21210000000000001</v>
      </c>
    </row>
    <row r="155" spans="1:8" ht="14" x14ac:dyDescent="0.3">
      <c r="A155" s="24">
        <v>154</v>
      </c>
      <c r="B155" s="24">
        <v>0.21210000000000001</v>
      </c>
      <c r="C155" s="24">
        <v>0.37</v>
      </c>
      <c r="D155" s="24">
        <v>0.16420000000000001</v>
      </c>
      <c r="E155" s="24">
        <v>5</v>
      </c>
      <c r="F155" s="24">
        <v>82</v>
      </c>
      <c r="G155" s="25">
        <v>87</v>
      </c>
      <c r="H155" s="44">
        <f t="shared" si="2"/>
        <v>0.21210000000000001</v>
      </c>
    </row>
    <row r="156" spans="1:8" ht="14" x14ac:dyDescent="0.3">
      <c r="A156" s="24">
        <v>155</v>
      </c>
      <c r="B156" s="24">
        <v>0.2576</v>
      </c>
      <c r="C156" s="24">
        <v>0.37</v>
      </c>
      <c r="D156" s="24">
        <v>0</v>
      </c>
      <c r="E156" s="24">
        <v>9</v>
      </c>
      <c r="F156" s="24">
        <v>178</v>
      </c>
      <c r="G156" s="25">
        <v>187</v>
      </c>
      <c r="H156" s="44">
        <f t="shared" si="2"/>
        <v>0.2576</v>
      </c>
    </row>
    <row r="157" spans="1:8" ht="14" x14ac:dyDescent="0.3">
      <c r="A157" s="24">
        <v>156</v>
      </c>
      <c r="B157" s="24">
        <v>0.2273</v>
      </c>
      <c r="C157" s="24">
        <v>0.4</v>
      </c>
      <c r="D157" s="24">
        <v>8.9599999999999999E-2</v>
      </c>
      <c r="E157" s="24">
        <v>7</v>
      </c>
      <c r="F157" s="24">
        <v>116</v>
      </c>
      <c r="G157" s="25">
        <v>123</v>
      </c>
      <c r="H157" s="44">
        <f t="shared" si="2"/>
        <v>0.2273</v>
      </c>
    </row>
    <row r="158" spans="1:8" ht="14" x14ac:dyDescent="0.3">
      <c r="A158" s="24">
        <v>157</v>
      </c>
      <c r="B158" s="24">
        <v>0.19700000000000001</v>
      </c>
      <c r="C158" s="24">
        <v>0.55000000000000004</v>
      </c>
      <c r="D158" s="24">
        <v>8.9599999999999999E-2</v>
      </c>
      <c r="E158" s="24">
        <v>3</v>
      </c>
      <c r="F158" s="24">
        <v>92</v>
      </c>
      <c r="G158" s="25">
        <v>95</v>
      </c>
      <c r="H158" s="44">
        <f t="shared" si="2"/>
        <v>0.19700000000000001</v>
      </c>
    </row>
    <row r="159" spans="1:8" ht="14" x14ac:dyDescent="0.3">
      <c r="A159" s="24">
        <v>158</v>
      </c>
      <c r="B159" s="24">
        <v>0.21210000000000001</v>
      </c>
      <c r="C159" s="24">
        <v>0.47</v>
      </c>
      <c r="D159" s="24">
        <v>0.1045</v>
      </c>
      <c r="E159" s="24">
        <v>1</v>
      </c>
      <c r="F159" s="24">
        <v>50</v>
      </c>
      <c r="G159" s="25">
        <v>51</v>
      </c>
      <c r="H159" s="44">
        <f t="shared" si="2"/>
        <v>0.21210000000000001</v>
      </c>
    </row>
    <row r="160" spans="1:8" ht="14" x14ac:dyDescent="0.3">
      <c r="A160" s="24">
        <v>159</v>
      </c>
      <c r="B160" s="24">
        <v>0.19700000000000001</v>
      </c>
      <c r="C160" s="24">
        <v>0.47</v>
      </c>
      <c r="D160" s="24">
        <v>0.1343</v>
      </c>
      <c r="E160" s="24">
        <v>0</v>
      </c>
      <c r="F160" s="24">
        <v>39</v>
      </c>
      <c r="G160" s="25">
        <v>39</v>
      </c>
      <c r="H160" s="44">
        <f t="shared" si="2"/>
        <v>0.19700000000000001</v>
      </c>
    </row>
    <row r="161" spans="1:8" ht="14" x14ac:dyDescent="0.3">
      <c r="A161" s="24">
        <v>160</v>
      </c>
      <c r="B161" s="24">
        <v>0.19700000000000001</v>
      </c>
      <c r="C161" s="24">
        <v>0.43</v>
      </c>
      <c r="D161" s="24">
        <v>0.16420000000000001</v>
      </c>
      <c r="E161" s="24">
        <v>2</v>
      </c>
      <c r="F161" s="24">
        <v>34</v>
      </c>
      <c r="G161" s="25">
        <v>36</v>
      </c>
      <c r="H161" s="44">
        <f t="shared" si="2"/>
        <v>0.19700000000000001</v>
      </c>
    </row>
    <row r="162" spans="1:8" ht="14" x14ac:dyDescent="0.3">
      <c r="A162" s="24">
        <v>161</v>
      </c>
      <c r="B162" s="24">
        <v>0.19700000000000001</v>
      </c>
      <c r="C162" s="24">
        <v>0.51</v>
      </c>
      <c r="D162" s="24">
        <v>0.16420000000000001</v>
      </c>
      <c r="E162" s="24">
        <v>1</v>
      </c>
      <c r="F162" s="24">
        <v>14</v>
      </c>
      <c r="G162" s="25">
        <v>15</v>
      </c>
      <c r="H162" s="44">
        <f t="shared" si="2"/>
        <v>0.19700000000000001</v>
      </c>
    </row>
    <row r="163" spans="1:8" ht="14" x14ac:dyDescent="0.3">
      <c r="A163" s="24">
        <v>162</v>
      </c>
      <c r="B163" s="24">
        <v>0.19700000000000001</v>
      </c>
      <c r="C163" s="24">
        <v>0.51</v>
      </c>
      <c r="D163" s="24">
        <v>0.16420000000000001</v>
      </c>
      <c r="E163" s="24">
        <v>1</v>
      </c>
      <c r="F163" s="24">
        <v>24</v>
      </c>
      <c r="G163" s="25">
        <v>25</v>
      </c>
      <c r="H163" s="44">
        <f t="shared" si="2"/>
        <v>0.19700000000000001</v>
      </c>
    </row>
    <row r="164" spans="1:8" ht="14" x14ac:dyDescent="0.3">
      <c r="A164" s="24">
        <v>163</v>
      </c>
      <c r="B164" s="24">
        <v>0.21210000000000001</v>
      </c>
      <c r="C164" s="24">
        <v>0.55000000000000004</v>
      </c>
      <c r="D164" s="24">
        <v>8.9599999999999999E-2</v>
      </c>
      <c r="E164" s="24">
        <v>1</v>
      </c>
      <c r="F164" s="24">
        <v>15</v>
      </c>
      <c r="G164" s="25">
        <v>16</v>
      </c>
      <c r="H164" s="44">
        <f t="shared" si="2"/>
        <v>0.21210000000000001</v>
      </c>
    </row>
    <row r="165" spans="1:8" ht="14" x14ac:dyDescent="0.3">
      <c r="A165" s="24">
        <v>164</v>
      </c>
      <c r="B165" s="24">
        <v>0.2424</v>
      </c>
      <c r="C165" s="24">
        <v>0.55000000000000004</v>
      </c>
      <c r="D165" s="24">
        <v>0</v>
      </c>
      <c r="E165" s="24">
        <v>3</v>
      </c>
      <c r="F165" s="24">
        <v>13</v>
      </c>
      <c r="G165" s="25">
        <v>16</v>
      </c>
      <c r="H165" s="44">
        <f t="shared" si="2"/>
        <v>0.2424</v>
      </c>
    </row>
    <row r="166" spans="1:8" ht="14" x14ac:dyDescent="0.3">
      <c r="A166" s="24">
        <v>165</v>
      </c>
      <c r="B166" s="24">
        <v>0.19700000000000001</v>
      </c>
      <c r="C166" s="24">
        <v>0.55000000000000004</v>
      </c>
      <c r="D166" s="24">
        <v>0.16420000000000001</v>
      </c>
      <c r="E166" s="24">
        <v>0</v>
      </c>
      <c r="F166" s="24">
        <v>7</v>
      </c>
      <c r="G166" s="25">
        <v>7</v>
      </c>
      <c r="H166" s="44">
        <f t="shared" si="2"/>
        <v>0.19700000000000001</v>
      </c>
    </row>
    <row r="167" spans="1:8" ht="14" x14ac:dyDescent="0.3">
      <c r="A167" s="24">
        <v>166</v>
      </c>
      <c r="B167" s="24">
        <v>0.19700000000000001</v>
      </c>
      <c r="C167" s="24">
        <v>0.55000000000000004</v>
      </c>
      <c r="D167" s="24">
        <v>0.16420000000000001</v>
      </c>
      <c r="E167" s="24">
        <v>0</v>
      </c>
      <c r="F167" s="24">
        <v>1</v>
      </c>
      <c r="G167" s="25">
        <v>1</v>
      </c>
      <c r="H167" s="44">
        <f t="shared" si="2"/>
        <v>0.19700000000000001</v>
      </c>
    </row>
    <row r="168" spans="1:8" ht="14" x14ac:dyDescent="0.3">
      <c r="A168" s="24">
        <v>167</v>
      </c>
      <c r="B168" s="24">
        <v>0.16669999999999999</v>
      </c>
      <c r="C168" s="24">
        <v>0.74</v>
      </c>
      <c r="D168" s="24">
        <v>0.16420000000000001</v>
      </c>
      <c r="E168" s="24">
        <v>0</v>
      </c>
      <c r="F168" s="24">
        <v>5</v>
      </c>
      <c r="G168" s="25">
        <v>5</v>
      </c>
      <c r="H168" s="44">
        <f t="shared" si="2"/>
        <v>0.16669999999999999</v>
      </c>
    </row>
    <row r="169" spans="1:8" ht="14" x14ac:dyDescent="0.3">
      <c r="A169" s="24">
        <v>168</v>
      </c>
      <c r="B169" s="24">
        <v>0.16669999999999999</v>
      </c>
      <c r="C169" s="24">
        <v>0.74</v>
      </c>
      <c r="D169" s="24">
        <v>0.16420000000000001</v>
      </c>
      <c r="E169" s="24">
        <v>0</v>
      </c>
      <c r="F169" s="24">
        <v>2</v>
      </c>
      <c r="G169" s="25">
        <v>2</v>
      </c>
      <c r="H169" s="44">
        <f t="shared" si="2"/>
        <v>0.16669999999999999</v>
      </c>
    </row>
    <row r="170" spans="1:8" ht="14" x14ac:dyDescent="0.3">
      <c r="A170" s="24">
        <v>169</v>
      </c>
      <c r="B170" s="24">
        <v>0.18179999999999999</v>
      </c>
      <c r="C170" s="24">
        <v>0.74</v>
      </c>
      <c r="D170" s="24">
        <v>0.1045</v>
      </c>
      <c r="E170" s="24">
        <v>1</v>
      </c>
      <c r="F170" s="24">
        <v>8</v>
      </c>
      <c r="G170" s="25">
        <v>9</v>
      </c>
      <c r="H170" s="44">
        <f t="shared" si="2"/>
        <v>0.18179999999999999</v>
      </c>
    </row>
    <row r="171" spans="1:8" ht="14" x14ac:dyDescent="0.3">
      <c r="A171" s="24">
        <v>170</v>
      </c>
      <c r="B171" s="24">
        <v>0.18179999999999999</v>
      </c>
      <c r="C171" s="24">
        <v>0.93</v>
      </c>
      <c r="D171" s="24">
        <v>0.1045</v>
      </c>
      <c r="E171" s="24">
        <v>0</v>
      </c>
      <c r="F171" s="24">
        <v>15</v>
      </c>
      <c r="G171" s="25">
        <v>15</v>
      </c>
      <c r="H171" s="44">
        <f t="shared" si="2"/>
        <v>0.18179999999999999</v>
      </c>
    </row>
    <row r="172" spans="1:8" ht="14" x14ac:dyDescent="0.3">
      <c r="A172" s="24">
        <v>171</v>
      </c>
      <c r="B172" s="24">
        <v>0.18179999999999999</v>
      </c>
      <c r="C172" s="24">
        <v>0.93</v>
      </c>
      <c r="D172" s="24">
        <v>0.1045</v>
      </c>
      <c r="E172" s="24">
        <v>0</v>
      </c>
      <c r="F172" s="24">
        <v>20</v>
      </c>
      <c r="G172" s="25">
        <v>20</v>
      </c>
      <c r="H172" s="44">
        <f t="shared" si="2"/>
        <v>0.18179999999999999</v>
      </c>
    </row>
    <row r="173" spans="1:8" ht="14" x14ac:dyDescent="0.3">
      <c r="A173" s="24">
        <v>172</v>
      </c>
      <c r="B173" s="24">
        <v>0.19700000000000001</v>
      </c>
      <c r="C173" s="24">
        <v>0.8</v>
      </c>
      <c r="D173" s="24">
        <v>0.16420000000000001</v>
      </c>
      <c r="E173" s="24">
        <v>5</v>
      </c>
      <c r="F173" s="24">
        <v>56</v>
      </c>
      <c r="G173" s="25">
        <v>61</v>
      </c>
      <c r="H173" s="44">
        <f t="shared" si="2"/>
        <v>0.19700000000000001</v>
      </c>
    </row>
    <row r="174" spans="1:8" ht="14" x14ac:dyDescent="0.3">
      <c r="A174" s="24">
        <v>173</v>
      </c>
      <c r="B174" s="24">
        <v>0.18179999999999999</v>
      </c>
      <c r="C174" s="24">
        <v>0.69</v>
      </c>
      <c r="D174" s="24">
        <v>0.3881</v>
      </c>
      <c r="E174" s="24">
        <v>2</v>
      </c>
      <c r="F174" s="24">
        <v>60</v>
      </c>
      <c r="G174" s="25">
        <v>62</v>
      </c>
      <c r="H174" s="44">
        <f t="shared" si="2"/>
        <v>0.18179999999999999</v>
      </c>
    </row>
    <row r="175" spans="1:8" ht="14" x14ac:dyDescent="0.3">
      <c r="A175" s="24">
        <v>174</v>
      </c>
      <c r="B175" s="24">
        <v>0.18179999999999999</v>
      </c>
      <c r="C175" s="24">
        <v>0.59</v>
      </c>
      <c r="D175" s="24">
        <v>0.35820000000000002</v>
      </c>
      <c r="E175" s="24">
        <v>8</v>
      </c>
      <c r="F175" s="24">
        <v>90</v>
      </c>
      <c r="G175" s="25">
        <v>98</v>
      </c>
      <c r="H175" s="44">
        <f t="shared" si="2"/>
        <v>0.18179999999999999</v>
      </c>
    </row>
    <row r="176" spans="1:8" ht="14" x14ac:dyDescent="0.3">
      <c r="A176" s="24">
        <v>175</v>
      </c>
      <c r="B176" s="24">
        <v>0.18179999999999999</v>
      </c>
      <c r="C176" s="24">
        <v>0.44</v>
      </c>
      <c r="D176" s="24">
        <v>0.32840000000000003</v>
      </c>
      <c r="E176" s="24">
        <v>7</v>
      </c>
      <c r="F176" s="24">
        <v>95</v>
      </c>
      <c r="G176" s="25">
        <v>102</v>
      </c>
      <c r="H176" s="44">
        <f t="shared" si="2"/>
        <v>0.18179999999999999</v>
      </c>
    </row>
    <row r="177" spans="1:8" ht="14" x14ac:dyDescent="0.3">
      <c r="A177" s="24">
        <v>176</v>
      </c>
      <c r="B177" s="24">
        <v>0.16669999999999999</v>
      </c>
      <c r="C177" s="24">
        <v>0.32</v>
      </c>
      <c r="D177" s="24">
        <v>0.49249999999999999</v>
      </c>
      <c r="E177" s="24">
        <v>12</v>
      </c>
      <c r="F177" s="24">
        <v>83</v>
      </c>
      <c r="G177" s="25">
        <v>95</v>
      </c>
      <c r="H177" s="44">
        <f t="shared" si="2"/>
        <v>0.16669999999999999</v>
      </c>
    </row>
    <row r="178" spans="1:8" ht="14" x14ac:dyDescent="0.3">
      <c r="A178" s="24">
        <v>177</v>
      </c>
      <c r="B178" s="24">
        <v>0.16669999999999999</v>
      </c>
      <c r="C178" s="24">
        <v>0.32</v>
      </c>
      <c r="D178" s="24">
        <v>0.44779999999999998</v>
      </c>
      <c r="E178" s="24">
        <v>5</v>
      </c>
      <c r="F178" s="24">
        <v>69</v>
      </c>
      <c r="G178" s="25">
        <v>74</v>
      </c>
      <c r="H178" s="44">
        <f t="shared" si="2"/>
        <v>0.16669999999999999</v>
      </c>
    </row>
    <row r="179" spans="1:8" ht="14" x14ac:dyDescent="0.3">
      <c r="A179" s="24">
        <v>178</v>
      </c>
      <c r="B179" s="24">
        <v>0.13639999999999999</v>
      </c>
      <c r="C179" s="24">
        <v>0.28999999999999998</v>
      </c>
      <c r="D179" s="24">
        <v>0.44779999999999998</v>
      </c>
      <c r="E179" s="24">
        <v>8</v>
      </c>
      <c r="F179" s="24">
        <v>68</v>
      </c>
      <c r="G179" s="25">
        <v>76</v>
      </c>
      <c r="H179" s="44">
        <f t="shared" si="2"/>
        <v>0.13639999999999999</v>
      </c>
    </row>
    <row r="180" spans="1:8" ht="14" x14ac:dyDescent="0.3">
      <c r="A180" s="24">
        <v>179</v>
      </c>
      <c r="B180" s="24">
        <v>0.1212</v>
      </c>
      <c r="C180" s="24">
        <v>0.37</v>
      </c>
      <c r="D180" s="24">
        <v>0.55220000000000002</v>
      </c>
      <c r="E180" s="24">
        <v>5</v>
      </c>
      <c r="F180" s="24">
        <v>64</v>
      </c>
      <c r="G180" s="25">
        <v>69</v>
      </c>
      <c r="H180" s="44">
        <f t="shared" si="2"/>
        <v>0.1212</v>
      </c>
    </row>
    <row r="181" spans="1:8" ht="14" x14ac:dyDescent="0.3">
      <c r="A181" s="24">
        <v>180</v>
      </c>
      <c r="B181" s="24">
        <v>0.1212</v>
      </c>
      <c r="C181" s="24">
        <v>0.39</v>
      </c>
      <c r="D181" s="24">
        <v>0.29849999999999999</v>
      </c>
      <c r="E181" s="24">
        <v>3</v>
      </c>
      <c r="F181" s="24">
        <v>52</v>
      </c>
      <c r="G181" s="25">
        <v>55</v>
      </c>
      <c r="H181" s="44">
        <f t="shared" si="2"/>
        <v>0.1212</v>
      </c>
    </row>
    <row r="182" spans="1:8" ht="14" x14ac:dyDescent="0.3">
      <c r="A182" s="24">
        <v>181</v>
      </c>
      <c r="B182" s="24">
        <v>0.1212</v>
      </c>
      <c r="C182" s="24">
        <v>0.36</v>
      </c>
      <c r="D182" s="24">
        <v>0.25369999999999998</v>
      </c>
      <c r="E182" s="24">
        <v>4</v>
      </c>
      <c r="F182" s="24">
        <v>26</v>
      </c>
      <c r="G182" s="25">
        <v>30</v>
      </c>
      <c r="H182" s="44">
        <f t="shared" si="2"/>
        <v>0.1212</v>
      </c>
    </row>
    <row r="183" spans="1:8" ht="14" x14ac:dyDescent="0.3">
      <c r="A183" s="24">
        <v>182</v>
      </c>
      <c r="B183" s="24">
        <v>0.1212</v>
      </c>
      <c r="C183" s="24">
        <v>0.36</v>
      </c>
      <c r="D183" s="24">
        <v>0.25369999999999998</v>
      </c>
      <c r="E183" s="24">
        <v>0</v>
      </c>
      <c r="F183" s="24">
        <v>28</v>
      </c>
      <c r="G183" s="25">
        <v>28</v>
      </c>
      <c r="H183" s="44">
        <f t="shared" si="2"/>
        <v>0.1212</v>
      </c>
    </row>
    <row r="184" spans="1:8" ht="14" x14ac:dyDescent="0.3">
      <c r="A184" s="24">
        <v>183</v>
      </c>
      <c r="B184" s="24">
        <v>0.1061</v>
      </c>
      <c r="C184" s="24">
        <v>0.39</v>
      </c>
      <c r="D184" s="24">
        <v>0.35820000000000002</v>
      </c>
      <c r="E184" s="24">
        <v>2</v>
      </c>
      <c r="F184" s="24">
        <v>35</v>
      </c>
      <c r="G184" s="25">
        <v>37</v>
      </c>
      <c r="H184" s="44">
        <f t="shared" si="2"/>
        <v>0.1061</v>
      </c>
    </row>
    <row r="185" spans="1:8" ht="14" x14ac:dyDescent="0.3">
      <c r="A185" s="24">
        <v>184</v>
      </c>
      <c r="B185" s="24">
        <v>0.1061</v>
      </c>
      <c r="C185" s="24">
        <v>0.36</v>
      </c>
      <c r="D185" s="24">
        <v>0.3881</v>
      </c>
      <c r="E185" s="24">
        <v>1</v>
      </c>
      <c r="F185" s="24">
        <v>33</v>
      </c>
      <c r="G185" s="25">
        <v>34</v>
      </c>
      <c r="H185" s="44">
        <f t="shared" si="2"/>
        <v>0.1061</v>
      </c>
    </row>
    <row r="186" spans="1:8" ht="14" x14ac:dyDescent="0.3">
      <c r="A186" s="24">
        <v>185</v>
      </c>
      <c r="B186" s="24">
        <v>6.0600000000000001E-2</v>
      </c>
      <c r="C186" s="24">
        <v>0.39</v>
      </c>
      <c r="D186" s="24">
        <v>0.44779999999999998</v>
      </c>
      <c r="E186" s="24">
        <v>0</v>
      </c>
      <c r="F186" s="24">
        <v>22</v>
      </c>
      <c r="G186" s="25">
        <v>22</v>
      </c>
      <c r="H186" s="44">
        <f t="shared" si="2"/>
        <v>6.0600000000000001E-2</v>
      </c>
    </row>
    <row r="187" spans="1:8" ht="14" x14ac:dyDescent="0.3">
      <c r="A187" s="24">
        <v>186</v>
      </c>
      <c r="B187" s="24">
        <v>7.5800000000000006E-2</v>
      </c>
      <c r="C187" s="24">
        <v>0.42</v>
      </c>
      <c r="D187" s="24">
        <v>0.3881</v>
      </c>
      <c r="E187" s="24">
        <v>1</v>
      </c>
      <c r="F187" s="24">
        <v>24</v>
      </c>
      <c r="G187" s="25">
        <v>25</v>
      </c>
      <c r="H187" s="44">
        <f t="shared" si="2"/>
        <v>7.5800000000000006E-2</v>
      </c>
    </row>
    <row r="188" spans="1:8" ht="14" x14ac:dyDescent="0.3">
      <c r="A188" s="24">
        <v>187</v>
      </c>
      <c r="B188" s="24">
        <v>6.0600000000000001E-2</v>
      </c>
      <c r="C188" s="24">
        <v>0.42</v>
      </c>
      <c r="D188" s="24">
        <v>0.4627</v>
      </c>
      <c r="E188" s="24">
        <v>0</v>
      </c>
      <c r="F188" s="24">
        <v>12</v>
      </c>
      <c r="G188" s="25">
        <v>12</v>
      </c>
      <c r="H188" s="44">
        <f t="shared" si="2"/>
        <v>6.0600000000000001E-2</v>
      </c>
    </row>
    <row r="189" spans="1:8" ht="14" x14ac:dyDescent="0.3">
      <c r="A189" s="24">
        <v>188</v>
      </c>
      <c r="B189" s="24">
        <v>6.0600000000000001E-2</v>
      </c>
      <c r="C189" s="24">
        <v>0.46</v>
      </c>
      <c r="D189" s="24">
        <v>0.4627</v>
      </c>
      <c r="E189" s="24">
        <v>0</v>
      </c>
      <c r="F189" s="24">
        <v>11</v>
      </c>
      <c r="G189" s="25">
        <v>11</v>
      </c>
      <c r="H189" s="44">
        <f t="shared" si="2"/>
        <v>6.0600000000000001E-2</v>
      </c>
    </row>
    <row r="190" spans="1:8" ht="14" x14ac:dyDescent="0.3">
      <c r="A190" s="24">
        <v>189</v>
      </c>
      <c r="B190" s="24">
        <v>7.5800000000000006E-2</v>
      </c>
      <c r="C190" s="24">
        <v>0.46</v>
      </c>
      <c r="D190" s="24">
        <v>0.41789999999999999</v>
      </c>
      <c r="E190" s="24">
        <v>0</v>
      </c>
      <c r="F190" s="24">
        <v>4</v>
      </c>
      <c r="G190" s="25">
        <v>4</v>
      </c>
      <c r="H190" s="44">
        <f t="shared" si="2"/>
        <v>7.5800000000000006E-2</v>
      </c>
    </row>
    <row r="191" spans="1:8" ht="14" x14ac:dyDescent="0.3">
      <c r="A191" s="24">
        <v>190</v>
      </c>
      <c r="B191" s="24">
        <v>9.0899999999999995E-2</v>
      </c>
      <c r="C191" s="24">
        <v>0.53</v>
      </c>
      <c r="D191" s="24">
        <v>0.19400000000000001</v>
      </c>
      <c r="E191" s="24">
        <v>0</v>
      </c>
      <c r="F191" s="24">
        <v>1</v>
      </c>
      <c r="G191" s="25">
        <v>1</v>
      </c>
      <c r="H191" s="44">
        <f t="shared" si="2"/>
        <v>9.0899999999999995E-2</v>
      </c>
    </row>
    <row r="192" spans="1:8" ht="14" x14ac:dyDescent="0.3">
      <c r="A192" s="24">
        <v>191</v>
      </c>
      <c r="B192" s="24">
        <v>9.0899999999999995E-2</v>
      </c>
      <c r="C192" s="24">
        <v>0.53</v>
      </c>
      <c r="D192" s="24">
        <v>0.19400000000000001</v>
      </c>
      <c r="E192" s="24">
        <v>0</v>
      </c>
      <c r="F192" s="24">
        <v>1</v>
      </c>
      <c r="G192" s="25">
        <v>1</v>
      </c>
      <c r="H192" s="44">
        <f t="shared" si="2"/>
        <v>9.0899999999999995E-2</v>
      </c>
    </row>
    <row r="193" spans="1:8" ht="14" x14ac:dyDescent="0.3">
      <c r="A193" s="24">
        <v>192</v>
      </c>
      <c r="B193" s="24">
        <v>9.0899999999999995E-2</v>
      </c>
      <c r="C193" s="24">
        <v>0.49</v>
      </c>
      <c r="D193" s="24">
        <v>0.28360000000000002</v>
      </c>
      <c r="E193" s="24">
        <v>0</v>
      </c>
      <c r="F193" s="24">
        <v>1</v>
      </c>
      <c r="G193" s="25">
        <v>1</v>
      </c>
      <c r="H193" s="44">
        <f t="shared" si="2"/>
        <v>9.0899999999999995E-2</v>
      </c>
    </row>
    <row r="194" spans="1:8" ht="14" x14ac:dyDescent="0.3">
      <c r="A194" s="24">
        <v>193</v>
      </c>
      <c r="B194" s="24">
        <v>9.0899999999999995E-2</v>
      </c>
      <c r="C194" s="24">
        <v>0.53</v>
      </c>
      <c r="D194" s="24">
        <v>0.19400000000000001</v>
      </c>
      <c r="E194" s="24">
        <v>1</v>
      </c>
      <c r="F194" s="24">
        <v>5</v>
      </c>
      <c r="G194" s="25">
        <v>6</v>
      </c>
      <c r="H194" s="44">
        <f t="shared" ref="H194:H257" si="3">IF(ISBLANK(B194),0.197,B194)</f>
        <v>9.0899999999999995E-2</v>
      </c>
    </row>
    <row r="195" spans="1:8" ht="14" x14ac:dyDescent="0.3">
      <c r="A195" s="24">
        <v>194</v>
      </c>
      <c r="B195" s="24">
        <v>9.0899999999999995E-2</v>
      </c>
      <c r="C195" s="24">
        <v>0.49</v>
      </c>
      <c r="D195" s="24">
        <v>0.28360000000000002</v>
      </c>
      <c r="E195" s="24">
        <v>0</v>
      </c>
      <c r="F195" s="24">
        <v>10</v>
      </c>
      <c r="G195" s="25">
        <v>10</v>
      </c>
      <c r="H195" s="44">
        <f t="shared" si="3"/>
        <v>9.0899999999999995E-2</v>
      </c>
    </row>
    <row r="196" spans="1:8" ht="14" x14ac:dyDescent="0.3">
      <c r="A196" s="24">
        <v>195</v>
      </c>
      <c r="B196" s="24">
        <v>7.5800000000000006E-2</v>
      </c>
      <c r="C196" s="24">
        <v>0.46</v>
      </c>
      <c r="D196" s="24">
        <v>0.52239999999999998</v>
      </c>
      <c r="E196" s="24">
        <v>0</v>
      </c>
      <c r="F196" s="24">
        <v>19</v>
      </c>
      <c r="G196" s="25">
        <v>19</v>
      </c>
      <c r="H196" s="44">
        <f t="shared" si="3"/>
        <v>7.5800000000000006E-2</v>
      </c>
    </row>
    <row r="197" spans="1:8" ht="14" x14ac:dyDescent="0.3">
      <c r="A197" s="24">
        <v>196</v>
      </c>
      <c r="B197" s="24">
        <v>0.1061</v>
      </c>
      <c r="C197" s="24">
        <v>0.43</v>
      </c>
      <c r="D197" s="24">
        <v>0.3881</v>
      </c>
      <c r="E197" s="24">
        <v>0</v>
      </c>
      <c r="F197" s="24">
        <v>49</v>
      </c>
      <c r="G197" s="25">
        <v>49</v>
      </c>
      <c r="H197" s="44">
        <f t="shared" si="3"/>
        <v>0.1061</v>
      </c>
    </row>
    <row r="198" spans="1:8" ht="14" x14ac:dyDescent="0.3">
      <c r="A198" s="24">
        <v>197</v>
      </c>
      <c r="B198" s="24">
        <v>0.1212</v>
      </c>
      <c r="C198" s="24">
        <v>0.4</v>
      </c>
      <c r="D198" s="24">
        <v>0.52239999999999998</v>
      </c>
      <c r="E198" s="24">
        <v>2</v>
      </c>
      <c r="F198" s="24">
        <v>47</v>
      </c>
      <c r="G198" s="25">
        <v>49</v>
      </c>
      <c r="H198" s="44">
        <f t="shared" si="3"/>
        <v>0.1212</v>
      </c>
    </row>
    <row r="199" spans="1:8" ht="14" x14ac:dyDescent="0.3">
      <c r="A199" s="24">
        <v>198</v>
      </c>
      <c r="B199" s="24">
        <v>0.13639999999999999</v>
      </c>
      <c r="C199" s="24">
        <v>0.37</v>
      </c>
      <c r="D199" s="24">
        <v>0.44779999999999998</v>
      </c>
      <c r="E199" s="24">
        <v>4</v>
      </c>
      <c r="F199" s="24">
        <v>79</v>
      </c>
      <c r="G199" s="25">
        <v>83</v>
      </c>
      <c r="H199" s="44">
        <f t="shared" si="3"/>
        <v>0.13639999999999999</v>
      </c>
    </row>
    <row r="200" spans="1:8" ht="14" x14ac:dyDescent="0.3">
      <c r="A200" s="24">
        <v>199</v>
      </c>
      <c r="B200" s="24">
        <v>0.16669999999999999</v>
      </c>
      <c r="C200" s="24">
        <v>0.34</v>
      </c>
      <c r="D200" s="24">
        <v>0.44779999999999998</v>
      </c>
      <c r="E200" s="24">
        <v>6</v>
      </c>
      <c r="F200" s="24">
        <v>69</v>
      </c>
      <c r="G200" s="25">
        <v>75</v>
      </c>
      <c r="H200" s="44">
        <f t="shared" si="3"/>
        <v>0.16669999999999999</v>
      </c>
    </row>
    <row r="201" spans="1:8" ht="14" x14ac:dyDescent="0.3">
      <c r="A201" s="24">
        <v>200</v>
      </c>
      <c r="B201" s="24">
        <v>0.18179999999999999</v>
      </c>
      <c r="C201" s="24">
        <v>0.32</v>
      </c>
      <c r="D201" s="24">
        <v>0.4627</v>
      </c>
      <c r="E201" s="24">
        <v>8</v>
      </c>
      <c r="F201" s="24">
        <v>64</v>
      </c>
      <c r="G201" s="25">
        <v>72</v>
      </c>
      <c r="H201" s="44">
        <f t="shared" si="3"/>
        <v>0.18179999999999999</v>
      </c>
    </row>
    <row r="202" spans="1:8" ht="14" x14ac:dyDescent="0.3">
      <c r="A202" s="24">
        <v>201</v>
      </c>
      <c r="B202" s="24">
        <v>0.19700000000000001</v>
      </c>
      <c r="C202" s="24">
        <v>0.35</v>
      </c>
      <c r="D202" s="24">
        <v>0.35820000000000002</v>
      </c>
      <c r="E202" s="24">
        <v>5</v>
      </c>
      <c r="F202" s="24">
        <v>77</v>
      </c>
      <c r="G202" s="25">
        <v>82</v>
      </c>
      <c r="H202" s="44">
        <f t="shared" si="3"/>
        <v>0.19700000000000001</v>
      </c>
    </row>
    <row r="203" spans="1:8" ht="14" x14ac:dyDescent="0.3">
      <c r="A203" s="24">
        <v>202</v>
      </c>
      <c r="B203" s="24">
        <v>0.16669999999999999</v>
      </c>
      <c r="C203" s="24">
        <v>0.34</v>
      </c>
      <c r="D203" s="24">
        <v>0.44779999999999998</v>
      </c>
      <c r="E203" s="24">
        <v>13</v>
      </c>
      <c r="F203" s="24">
        <v>79</v>
      </c>
      <c r="G203" s="25">
        <v>92</v>
      </c>
      <c r="H203" s="44">
        <f t="shared" si="3"/>
        <v>0.16669999999999999</v>
      </c>
    </row>
    <row r="204" spans="1:8" ht="14" x14ac:dyDescent="0.3">
      <c r="A204" s="24">
        <v>203</v>
      </c>
      <c r="B204" s="24">
        <v>0.1515</v>
      </c>
      <c r="C204" s="24">
        <v>0.37</v>
      </c>
      <c r="D204" s="24">
        <v>0.3881</v>
      </c>
      <c r="E204" s="24">
        <v>3</v>
      </c>
      <c r="F204" s="24">
        <v>59</v>
      </c>
      <c r="G204" s="25">
        <v>62</v>
      </c>
      <c r="H204" s="44">
        <f t="shared" si="3"/>
        <v>0.1515</v>
      </c>
    </row>
    <row r="205" spans="1:8" ht="14" x14ac:dyDescent="0.3">
      <c r="A205" s="24">
        <v>204</v>
      </c>
      <c r="B205" s="24">
        <v>0.13639999999999999</v>
      </c>
      <c r="C205" s="24">
        <v>0.4</v>
      </c>
      <c r="D205" s="24">
        <v>0.32840000000000003</v>
      </c>
      <c r="E205" s="24">
        <v>4</v>
      </c>
      <c r="F205" s="24">
        <v>44</v>
      </c>
      <c r="G205" s="25">
        <v>48</v>
      </c>
      <c r="H205" s="44">
        <f t="shared" si="3"/>
        <v>0.13639999999999999</v>
      </c>
    </row>
    <row r="206" spans="1:8" ht="14" x14ac:dyDescent="0.3">
      <c r="A206" s="24">
        <v>205</v>
      </c>
      <c r="B206" s="24">
        <v>0.13639999999999999</v>
      </c>
      <c r="C206" s="24">
        <v>0.43</v>
      </c>
      <c r="D206" s="24">
        <v>0.32840000000000003</v>
      </c>
      <c r="E206" s="24">
        <v>1</v>
      </c>
      <c r="F206" s="24">
        <v>40</v>
      </c>
      <c r="G206" s="25">
        <v>41</v>
      </c>
      <c r="H206" s="44">
        <f t="shared" si="3"/>
        <v>0.13639999999999999</v>
      </c>
    </row>
    <row r="207" spans="1:8" ht="14" x14ac:dyDescent="0.3">
      <c r="A207" s="24">
        <v>206</v>
      </c>
      <c r="B207" s="24">
        <v>0.1212</v>
      </c>
      <c r="C207" s="24">
        <v>0.46</v>
      </c>
      <c r="D207" s="24">
        <v>0.25369999999999998</v>
      </c>
      <c r="E207" s="24">
        <v>0</v>
      </c>
      <c r="F207" s="24">
        <v>38</v>
      </c>
      <c r="G207" s="25">
        <v>38</v>
      </c>
      <c r="H207" s="44">
        <f t="shared" si="3"/>
        <v>0.1212</v>
      </c>
    </row>
    <row r="208" spans="1:8" ht="14" x14ac:dyDescent="0.3">
      <c r="A208" s="24">
        <v>207</v>
      </c>
      <c r="B208" s="24">
        <v>0.1061</v>
      </c>
      <c r="C208" s="24">
        <v>0.46</v>
      </c>
      <c r="D208" s="24">
        <v>0.41789999999999999</v>
      </c>
      <c r="E208" s="24">
        <v>1</v>
      </c>
      <c r="F208" s="24">
        <v>19</v>
      </c>
      <c r="G208" s="25">
        <v>20</v>
      </c>
      <c r="H208" s="44">
        <f t="shared" si="3"/>
        <v>0.1061</v>
      </c>
    </row>
    <row r="209" spans="1:8" ht="14" x14ac:dyDescent="0.3">
      <c r="A209" s="24">
        <v>208</v>
      </c>
      <c r="B209" s="24">
        <v>0.1212</v>
      </c>
      <c r="C209" s="24">
        <v>0.46</v>
      </c>
      <c r="D209" s="24">
        <v>0.29849999999999999</v>
      </c>
      <c r="E209" s="24">
        <v>5</v>
      </c>
      <c r="F209" s="24">
        <v>10</v>
      </c>
      <c r="G209" s="25">
        <v>15</v>
      </c>
      <c r="H209" s="44">
        <f t="shared" si="3"/>
        <v>0.1212</v>
      </c>
    </row>
    <row r="210" spans="1:8" ht="14" x14ac:dyDescent="0.3">
      <c r="A210" s="24">
        <v>209</v>
      </c>
      <c r="B210" s="24">
        <v>0.13639999999999999</v>
      </c>
      <c r="C210" s="24">
        <v>0.5</v>
      </c>
      <c r="D210" s="24">
        <v>0.19400000000000001</v>
      </c>
      <c r="E210" s="24">
        <v>0</v>
      </c>
      <c r="F210" s="24">
        <v>6</v>
      </c>
      <c r="G210" s="25">
        <v>6</v>
      </c>
      <c r="H210" s="44">
        <f t="shared" si="3"/>
        <v>0.13639999999999999</v>
      </c>
    </row>
    <row r="211" spans="1:8" ht="14" x14ac:dyDescent="0.3">
      <c r="A211" s="24">
        <v>210</v>
      </c>
      <c r="B211" s="24">
        <v>0.1212</v>
      </c>
      <c r="C211" s="24">
        <v>0.5</v>
      </c>
      <c r="D211" s="24">
        <v>0.28360000000000002</v>
      </c>
      <c r="E211" s="24">
        <v>2</v>
      </c>
      <c r="F211" s="24">
        <v>3</v>
      </c>
      <c r="G211" s="25">
        <v>5</v>
      </c>
      <c r="H211" s="44">
        <f t="shared" si="3"/>
        <v>0.1212</v>
      </c>
    </row>
    <row r="212" spans="1:8" ht="14" x14ac:dyDescent="0.3">
      <c r="A212" s="24">
        <v>211</v>
      </c>
      <c r="B212" s="24">
        <v>0.1212</v>
      </c>
      <c r="C212" s="24">
        <v>0.5</v>
      </c>
      <c r="D212" s="24">
        <v>0.28360000000000002</v>
      </c>
      <c r="E212" s="24">
        <v>1</v>
      </c>
      <c r="F212" s="24">
        <v>0</v>
      </c>
      <c r="G212" s="25">
        <v>1</v>
      </c>
      <c r="H212" s="44">
        <f t="shared" si="3"/>
        <v>0.1212</v>
      </c>
    </row>
    <row r="213" spans="1:8" ht="14" x14ac:dyDescent="0.3">
      <c r="A213" s="24">
        <v>212</v>
      </c>
      <c r="B213" s="24">
        <v>0.1212</v>
      </c>
      <c r="C213" s="24">
        <v>0.5</v>
      </c>
      <c r="D213" s="24">
        <v>0.22389999999999999</v>
      </c>
      <c r="E213" s="24">
        <v>0</v>
      </c>
      <c r="F213" s="24">
        <v>3</v>
      </c>
      <c r="G213" s="25">
        <v>3</v>
      </c>
      <c r="H213" s="44">
        <f t="shared" si="3"/>
        <v>0.1212</v>
      </c>
    </row>
    <row r="214" spans="1:8" ht="14" x14ac:dyDescent="0.3">
      <c r="A214" s="24">
        <v>213</v>
      </c>
      <c r="B214" s="24">
        <v>0.1212</v>
      </c>
      <c r="C214" s="24">
        <v>0.5</v>
      </c>
      <c r="D214" s="24">
        <v>0.22389999999999999</v>
      </c>
      <c r="E214" s="24">
        <v>0</v>
      </c>
      <c r="F214" s="24">
        <v>1</v>
      </c>
      <c r="G214" s="25">
        <v>1</v>
      </c>
      <c r="H214" s="44">
        <f t="shared" si="3"/>
        <v>0.1212</v>
      </c>
    </row>
    <row r="215" spans="1:8" ht="14" x14ac:dyDescent="0.3">
      <c r="A215" s="24">
        <v>214</v>
      </c>
      <c r="B215" s="24">
        <v>0.1212</v>
      </c>
      <c r="C215" s="24">
        <v>0.54</v>
      </c>
      <c r="D215" s="24">
        <v>0.1343</v>
      </c>
      <c r="E215" s="24">
        <v>1</v>
      </c>
      <c r="F215" s="24">
        <v>2</v>
      </c>
      <c r="G215" s="25">
        <v>3</v>
      </c>
      <c r="H215" s="44">
        <f t="shared" si="3"/>
        <v>0.1212</v>
      </c>
    </row>
    <row r="216" spans="1:8" ht="14" x14ac:dyDescent="0.3">
      <c r="A216" s="24">
        <v>215</v>
      </c>
      <c r="B216" s="24">
        <v>0.1061</v>
      </c>
      <c r="C216" s="24">
        <v>0.54</v>
      </c>
      <c r="D216" s="24">
        <v>0.25369999999999998</v>
      </c>
      <c r="E216" s="24">
        <v>0</v>
      </c>
      <c r="F216" s="24">
        <v>3</v>
      </c>
      <c r="G216" s="25">
        <v>3</v>
      </c>
      <c r="H216" s="44">
        <f t="shared" si="3"/>
        <v>0.1061</v>
      </c>
    </row>
    <row r="217" spans="1:8" ht="14" x14ac:dyDescent="0.3">
      <c r="A217" s="24">
        <v>216</v>
      </c>
      <c r="B217" s="24">
        <v>0.1212</v>
      </c>
      <c r="C217" s="24">
        <v>0.5</v>
      </c>
      <c r="D217" s="24">
        <v>0.28360000000000002</v>
      </c>
      <c r="E217" s="24">
        <v>0</v>
      </c>
      <c r="F217" s="24">
        <v>31</v>
      </c>
      <c r="G217" s="25">
        <v>31</v>
      </c>
      <c r="H217" s="44">
        <f t="shared" si="3"/>
        <v>0.1212</v>
      </c>
    </row>
    <row r="218" spans="1:8" ht="14" x14ac:dyDescent="0.3">
      <c r="A218" s="24">
        <v>217</v>
      </c>
      <c r="B218" s="24">
        <v>0.1212</v>
      </c>
      <c r="C218" s="24">
        <v>0.5</v>
      </c>
      <c r="D218" s="24">
        <v>0.22389999999999999</v>
      </c>
      <c r="E218" s="24">
        <v>2</v>
      </c>
      <c r="F218" s="24">
        <v>75</v>
      </c>
      <c r="G218" s="25">
        <v>77</v>
      </c>
      <c r="H218" s="44">
        <f t="shared" si="3"/>
        <v>0.1212</v>
      </c>
    </row>
    <row r="219" spans="1:8" ht="14" x14ac:dyDescent="0.3">
      <c r="A219" s="24">
        <v>218</v>
      </c>
      <c r="B219" s="24">
        <v>0.1212</v>
      </c>
      <c r="C219" s="24">
        <v>0.5</v>
      </c>
      <c r="D219" s="24">
        <v>0.28360000000000002</v>
      </c>
      <c r="E219" s="24">
        <v>4</v>
      </c>
      <c r="F219" s="24">
        <v>184</v>
      </c>
      <c r="G219" s="25">
        <v>188</v>
      </c>
      <c r="H219" s="44">
        <f t="shared" si="3"/>
        <v>0.1212</v>
      </c>
    </row>
    <row r="220" spans="1:8" ht="14" x14ac:dyDescent="0.3">
      <c r="A220" s="24">
        <v>219</v>
      </c>
      <c r="B220" s="24">
        <v>0.1212</v>
      </c>
      <c r="C220" s="24">
        <v>0.5</v>
      </c>
      <c r="D220" s="24">
        <v>0.25369999999999998</v>
      </c>
      <c r="E220" s="24">
        <v>2</v>
      </c>
      <c r="F220" s="24">
        <v>92</v>
      </c>
      <c r="G220" s="25">
        <v>94</v>
      </c>
      <c r="H220" s="44">
        <f t="shared" si="3"/>
        <v>0.1212</v>
      </c>
    </row>
    <row r="221" spans="1:8" ht="14" x14ac:dyDescent="0.3">
      <c r="A221" s="24">
        <v>220</v>
      </c>
      <c r="B221" s="24">
        <v>0.1212</v>
      </c>
      <c r="C221" s="24">
        <v>0.5</v>
      </c>
      <c r="D221" s="24">
        <v>0.29849999999999999</v>
      </c>
      <c r="E221" s="24">
        <v>0</v>
      </c>
      <c r="F221" s="24">
        <v>31</v>
      </c>
      <c r="G221" s="25">
        <v>31</v>
      </c>
      <c r="H221" s="44">
        <f t="shared" si="3"/>
        <v>0.1212</v>
      </c>
    </row>
    <row r="222" spans="1:8" ht="14" x14ac:dyDescent="0.3">
      <c r="A222" s="24">
        <v>221</v>
      </c>
      <c r="B222" s="24">
        <v>0.13639999999999999</v>
      </c>
      <c r="C222" s="24">
        <v>0.47</v>
      </c>
      <c r="D222" s="24">
        <v>0.28360000000000002</v>
      </c>
      <c r="E222" s="24">
        <v>2</v>
      </c>
      <c r="F222" s="24">
        <v>28</v>
      </c>
      <c r="G222" s="25">
        <v>30</v>
      </c>
      <c r="H222" s="44">
        <f t="shared" si="3"/>
        <v>0.13639999999999999</v>
      </c>
    </row>
    <row r="223" spans="1:8" ht="14" x14ac:dyDescent="0.3">
      <c r="A223" s="24">
        <v>222</v>
      </c>
      <c r="B223" s="24">
        <v>0.18179999999999999</v>
      </c>
      <c r="C223" s="24">
        <v>0.4</v>
      </c>
      <c r="D223" s="24">
        <v>0.28360000000000002</v>
      </c>
      <c r="E223" s="24">
        <v>5</v>
      </c>
      <c r="F223" s="24">
        <v>47</v>
      </c>
      <c r="G223" s="25">
        <v>52</v>
      </c>
      <c r="H223" s="44">
        <f t="shared" si="3"/>
        <v>0.18179999999999999</v>
      </c>
    </row>
    <row r="224" spans="1:8" ht="14" x14ac:dyDescent="0.3">
      <c r="A224" s="24">
        <v>223</v>
      </c>
      <c r="B224" s="24">
        <v>0.18179999999999999</v>
      </c>
      <c r="C224" s="24">
        <v>0.4</v>
      </c>
      <c r="D224" s="24">
        <v>0.28360000000000002</v>
      </c>
      <c r="E224" s="24">
        <v>4</v>
      </c>
      <c r="F224" s="24">
        <v>50</v>
      </c>
      <c r="G224" s="25">
        <v>54</v>
      </c>
      <c r="H224" s="44">
        <f t="shared" si="3"/>
        <v>0.18179999999999999</v>
      </c>
    </row>
    <row r="225" spans="1:8" ht="14" x14ac:dyDescent="0.3">
      <c r="A225" s="24">
        <v>224</v>
      </c>
      <c r="B225" s="24">
        <v>0.19700000000000001</v>
      </c>
      <c r="C225" s="24">
        <v>0.4</v>
      </c>
      <c r="D225" s="24">
        <v>0.22389999999999999</v>
      </c>
      <c r="E225" s="24">
        <v>0</v>
      </c>
      <c r="F225" s="24">
        <v>47</v>
      </c>
      <c r="G225" s="25">
        <v>47</v>
      </c>
      <c r="H225" s="44">
        <f t="shared" si="3"/>
        <v>0.19700000000000001</v>
      </c>
    </row>
    <row r="226" spans="1:8" ht="14" x14ac:dyDescent="0.3">
      <c r="A226" s="24">
        <v>225</v>
      </c>
      <c r="B226" s="24">
        <v>0.19700000000000001</v>
      </c>
      <c r="C226" s="24">
        <v>0.4</v>
      </c>
      <c r="D226" s="24">
        <v>0.22389999999999999</v>
      </c>
      <c r="E226" s="24">
        <v>2</v>
      </c>
      <c r="F226" s="24">
        <v>43</v>
      </c>
      <c r="G226" s="25">
        <v>45</v>
      </c>
      <c r="H226" s="44">
        <f t="shared" si="3"/>
        <v>0.19700000000000001</v>
      </c>
    </row>
    <row r="227" spans="1:8" ht="14" x14ac:dyDescent="0.3">
      <c r="A227" s="24">
        <v>226</v>
      </c>
      <c r="B227" s="24">
        <v>0.21210000000000001</v>
      </c>
      <c r="C227" s="24">
        <v>0.4</v>
      </c>
      <c r="D227" s="24">
        <v>0.1343</v>
      </c>
      <c r="E227" s="24">
        <v>4</v>
      </c>
      <c r="F227" s="24">
        <v>70</v>
      </c>
      <c r="G227" s="25">
        <v>74</v>
      </c>
      <c r="H227" s="44">
        <f t="shared" si="3"/>
        <v>0.21210000000000001</v>
      </c>
    </row>
    <row r="228" spans="1:8" ht="14" x14ac:dyDescent="0.3">
      <c r="A228" s="24">
        <v>227</v>
      </c>
      <c r="B228" s="24">
        <v>0.2273</v>
      </c>
      <c r="C228" s="24">
        <v>0.4</v>
      </c>
      <c r="D228" s="24">
        <v>0.1045</v>
      </c>
      <c r="E228" s="24">
        <v>4</v>
      </c>
      <c r="F228" s="24">
        <v>174</v>
      </c>
      <c r="G228" s="25">
        <v>178</v>
      </c>
      <c r="H228" s="44">
        <f t="shared" si="3"/>
        <v>0.2273</v>
      </c>
    </row>
    <row r="229" spans="1:8" ht="14" x14ac:dyDescent="0.3">
      <c r="A229" s="24">
        <v>228</v>
      </c>
      <c r="B229" s="24">
        <v>0.19700000000000001</v>
      </c>
      <c r="C229" s="24">
        <v>0.4</v>
      </c>
      <c r="D229" s="24">
        <v>0.22389999999999999</v>
      </c>
      <c r="E229" s="24">
        <v>1</v>
      </c>
      <c r="F229" s="24">
        <v>154</v>
      </c>
      <c r="G229" s="25">
        <v>155</v>
      </c>
      <c r="H229" s="44">
        <f t="shared" si="3"/>
        <v>0.19700000000000001</v>
      </c>
    </row>
    <row r="230" spans="1:8" ht="14" x14ac:dyDescent="0.3">
      <c r="A230" s="24">
        <v>229</v>
      </c>
      <c r="B230" s="24">
        <v>0.16669999999999999</v>
      </c>
      <c r="C230" s="24">
        <v>0.47</v>
      </c>
      <c r="D230" s="24">
        <v>0.16420000000000001</v>
      </c>
      <c r="E230" s="24">
        <v>3</v>
      </c>
      <c r="F230" s="24">
        <v>92</v>
      </c>
      <c r="G230" s="25">
        <v>95</v>
      </c>
      <c r="H230" s="44">
        <f t="shared" si="3"/>
        <v>0.16669999999999999</v>
      </c>
    </row>
    <row r="231" spans="1:8" ht="14" x14ac:dyDescent="0.3">
      <c r="A231" s="24">
        <v>230</v>
      </c>
      <c r="B231" s="24">
        <v>0.16669999999999999</v>
      </c>
      <c r="C231" s="24">
        <v>0.5</v>
      </c>
      <c r="D231" s="24">
        <v>0.16420000000000001</v>
      </c>
      <c r="E231" s="24">
        <v>1</v>
      </c>
      <c r="F231" s="24">
        <v>73</v>
      </c>
      <c r="G231" s="25">
        <v>74</v>
      </c>
      <c r="H231" s="44">
        <f t="shared" si="3"/>
        <v>0.16669999999999999</v>
      </c>
    </row>
    <row r="232" spans="1:8" ht="14" x14ac:dyDescent="0.3">
      <c r="A232" s="24">
        <v>231</v>
      </c>
      <c r="B232" s="24">
        <v>0.13639999999999999</v>
      </c>
      <c r="C232" s="24">
        <v>0.59</v>
      </c>
      <c r="D232" s="24">
        <v>0.19400000000000001</v>
      </c>
      <c r="E232" s="24">
        <v>1</v>
      </c>
      <c r="F232" s="24">
        <v>37</v>
      </c>
      <c r="G232" s="25">
        <v>38</v>
      </c>
      <c r="H232" s="44">
        <f t="shared" si="3"/>
        <v>0.13639999999999999</v>
      </c>
    </row>
    <row r="233" spans="1:8" ht="14" x14ac:dyDescent="0.3">
      <c r="A233" s="24">
        <v>232</v>
      </c>
      <c r="B233" s="24">
        <v>0.1515</v>
      </c>
      <c r="C233" s="24">
        <v>0.59</v>
      </c>
      <c r="D233" s="24">
        <v>0.16420000000000001</v>
      </c>
      <c r="E233" s="24">
        <v>2</v>
      </c>
      <c r="F233" s="24">
        <v>22</v>
      </c>
      <c r="G233" s="25">
        <v>24</v>
      </c>
      <c r="H233" s="44">
        <f t="shared" si="3"/>
        <v>0.1515</v>
      </c>
    </row>
    <row r="234" spans="1:8" ht="14" x14ac:dyDescent="0.3">
      <c r="A234" s="24">
        <v>233</v>
      </c>
      <c r="B234" s="24">
        <v>0.1515</v>
      </c>
      <c r="C234" s="24">
        <v>0.59</v>
      </c>
      <c r="D234" s="24">
        <v>0.16420000000000001</v>
      </c>
      <c r="E234" s="24">
        <v>0</v>
      </c>
      <c r="F234" s="24">
        <v>18</v>
      </c>
      <c r="G234" s="25">
        <v>18</v>
      </c>
      <c r="H234" s="44">
        <f t="shared" si="3"/>
        <v>0.1515</v>
      </c>
    </row>
    <row r="235" spans="1:8" ht="14" x14ac:dyDescent="0.3">
      <c r="A235" s="24">
        <v>234</v>
      </c>
      <c r="B235" s="24">
        <v>0.16669999999999999</v>
      </c>
      <c r="C235" s="24">
        <v>0.59</v>
      </c>
      <c r="D235" s="24">
        <v>0.1045</v>
      </c>
      <c r="E235" s="24">
        <v>2</v>
      </c>
      <c r="F235" s="24">
        <v>10</v>
      </c>
      <c r="G235" s="25">
        <v>12</v>
      </c>
      <c r="H235" s="44">
        <f t="shared" si="3"/>
        <v>0.16669999999999999</v>
      </c>
    </row>
    <row r="236" spans="1:8" ht="14" x14ac:dyDescent="0.3">
      <c r="A236" s="24">
        <v>235</v>
      </c>
      <c r="B236" s="24">
        <v>0.1515</v>
      </c>
      <c r="C236" s="24">
        <v>0.59</v>
      </c>
      <c r="D236" s="24">
        <v>0.16420000000000001</v>
      </c>
      <c r="E236" s="24">
        <v>0</v>
      </c>
      <c r="F236" s="24">
        <v>3</v>
      </c>
      <c r="G236" s="25">
        <v>3</v>
      </c>
      <c r="H236" s="44">
        <f t="shared" si="3"/>
        <v>0.1515</v>
      </c>
    </row>
    <row r="237" spans="1:8" ht="14" x14ac:dyDescent="0.3">
      <c r="A237" s="24">
        <v>236</v>
      </c>
      <c r="B237" s="24">
        <v>0.1515</v>
      </c>
      <c r="C237" s="24">
        <v>0.55000000000000004</v>
      </c>
      <c r="D237" s="24">
        <v>0.19400000000000001</v>
      </c>
      <c r="E237" s="24">
        <v>0</v>
      </c>
      <c r="F237" s="24">
        <v>3</v>
      </c>
      <c r="G237" s="25">
        <v>3</v>
      </c>
      <c r="H237" s="44">
        <f t="shared" si="3"/>
        <v>0.1515</v>
      </c>
    </row>
    <row r="238" spans="1:8" ht="14" x14ac:dyDescent="0.3">
      <c r="A238" s="24">
        <v>237</v>
      </c>
      <c r="B238" s="24">
        <v>0.18179999999999999</v>
      </c>
      <c r="C238" s="24">
        <v>0.55000000000000004</v>
      </c>
      <c r="D238" s="24">
        <v>0.1343</v>
      </c>
      <c r="E238" s="24">
        <v>0</v>
      </c>
      <c r="F238" s="24">
        <v>6</v>
      </c>
      <c r="G238" s="25">
        <v>6</v>
      </c>
      <c r="H238" s="44">
        <f t="shared" si="3"/>
        <v>0.18179999999999999</v>
      </c>
    </row>
    <row r="239" spans="1:8" ht="14" x14ac:dyDescent="0.3">
      <c r="A239" s="24">
        <v>238</v>
      </c>
      <c r="B239" s="24">
        <v>0.18179999999999999</v>
      </c>
      <c r="C239" s="24">
        <v>0.55000000000000004</v>
      </c>
      <c r="D239" s="24">
        <v>0.1343</v>
      </c>
      <c r="E239" s="24">
        <v>0</v>
      </c>
      <c r="F239" s="24">
        <v>27</v>
      </c>
      <c r="G239" s="25">
        <v>27</v>
      </c>
      <c r="H239" s="44">
        <f t="shared" si="3"/>
        <v>0.18179999999999999</v>
      </c>
    </row>
    <row r="240" spans="1:8" ht="14" x14ac:dyDescent="0.3">
      <c r="A240" s="24">
        <v>239</v>
      </c>
      <c r="B240" s="24">
        <v>0.2273</v>
      </c>
      <c r="C240" s="24">
        <v>0.55000000000000004</v>
      </c>
      <c r="D240" s="24">
        <v>0</v>
      </c>
      <c r="E240" s="24">
        <v>2</v>
      </c>
      <c r="F240" s="24">
        <v>97</v>
      </c>
      <c r="G240" s="25">
        <v>99</v>
      </c>
      <c r="H240" s="44">
        <f t="shared" si="3"/>
        <v>0.2273</v>
      </c>
    </row>
    <row r="241" spans="1:8" ht="14" x14ac:dyDescent="0.3">
      <c r="A241" s="24">
        <v>240</v>
      </c>
      <c r="B241" s="24">
        <v>0.21210000000000001</v>
      </c>
      <c r="C241" s="24">
        <v>0.51</v>
      </c>
      <c r="D241" s="24">
        <v>8.9599999999999999E-2</v>
      </c>
      <c r="E241" s="24">
        <v>3</v>
      </c>
      <c r="F241" s="24">
        <v>214</v>
      </c>
      <c r="G241" s="25">
        <v>217</v>
      </c>
      <c r="H241" s="44">
        <f t="shared" si="3"/>
        <v>0.21210000000000001</v>
      </c>
    </row>
    <row r="242" spans="1:8" ht="14" x14ac:dyDescent="0.3">
      <c r="A242" s="24">
        <v>241</v>
      </c>
      <c r="B242" s="24">
        <v>0.19700000000000001</v>
      </c>
      <c r="C242" s="24">
        <v>0.51</v>
      </c>
      <c r="D242" s="24">
        <v>0.16420000000000001</v>
      </c>
      <c r="E242" s="24">
        <v>3</v>
      </c>
      <c r="F242" s="24">
        <v>127</v>
      </c>
      <c r="G242" s="25">
        <v>130</v>
      </c>
      <c r="H242" s="44">
        <f t="shared" si="3"/>
        <v>0.19700000000000001</v>
      </c>
    </row>
    <row r="243" spans="1:8" ht="14" x14ac:dyDescent="0.3">
      <c r="A243" s="24">
        <v>242</v>
      </c>
      <c r="B243" s="24">
        <v>0.21210000000000001</v>
      </c>
      <c r="C243" s="24">
        <v>0.51</v>
      </c>
      <c r="D243" s="24">
        <v>0.16420000000000001</v>
      </c>
      <c r="E243" s="24">
        <v>3</v>
      </c>
      <c r="F243" s="24">
        <v>51</v>
      </c>
      <c r="G243" s="25">
        <v>54</v>
      </c>
      <c r="H243" s="44">
        <f t="shared" si="3"/>
        <v>0.21210000000000001</v>
      </c>
    </row>
    <row r="244" spans="1:8" ht="14" x14ac:dyDescent="0.3">
      <c r="A244" s="24">
        <v>243</v>
      </c>
      <c r="B244" s="24">
        <v>0.21210000000000001</v>
      </c>
      <c r="C244" s="24">
        <v>0.47</v>
      </c>
      <c r="D244" s="24">
        <v>0.1343</v>
      </c>
      <c r="E244" s="24">
        <v>4</v>
      </c>
      <c r="F244" s="24">
        <v>31</v>
      </c>
      <c r="G244" s="25">
        <v>35</v>
      </c>
      <c r="H244" s="44">
        <f t="shared" si="3"/>
        <v>0.21210000000000001</v>
      </c>
    </row>
    <row r="245" spans="1:8" ht="14" x14ac:dyDescent="0.3">
      <c r="A245" s="24">
        <v>244</v>
      </c>
      <c r="B245" s="24">
        <v>0.2273</v>
      </c>
      <c r="C245" s="24">
        <v>0.51</v>
      </c>
      <c r="D245" s="24">
        <v>0.1045</v>
      </c>
      <c r="E245" s="24">
        <v>2</v>
      </c>
      <c r="F245" s="24">
        <v>55</v>
      </c>
      <c r="G245" s="25">
        <v>57</v>
      </c>
      <c r="H245" s="44">
        <f t="shared" si="3"/>
        <v>0.2273</v>
      </c>
    </row>
    <row r="246" spans="1:8" ht="14" x14ac:dyDescent="0.3">
      <c r="A246" s="24">
        <v>245</v>
      </c>
      <c r="B246" s="24">
        <v>0.2273</v>
      </c>
      <c r="C246" s="24">
        <v>0.59</v>
      </c>
      <c r="D246" s="24">
        <v>8.9599999999999999E-2</v>
      </c>
      <c r="E246" s="24">
        <v>6</v>
      </c>
      <c r="F246" s="24">
        <v>46</v>
      </c>
      <c r="G246" s="25">
        <v>52</v>
      </c>
      <c r="H246" s="44">
        <f t="shared" si="3"/>
        <v>0.2273</v>
      </c>
    </row>
    <row r="247" spans="1:8" ht="14" x14ac:dyDescent="0.3">
      <c r="A247" s="24">
        <v>246</v>
      </c>
      <c r="B247" s="24">
        <v>0.2273</v>
      </c>
      <c r="C247" s="24">
        <v>0.59</v>
      </c>
      <c r="D247" s="24">
        <v>8.9599999999999999E-2</v>
      </c>
      <c r="E247" s="24">
        <v>3</v>
      </c>
      <c r="F247" s="24">
        <v>60</v>
      </c>
      <c r="G247" s="25">
        <v>63</v>
      </c>
      <c r="H247" s="44">
        <f t="shared" si="3"/>
        <v>0.2273</v>
      </c>
    </row>
    <row r="248" spans="1:8" ht="14" x14ac:dyDescent="0.3">
      <c r="A248" s="24">
        <v>247</v>
      </c>
      <c r="B248" s="24">
        <v>0.19700000000000001</v>
      </c>
      <c r="C248" s="24">
        <v>0.8</v>
      </c>
      <c r="D248" s="24">
        <v>8.9599999999999999E-2</v>
      </c>
      <c r="E248" s="24">
        <v>2</v>
      </c>
      <c r="F248" s="24">
        <v>45</v>
      </c>
      <c r="G248" s="25">
        <v>47</v>
      </c>
      <c r="H248" s="44">
        <f t="shared" si="3"/>
        <v>0.19700000000000001</v>
      </c>
    </row>
    <row r="249" spans="1:8" ht="14" x14ac:dyDescent="0.3">
      <c r="A249" s="24">
        <v>248</v>
      </c>
      <c r="B249" s="24">
        <v>0.1515</v>
      </c>
      <c r="C249" s="24">
        <v>0.86</v>
      </c>
      <c r="D249" s="24">
        <v>0.22389999999999999</v>
      </c>
      <c r="E249" s="24">
        <v>4</v>
      </c>
      <c r="F249" s="24">
        <v>72</v>
      </c>
      <c r="G249" s="25">
        <v>76</v>
      </c>
      <c r="H249" s="44">
        <f t="shared" si="3"/>
        <v>0.1515</v>
      </c>
    </row>
    <row r="250" spans="1:8" ht="14" x14ac:dyDescent="0.3">
      <c r="A250" s="24">
        <v>249</v>
      </c>
      <c r="B250" s="24">
        <v>0.1515</v>
      </c>
      <c r="C250" s="24">
        <v>0.86</v>
      </c>
      <c r="D250" s="24">
        <v>0.22389999999999999</v>
      </c>
      <c r="E250" s="24">
        <v>6</v>
      </c>
      <c r="F250" s="24">
        <v>130</v>
      </c>
      <c r="G250" s="25">
        <v>136</v>
      </c>
      <c r="H250" s="44">
        <f t="shared" si="3"/>
        <v>0.1515</v>
      </c>
    </row>
    <row r="251" spans="1:8" ht="14" x14ac:dyDescent="0.3">
      <c r="A251" s="24">
        <v>250</v>
      </c>
      <c r="B251" s="24">
        <v>0.18179999999999999</v>
      </c>
      <c r="C251" s="24">
        <v>0.93</v>
      </c>
      <c r="D251" s="24">
        <v>0.1045</v>
      </c>
      <c r="E251" s="24">
        <v>1</v>
      </c>
      <c r="F251" s="24">
        <v>94</v>
      </c>
      <c r="G251" s="25">
        <v>95</v>
      </c>
      <c r="H251" s="44">
        <f t="shared" si="3"/>
        <v>0.18179999999999999</v>
      </c>
    </row>
    <row r="252" spans="1:8" ht="14" x14ac:dyDescent="0.3">
      <c r="A252" s="24">
        <v>251</v>
      </c>
      <c r="B252" s="24">
        <v>0.2273</v>
      </c>
      <c r="C252" s="24">
        <v>0.93</v>
      </c>
      <c r="D252" s="24">
        <v>0</v>
      </c>
      <c r="E252" s="24">
        <v>0</v>
      </c>
      <c r="F252" s="24">
        <v>51</v>
      </c>
      <c r="G252" s="25">
        <v>51</v>
      </c>
      <c r="H252" s="44">
        <f t="shared" si="3"/>
        <v>0.2273</v>
      </c>
    </row>
    <row r="253" spans="1:8" ht="14" x14ac:dyDescent="0.3">
      <c r="A253" s="24">
        <v>252</v>
      </c>
      <c r="B253" s="24">
        <v>0.1515</v>
      </c>
      <c r="C253" s="24">
        <v>0.93</v>
      </c>
      <c r="D253" s="24">
        <v>0.19400000000000001</v>
      </c>
      <c r="E253" s="24">
        <v>0</v>
      </c>
      <c r="F253" s="24">
        <v>32</v>
      </c>
      <c r="G253" s="25">
        <v>32</v>
      </c>
      <c r="H253" s="44">
        <f t="shared" si="3"/>
        <v>0.1515</v>
      </c>
    </row>
    <row r="254" spans="1:8" ht="14" x14ac:dyDescent="0.3">
      <c r="A254" s="24">
        <v>253</v>
      </c>
      <c r="B254" s="24">
        <v>0.19700000000000001</v>
      </c>
      <c r="C254" s="24">
        <v>0.86</v>
      </c>
      <c r="D254" s="24">
        <v>8.9599999999999999E-2</v>
      </c>
      <c r="E254" s="24">
        <v>0</v>
      </c>
      <c r="F254" s="24">
        <v>20</v>
      </c>
      <c r="G254" s="25">
        <v>20</v>
      </c>
      <c r="H254" s="44">
        <f t="shared" si="3"/>
        <v>0.19700000000000001</v>
      </c>
    </row>
    <row r="255" spans="1:8" ht="14" x14ac:dyDescent="0.3">
      <c r="A255" s="24">
        <v>254</v>
      </c>
      <c r="B255" s="24">
        <v>0.18179999999999999</v>
      </c>
      <c r="C255" s="24">
        <v>0.93</v>
      </c>
      <c r="D255" s="24">
        <v>0.1045</v>
      </c>
      <c r="E255" s="24">
        <v>1</v>
      </c>
      <c r="F255" s="24">
        <v>28</v>
      </c>
      <c r="G255" s="25">
        <v>29</v>
      </c>
      <c r="H255" s="44">
        <f t="shared" si="3"/>
        <v>0.18179999999999999</v>
      </c>
    </row>
    <row r="256" spans="1:8" ht="14" x14ac:dyDescent="0.3">
      <c r="A256" s="24">
        <v>255</v>
      </c>
      <c r="B256" s="24">
        <v>0.19700000000000001</v>
      </c>
      <c r="C256" s="24">
        <v>0.93</v>
      </c>
      <c r="D256" s="24">
        <v>8.9599999999999999E-2</v>
      </c>
      <c r="E256" s="24">
        <v>1</v>
      </c>
      <c r="F256" s="24">
        <v>18</v>
      </c>
      <c r="G256" s="25">
        <v>19</v>
      </c>
      <c r="H256" s="44">
        <f t="shared" si="3"/>
        <v>0.19700000000000001</v>
      </c>
    </row>
    <row r="257" spans="1:8" ht="14" x14ac:dyDescent="0.3">
      <c r="A257" s="24">
        <v>256</v>
      </c>
      <c r="B257" s="24">
        <v>0.19700000000000001</v>
      </c>
      <c r="C257" s="24">
        <v>0.86</v>
      </c>
      <c r="D257" s="24">
        <v>8.9599999999999999E-2</v>
      </c>
      <c r="E257" s="24">
        <v>0</v>
      </c>
      <c r="F257" s="24">
        <v>7</v>
      </c>
      <c r="G257" s="25">
        <v>7</v>
      </c>
      <c r="H257" s="44">
        <f t="shared" si="3"/>
        <v>0.19700000000000001</v>
      </c>
    </row>
    <row r="258" spans="1:8" ht="14" x14ac:dyDescent="0.3">
      <c r="A258" s="24">
        <v>257</v>
      </c>
      <c r="B258" s="24">
        <v>0.18179999999999999</v>
      </c>
      <c r="C258" s="24">
        <v>0.86</v>
      </c>
      <c r="D258" s="24">
        <v>0.1045</v>
      </c>
      <c r="E258" s="24">
        <v>0</v>
      </c>
      <c r="F258" s="24">
        <v>6</v>
      </c>
      <c r="G258" s="25">
        <v>6</v>
      </c>
      <c r="H258" s="44">
        <f t="shared" ref="H258:H321" si="4">IF(ISBLANK(B258),0.197,B258)</f>
        <v>0.18179999999999999</v>
      </c>
    </row>
    <row r="259" spans="1:8" ht="14" x14ac:dyDescent="0.3">
      <c r="A259" s="24">
        <v>258</v>
      </c>
      <c r="B259" s="24">
        <v>0.1515</v>
      </c>
      <c r="C259" s="24">
        <v>0.86</v>
      </c>
      <c r="D259" s="24">
        <v>0.1343</v>
      </c>
      <c r="E259" s="24">
        <v>0</v>
      </c>
      <c r="F259" s="24">
        <v>1</v>
      </c>
      <c r="G259" s="25">
        <v>1</v>
      </c>
      <c r="H259" s="44">
        <f t="shared" si="4"/>
        <v>0.1515</v>
      </c>
    </row>
    <row r="260" spans="1:8" ht="14" x14ac:dyDescent="0.3">
      <c r="A260" s="24">
        <v>259</v>
      </c>
      <c r="B260" s="24">
        <v>0.1515</v>
      </c>
      <c r="C260" s="24">
        <v>0.86</v>
      </c>
      <c r="D260" s="24">
        <v>0.16420000000000001</v>
      </c>
      <c r="E260" s="24">
        <v>0</v>
      </c>
      <c r="F260" s="24">
        <v>5</v>
      </c>
      <c r="G260" s="25">
        <v>5</v>
      </c>
      <c r="H260" s="44">
        <f t="shared" si="4"/>
        <v>0.1515</v>
      </c>
    </row>
    <row r="261" spans="1:8" ht="14" x14ac:dyDescent="0.3">
      <c r="A261" s="24">
        <v>260</v>
      </c>
      <c r="B261" s="24">
        <v>0.1515</v>
      </c>
      <c r="C261" s="24">
        <v>0.93</v>
      </c>
      <c r="D261" s="24">
        <v>0.1343</v>
      </c>
      <c r="E261" s="24">
        <v>0</v>
      </c>
      <c r="F261" s="24">
        <v>16</v>
      </c>
      <c r="G261" s="25">
        <v>16</v>
      </c>
      <c r="H261" s="44">
        <f t="shared" si="4"/>
        <v>0.1515</v>
      </c>
    </row>
    <row r="262" spans="1:8" ht="14" x14ac:dyDescent="0.3">
      <c r="A262" s="24">
        <v>261</v>
      </c>
      <c r="B262" s="24">
        <v>0.1515</v>
      </c>
      <c r="C262" s="24">
        <v>0.69</v>
      </c>
      <c r="D262" s="24">
        <v>0.1343</v>
      </c>
      <c r="E262" s="24">
        <v>0</v>
      </c>
      <c r="F262" s="24">
        <v>54</v>
      </c>
      <c r="G262" s="25">
        <v>54</v>
      </c>
      <c r="H262" s="44">
        <f t="shared" si="4"/>
        <v>0.1515</v>
      </c>
    </row>
    <row r="263" spans="1:8" ht="14" x14ac:dyDescent="0.3">
      <c r="A263" s="24">
        <v>262</v>
      </c>
      <c r="B263" s="24">
        <v>0.16669999999999999</v>
      </c>
      <c r="C263" s="24">
        <v>0.59</v>
      </c>
      <c r="D263" s="24">
        <v>0.16420000000000001</v>
      </c>
      <c r="E263" s="24">
        <v>3</v>
      </c>
      <c r="F263" s="24">
        <v>125</v>
      </c>
      <c r="G263" s="25">
        <v>128</v>
      </c>
      <c r="H263" s="44">
        <f t="shared" si="4"/>
        <v>0.16669999999999999</v>
      </c>
    </row>
    <row r="264" spans="1:8" ht="14" x14ac:dyDescent="0.3">
      <c r="A264" s="24">
        <v>263</v>
      </c>
      <c r="B264" s="24">
        <v>0.13639999999999999</v>
      </c>
      <c r="C264" s="24">
        <v>0.59</v>
      </c>
      <c r="D264" s="24">
        <v>0.32840000000000003</v>
      </c>
      <c r="E264" s="24">
        <v>3</v>
      </c>
      <c r="F264" s="24">
        <v>78</v>
      </c>
      <c r="G264" s="25">
        <v>81</v>
      </c>
      <c r="H264" s="44">
        <f t="shared" si="4"/>
        <v>0.13639999999999999</v>
      </c>
    </row>
    <row r="265" spans="1:8" ht="14" x14ac:dyDescent="0.3">
      <c r="A265" s="24">
        <v>264</v>
      </c>
      <c r="B265" s="24">
        <v>0.18179999999999999</v>
      </c>
      <c r="C265" s="24">
        <v>0.55000000000000004</v>
      </c>
      <c r="D265" s="24">
        <v>0.22389999999999999</v>
      </c>
      <c r="E265" s="24">
        <v>0</v>
      </c>
      <c r="F265" s="24">
        <v>39</v>
      </c>
      <c r="G265" s="25">
        <v>39</v>
      </c>
      <c r="H265" s="44">
        <f t="shared" si="4"/>
        <v>0.18179999999999999</v>
      </c>
    </row>
    <row r="266" spans="1:8" ht="14" x14ac:dyDescent="0.3">
      <c r="A266" s="24">
        <v>265</v>
      </c>
      <c r="B266" s="24">
        <v>0.18179999999999999</v>
      </c>
      <c r="C266" s="24">
        <v>0.51</v>
      </c>
      <c r="D266" s="24">
        <v>0.3881</v>
      </c>
      <c r="E266" s="24">
        <v>3</v>
      </c>
      <c r="F266" s="24">
        <v>32</v>
      </c>
      <c r="G266" s="25">
        <v>35</v>
      </c>
      <c r="H266" s="44">
        <f t="shared" si="4"/>
        <v>0.18179999999999999</v>
      </c>
    </row>
    <row r="267" spans="1:8" ht="14" x14ac:dyDescent="0.3">
      <c r="A267" s="24">
        <v>266</v>
      </c>
      <c r="B267" s="24">
        <v>0.1515</v>
      </c>
      <c r="C267" s="24">
        <v>0.47</v>
      </c>
      <c r="D267" s="24">
        <v>0.58209999999999995</v>
      </c>
      <c r="E267" s="24">
        <v>3</v>
      </c>
      <c r="F267" s="24">
        <v>52</v>
      </c>
      <c r="G267" s="25">
        <v>55</v>
      </c>
      <c r="H267" s="44">
        <f t="shared" si="4"/>
        <v>0.1515</v>
      </c>
    </row>
    <row r="268" spans="1:8" ht="14" x14ac:dyDescent="0.3">
      <c r="A268" s="24">
        <v>267</v>
      </c>
      <c r="B268" s="24">
        <v>0.19700000000000001</v>
      </c>
      <c r="C268" s="24">
        <v>0.44</v>
      </c>
      <c r="D268" s="24">
        <v>0.35820000000000002</v>
      </c>
      <c r="E268" s="24">
        <v>0</v>
      </c>
      <c r="F268" s="24">
        <v>49</v>
      </c>
      <c r="G268" s="25">
        <v>49</v>
      </c>
      <c r="H268" s="44">
        <f t="shared" si="4"/>
        <v>0.19700000000000001</v>
      </c>
    </row>
    <row r="269" spans="1:8" ht="14" x14ac:dyDescent="0.3">
      <c r="A269" s="24">
        <v>268</v>
      </c>
      <c r="B269" s="24">
        <v>0.18179999999999999</v>
      </c>
      <c r="C269" s="24">
        <v>0.47</v>
      </c>
      <c r="D269" s="24">
        <v>0.32840000000000003</v>
      </c>
      <c r="E269" s="24">
        <v>0</v>
      </c>
      <c r="F269" s="24">
        <v>44</v>
      </c>
      <c r="G269" s="25">
        <v>44</v>
      </c>
      <c r="H269" s="44">
        <f t="shared" si="4"/>
        <v>0.18179999999999999</v>
      </c>
    </row>
    <row r="270" spans="1:8" ht="14" x14ac:dyDescent="0.3">
      <c r="A270" s="24">
        <v>269</v>
      </c>
      <c r="B270" s="24">
        <v>0.16669999999999999</v>
      </c>
      <c r="C270" s="24">
        <v>0.47</v>
      </c>
      <c r="D270" s="24">
        <v>0.41789999999999999</v>
      </c>
      <c r="E270" s="24">
        <v>1</v>
      </c>
      <c r="F270" s="24">
        <v>48</v>
      </c>
      <c r="G270" s="25">
        <v>49</v>
      </c>
      <c r="H270" s="44">
        <f t="shared" si="4"/>
        <v>0.16669999999999999</v>
      </c>
    </row>
    <row r="271" spans="1:8" ht="14" x14ac:dyDescent="0.3">
      <c r="A271" s="24">
        <v>270</v>
      </c>
      <c r="B271" s="24">
        <v>0.19700000000000001</v>
      </c>
      <c r="C271" s="24">
        <v>0.44</v>
      </c>
      <c r="D271" s="24">
        <v>0.32840000000000003</v>
      </c>
      <c r="E271" s="24">
        <v>5</v>
      </c>
      <c r="F271" s="24">
        <v>63</v>
      </c>
      <c r="G271" s="25">
        <v>68</v>
      </c>
      <c r="H271" s="44">
        <f t="shared" si="4"/>
        <v>0.19700000000000001</v>
      </c>
    </row>
    <row r="272" spans="1:8" ht="14" x14ac:dyDescent="0.3">
      <c r="A272" s="24">
        <v>271</v>
      </c>
      <c r="B272" s="24">
        <v>0.18179999999999999</v>
      </c>
      <c r="C272" s="24">
        <v>0.47</v>
      </c>
      <c r="D272" s="24">
        <v>0.35820000000000002</v>
      </c>
      <c r="E272" s="24">
        <v>0</v>
      </c>
      <c r="F272" s="24">
        <v>139</v>
      </c>
      <c r="G272" s="25">
        <v>139</v>
      </c>
      <c r="H272" s="44">
        <f t="shared" si="4"/>
        <v>0.18179999999999999</v>
      </c>
    </row>
    <row r="273" spans="1:8" ht="14" x14ac:dyDescent="0.3">
      <c r="A273" s="24">
        <v>272</v>
      </c>
      <c r="B273" s="24">
        <v>0.1515</v>
      </c>
      <c r="C273" s="24">
        <v>0.47</v>
      </c>
      <c r="D273" s="24">
        <v>0.52239999999999998</v>
      </c>
      <c r="E273" s="24">
        <v>2</v>
      </c>
      <c r="F273" s="24">
        <v>135</v>
      </c>
      <c r="G273" s="25">
        <v>137</v>
      </c>
      <c r="H273" s="44">
        <f t="shared" si="4"/>
        <v>0.1515</v>
      </c>
    </row>
    <row r="274" spans="1:8" ht="14" x14ac:dyDescent="0.3">
      <c r="A274" s="24">
        <v>273</v>
      </c>
      <c r="B274" s="24">
        <v>0.1515</v>
      </c>
      <c r="C274" s="24">
        <v>0.47</v>
      </c>
      <c r="D274" s="24">
        <v>0.41789999999999999</v>
      </c>
      <c r="E274" s="24">
        <v>1</v>
      </c>
      <c r="F274" s="24">
        <v>82</v>
      </c>
      <c r="G274" s="25">
        <v>83</v>
      </c>
      <c r="H274" s="44">
        <f t="shared" si="4"/>
        <v>0.1515</v>
      </c>
    </row>
    <row r="275" spans="1:8" ht="14" x14ac:dyDescent="0.3">
      <c r="A275" s="24">
        <v>274</v>
      </c>
      <c r="B275" s="24">
        <v>0.13639999999999999</v>
      </c>
      <c r="C275" s="24">
        <v>0.5</v>
      </c>
      <c r="D275" s="24">
        <v>0.32840000000000003</v>
      </c>
      <c r="E275" s="24">
        <v>2</v>
      </c>
      <c r="F275" s="24">
        <v>54</v>
      </c>
      <c r="G275" s="25">
        <v>56</v>
      </c>
      <c r="H275" s="44">
        <f t="shared" si="4"/>
        <v>0.13639999999999999</v>
      </c>
    </row>
    <row r="276" spans="1:8" ht="14" x14ac:dyDescent="0.3">
      <c r="A276" s="24">
        <v>275</v>
      </c>
      <c r="B276" s="24">
        <v>0.13639999999999999</v>
      </c>
      <c r="C276" s="24">
        <v>0.55000000000000004</v>
      </c>
      <c r="D276" s="24">
        <v>0.32840000000000003</v>
      </c>
      <c r="E276" s="24">
        <v>0</v>
      </c>
      <c r="F276" s="24">
        <v>57</v>
      </c>
      <c r="G276" s="25">
        <v>57</v>
      </c>
      <c r="H276" s="44">
        <f t="shared" si="4"/>
        <v>0.13639999999999999</v>
      </c>
    </row>
    <row r="277" spans="1:8" ht="14" x14ac:dyDescent="0.3">
      <c r="A277" s="24">
        <v>276</v>
      </c>
      <c r="B277" s="24">
        <v>0.1212</v>
      </c>
      <c r="C277" s="24">
        <v>0.55000000000000004</v>
      </c>
      <c r="D277" s="24">
        <v>0.44779999999999998</v>
      </c>
      <c r="E277" s="24">
        <v>1</v>
      </c>
      <c r="F277" s="24">
        <v>32</v>
      </c>
      <c r="G277" s="25">
        <v>33</v>
      </c>
      <c r="H277" s="44">
        <f t="shared" si="4"/>
        <v>0.1212</v>
      </c>
    </row>
    <row r="278" spans="1:8" ht="14" x14ac:dyDescent="0.3">
      <c r="A278" s="24">
        <v>277</v>
      </c>
      <c r="B278" s="24">
        <v>0.1061</v>
      </c>
      <c r="C278" s="24">
        <v>0.59</v>
      </c>
      <c r="D278" s="24">
        <v>0.41789999999999999</v>
      </c>
      <c r="E278" s="24">
        <v>1</v>
      </c>
      <c r="F278" s="24">
        <v>19</v>
      </c>
      <c r="G278" s="25">
        <v>20</v>
      </c>
      <c r="H278" s="44">
        <f t="shared" si="4"/>
        <v>0.1061</v>
      </c>
    </row>
    <row r="279" spans="1:8" ht="14" x14ac:dyDescent="0.3">
      <c r="A279" s="24">
        <v>278</v>
      </c>
      <c r="B279" s="24">
        <v>0.1212</v>
      </c>
      <c r="C279" s="24">
        <v>0.59</v>
      </c>
      <c r="D279" s="24">
        <v>0.28360000000000002</v>
      </c>
      <c r="E279" s="24">
        <v>1</v>
      </c>
      <c r="F279" s="24">
        <v>6</v>
      </c>
      <c r="G279" s="25">
        <v>7</v>
      </c>
      <c r="H279" s="44">
        <f t="shared" si="4"/>
        <v>0.1212</v>
      </c>
    </row>
    <row r="280" spans="1:8" ht="14" x14ac:dyDescent="0.3">
      <c r="A280" s="24">
        <v>279</v>
      </c>
      <c r="B280" s="24">
        <v>0.1212</v>
      </c>
      <c r="C280" s="24">
        <v>0.5</v>
      </c>
      <c r="D280" s="24">
        <v>0.28360000000000002</v>
      </c>
      <c r="E280" s="24">
        <v>0</v>
      </c>
      <c r="F280" s="24">
        <v>2</v>
      </c>
      <c r="G280" s="25">
        <v>2</v>
      </c>
      <c r="H280" s="44">
        <f t="shared" si="4"/>
        <v>0.1212</v>
      </c>
    </row>
    <row r="281" spans="1:8" ht="14" x14ac:dyDescent="0.3">
      <c r="A281" s="24">
        <v>280</v>
      </c>
      <c r="B281" s="24">
        <v>0.1212</v>
      </c>
      <c r="C281" s="24">
        <v>0.5</v>
      </c>
      <c r="D281" s="24">
        <v>0.35820000000000002</v>
      </c>
      <c r="E281" s="24">
        <v>0</v>
      </c>
      <c r="F281" s="24">
        <v>2</v>
      </c>
      <c r="G281" s="25">
        <v>2</v>
      </c>
      <c r="H281" s="44">
        <f t="shared" si="4"/>
        <v>0.1212</v>
      </c>
    </row>
    <row r="282" spans="1:8" ht="14" x14ac:dyDescent="0.3">
      <c r="A282" s="24">
        <v>281</v>
      </c>
      <c r="B282" s="24">
        <v>0.1212</v>
      </c>
      <c r="C282" s="24">
        <v>0.5</v>
      </c>
      <c r="D282" s="24">
        <v>0.32840000000000003</v>
      </c>
      <c r="E282" s="24">
        <v>0</v>
      </c>
      <c r="F282" s="24">
        <v>3</v>
      </c>
      <c r="G282" s="25">
        <v>3</v>
      </c>
      <c r="H282" s="44">
        <f t="shared" si="4"/>
        <v>0.1212</v>
      </c>
    </row>
    <row r="283" spans="1:8" ht="14" x14ac:dyDescent="0.3">
      <c r="A283" s="24">
        <v>282</v>
      </c>
      <c r="B283" s="24">
        <v>0.1212</v>
      </c>
      <c r="C283" s="24">
        <v>0.5</v>
      </c>
      <c r="D283" s="24">
        <v>0.25369999999999998</v>
      </c>
      <c r="E283" s="24">
        <v>0</v>
      </c>
      <c r="F283" s="24">
        <v>4</v>
      </c>
      <c r="G283" s="25">
        <v>4</v>
      </c>
      <c r="H283" s="44">
        <f t="shared" si="4"/>
        <v>0.1212</v>
      </c>
    </row>
    <row r="284" spans="1:8" ht="14" x14ac:dyDescent="0.3">
      <c r="A284" s="24">
        <v>283</v>
      </c>
      <c r="B284" s="24">
        <v>0.1212</v>
      </c>
      <c r="C284" s="24">
        <v>0.5</v>
      </c>
      <c r="D284" s="24">
        <v>0.29849999999999999</v>
      </c>
      <c r="E284" s="24">
        <v>0</v>
      </c>
      <c r="F284" s="24">
        <v>3</v>
      </c>
      <c r="G284" s="25">
        <v>3</v>
      </c>
      <c r="H284" s="44">
        <f t="shared" si="4"/>
        <v>0.1212</v>
      </c>
    </row>
    <row r="285" spans="1:8" ht="14" x14ac:dyDescent="0.3">
      <c r="A285" s="24">
        <v>284</v>
      </c>
      <c r="B285" s="24">
        <v>0.1515</v>
      </c>
      <c r="C285" s="24">
        <v>0.54</v>
      </c>
      <c r="D285" s="24">
        <v>0.1343</v>
      </c>
      <c r="E285" s="24">
        <v>0</v>
      </c>
      <c r="F285" s="24">
        <v>28</v>
      </c>
      <c r="G285" s="25">
        <v>28</v>
      </c>
      <c r="H285" s="44">
        <f t="shared" si="4"/>
        <v>0.1515</v>
      </c>
    </row>
    <row r="286" spans="1:8" ht="14" x14ac:dyDescent="0.3">
      <c r="A286" s="24">
        <v>285</v>
      </c>
      <c r="B286" s="24">
        <v>0.1515</v>
      </c>
      <c r="C286" s="24">
        <v>0.54</v>
      </c>
      <c r="D286" s="24">
        <v>0.1343</v>
      </c>
      <c r="E286" s="24">
        <v>0</v>
      </c>
      <c r="F286" s="24">
        <v>72</v>
      </c>
      <c r="G286" s="25">
        <v>72</v>
      </c>
      <c r="H286" s="44">
        <f t="shared" si="4"/>
        <v>0.1515</v>
      </c>
    </row>
    <row r="287" spans="1:8" ht="14" x14ac:dyDescent="0.3">
      <c r="A287" s="24">
        <v>286</v>
      </c>
      <c r="B287" s="24">
        <v>0.13639999999999999</v>
      </c>
      <c r="C287" s="24">
        <v>0.5</v>
      </c>
      <c r="D287" s="24">
        <v>0.19400000000000001</v>
      </c>
      <c r="E287" s="24">
        <v>5</v>
      </c>
      <c r="F287" s="24">
        <v>197</v>
      </c>
      <c r="G287" s="25">
        <v>202</v>
      </c>
      <c r="H287" s="44">
        <f t="shared" si="4"/>
        <v>0.13639999999999999</v>
      </c>
    </row>
    <row r="288" spans="1:8" ht="14" x14ac:dyDescent="0.3">
      <c r="A288" s="24">
        <v>287</v>
      </c>
      <c r="B288" s="24">
        <v>0.1212</v>
      </c>
      <c r="C288" s="24">
        <v>0.5</v>
      </c>
      <c r="D288" s="24">
        <v>0.32840000000000003</v>
      </c>
      <c r="E288" s="24">
        <v>2</v>
      </c>
      <c r="F288" s="24">
        <v>137</v>
      </c>
      <c r="G288" s="25">
        <v>139</v>
      </c>
      <c r="H288" s="44">
        <f t="shared" si="4"/>
        <v>0.1212</v>
      </c>
    </row>
    <row r="289" spans="1:8" ht="14" x14ac:dyDescent="0.3">
      <c r="A289" s="24">
        <v>288</v>
      </c>
      <c r="B289" s="24">
        <v>0.13639999999999999</v>
      </c>
      <c r="C289" s="24">
        <v>0.5</v>
      </c>
      <c r="D289" s="24">
        <v>0.35820000000000002</v>
      </c>
      <c r="E289" s="24">
        <v>2</v>
      </c>
      <c r="F289" s="24">
        <v>36</v>
      </c>
      <c r="G289" s="25">
        <v>38</v>
      </c>
      <c r="H289" s="44">
        <f t="shared" si="4"/>
        <v>0.13639999999999999</v>
      </c>
    </row>
    <row r="290" spans="1:8" ht="14" x14ac:dyDescent="0.3">
      <c r="A290" s="24">
        <v>289</v>
      </c>
      <c r="B290" s="24">
        <v>0.16669999999999999</v>
      </c>
      <c r="C290" s="24">
        <v>0.44</v>
      </c>
      <c r="D290" s="24">
        <v>0.44779999999999998</v>
      </c>
      <c r="E290" s="24">
        <v>4</v>
      </c>
      <c r="F290" s="24">
        <v>33</v>
      </c>
      <c r="G290" s="25">
        <v>37</v>
      </c>
      <c r="H290" s="44">
        <f t="shared" si="4"/>
        <v>0.16669999999999999</v>
      </c>
    </row>
    <row r="291" spans="1:8" ht="14" x14ac:dyDescent="0.3">
      <c r="A291" s="24">
        <v>290</v>
      </c>
      <c r="B291" s="24">
        <v>0.16669999999999999</v>
      </c>
      <c r="C291" s="24">
        <v>0.44</v>
      </c>
      <c r="D291" s="24">
        <v>0.41789999999999999</v>
      </c>
      <c r="E291" s="24">
        <v>3</v>
      </c>
      <c r="F291" s="24">
        <v>49</v>
      </c>
      <c r="G291" s="25">
        <v>52</v>
      </c>
      <c r="H291" s="44">
        <f t="shared" si="4"/>
        <v>0.16669999999999999</v>
      </c>
    </row>
    <row r="292" spans="1:8" ht="14" x14ac:dyDescent="0.3">
      <c r="A292" s="24">
        <v>291</v>
      </c>
      <c r="B292" s="24">
        <v>0.19700000000000001</v>
      </c>
      <c r="C292" s="24">
        <v>0.41</v>
      </c>
      <c r="D292" s="24">
        <v>0.44779999999999998</v>
      </c>
      <c r="E292" s="24">
        <v>2</v>
      </c>
      <c r="F292" s="24">
        <v>81</v>
      </c>
      <c r="G292" s="25">
        <v>83</v>
      </c>
      <c r="H292" s="44">
        <f t="shared" si="4"/>
        <v>0.19700000000000001</v>
      </c>
    </row>
    <row r="293" spans="1:8" ht="14" x14ac:dyDescent="0.3">
      <c r="A293" s="24">
        <v>292</v>
      </c>
      <c r="B293" s="24">
        <v>0.19700000000000001</v>
      </c>
      <c r="C293" s="24">
        <v>0.41</v>
      </c>
      <c r="D293" s="24">
        <v>0.3881</v>
      </c>
      <c r="E293" s="24">
        <v>3</v>
      </c>
      <c r="F293" s="24">
        <v>39</v>
      </c>
      <c r="G293" s="25">
        <v>42</v>
      </c>
      <c r="H293" s="44">
        <f t="shared" si="4"/>
        <v>0.19700000000000001</v>
      </c>
    </row>
    <row r="294" spans="1:8" ht="14" x14ac:dyDescent="0.3">
      <c r="A294" s="24">
        <v>293</v>
      </c>
      <c r="B294" s="24">
        <v>0.21210000000000001</v>
      </c>
      <c r="C294" s="24">
        <v>0.38</v>
      </c>
      <c r="D294" s="24">
        <v>0.29849999999999999</v>
      </c>
      <c r="E294" s="24">
        <v>5</v>
      </c>
      <c r="F294" s="24">
        <v>55</v>
      </c>
      <c r="G294" s="25">
        <v>60</v>
      </c>
      <c r="H294" s="44">
        <f t="shared" si="4"/>
        <v>0.21210000000000001</v>
      </c>
    </row>
    <row r="295" spans="1:8" ht="14" x14ac:dyDescent="0.3">
      <c r="A295" s="24">
        <v>294</v>
      </c>
      <c r="B295" s="24">
        <v>0.21210000000000001</v>
      </c>
      <c r="C295" s="24">
        <v>0.38</v>
      </c>
      <c r="D295" s="24">
        <v>0.35820000000000002</v>
      </c>
      <c r="E295" s="24">
        <v>2</v>
      </c>
      <c r="F295" s="24">
        <v>76</v>
      </c>
      <c r="G295" s="25">
        <v>78</v>
      </c>
      <c r="H295" s="44">
        <f t="shared" si="4"/>
        <v>0.21210000000000001</v>
      </c>
    </row>
    <row r="296" spans="1:8" ht="14" x14ac:dyDescent="0.3">
      <c r="A296" s="24">
        <v>295</v>
      </c>
      <c r="B296" s="24">
        <v>0.18179999999999999</v>
      </c>
      <c r="C296" s="24">
        <v>0.4</v>
      </c>
      <c r="D296" s="24">
        <v>0.28360000000000002</v>
      </c>
      <c r="E296" s="24">
        <v>4</v>
      </c>
      <c r="F296" s="24">
        <v>158</v>
      </c>
      <c r="G296" s="25">
        <v>162</v>
      </c>
      <c r="H296" s="44">
        <f t="shared" si="4"/>
        <v>0.18179999999999999</v>
      </c>
    </row>
    <row r="297" spans="1:8" ht="14" x14ac:dyDescent="0.3">
      <c r="A297" s="24">
        <v>296</v>
      </c>
      <c r="B297" s="24">
        <v>0.18179999999999999</v>
      </c>
      <c r="C297" s="24">
        <v>0.4</v>
      </c>
      <c r="D297" s="24">
        <v>0.32840000000000003</v>
      </c>
      <c r="E297" s="24">
        <v>3</v>
      </c>
      <c r="F297" s="24">
        <v>141</v>
      </c>
      <c r="G297" s="25">
        <v>144</v>
      </c>
      <c r="H297" s="44">
        <f t="shared" si="4"/>
        <v>0.18179999999999999</v>
      </c>
    </row>
    <row r="298" spans="1:8" ht="14" x14ac:dyDescent="0.3">
      <c r="A298" s="24">
        <v>297</v>
      </c>
      <c r="B298" s="24">
        <v>0.1515</v>
      </c>
      <c r="C298" s="24">
        <v>0.47</v>
      </c>
      <c r="D298" s="24">
        <v>0.25369999999999998</v>
      </c>
      <c r="E298" s="24">
        <v>1</v>
      </c>
      <c r="F298" s="24">
        <v>98</v>
      </c>
      <c r="G298" s="25">
        <v>99</v>
      </c>
      <c r="H298" s="44">
        <f t="shared" si="4"/>
        <v>0.1515</v>
      </c>
    </row>
    <row r="299" spans="1:8" ht="14" x14ac:dyDescent="0.3">
      <c r="A299" s="24">
        <v>298</v>
      </c>
      <c r="B299" s="24">
        <v>0.1515</v>
      </c>
      <c r="C299" s="24">
        <v>0.47</v>
      </c>
      <c r="D299" s="24">
        <v>0.22389999999999999</v>
      </c>
      <c r="E299" s="24">
        <v>0</v>
      </c>
      <c r="F299" s="24">
        <v>64</v>
      </c>
      <c r="G299" s="25">
        <v>64</v>
      </c>
      <c r="H299" s="44">
        <f t="shared" si="4"/>
        <v>0.1515</v>
      </c>
    </row>
    <row r="300" spans="1:8" ht="14" x14ac:dyDescent="0.3">
      <c r="A300" s="24">
        <v>299</v>
      </c>
      <c r="B300" s="24">
        <v>0.1212</v>
      </c>
      <c r="C300" s="24">
        <v>0.46</v>
      </c>
      <c r="D300" s="24">
        <v>0.29849999999999999</v>
      </c>
      <c r="E300" s="24">
        <v>0</v>
      </c>
      <c r="F300" s="24">
        <v>40</v>
      </c>
      <c r="G300" s="25">
        <v>40</v>
      </c>
      <c r="H300" s="44">
        <f t="shared" si="4"/>
        <v>0.1212</v>
      </c>
    </row>
    <row r="301" spans="1:8" ht="14" x14ac:dyDescent="0.3">
      <c r="A301" s="24">
        <v>300</v>
      </c>
      <c r="B301" s="24">
        <v>0.1212</v>
      </c>
      <c r="C301" s="24">
        <v>0.46</v>
      </c>
      <c r="D301" s="24">
        <v>0.32840000000000003</v>
      </c>
      <c r="E301" s="24">
        <v>0</v>
      </c>
      <c r="F301" s="24">
        <v>30</v>
      </c>
      <c r="G301" s="25">
        <v>30</v>
      </c>
      <c r="H301" s="44">
        <f t="shared" si="4"/>
        <v>0.1212</v>
      </c>
    </row>
    <row r="302" spans="1:8" ht="14" x14ac:dyDescent="0.3">
      <c r="A302" s="24">
        <v>301</v>
      </c>
      <c r="B302" s="24">
        <v>0.13639999999999999</v>
      </c>
      <c r="C302" s="24">
        <v>0.5</v>
      </c>
      <c r="D302" s="24">
        <v>0.19400000000000001</v>
      </c>
      <c r="E302" s="24">
        <v>1</v>
      </c>
      <c r="F302" s="24">
        <v>14</v>
      </c>
      <c r="G302" s="25">
        <v>15</v>
      </c>
      <c r="H302" s="44">
        <f t="shared" si="4"/>
        <v>0.13639999999999999</v>
      </c>
    </row>
    <row r="303" spans="1:8" ht="14" x14ac:dyDescent="0.3">
      <c r="A303" s="24">
        <v>302</v>
      </c>
      <c r="B303" s="24">
        <v>0.13639999999999999</v>
      </c>
      <c r="C303" s="24">
        <v>0.5</v>
      </c>
      <c r="D303" s="24">
        <v>0.19400000000000001</v>
      </c>
      <c r="E303" s="24">
        <v>0</v>
      </c>
      <c r="F303" s="24">
        <v>14</v>
      </c>
      <c r="G303" s="25">
        <v>14</v>
      </c>
      <c r="H303" s="44">
        <f t="shared" si="4"/>
        <v>0.13639999999999999</v>
      </c>
    </row>
    <row r="304" spans="1:8" ht="14" x14ac:dyDescent="0.3">
      <c r="A304" s="24">
        <v>303</v>
      </c>
      <c r="B304" s="24">
        <v>0.1212</v>
      </c>
      <c r="C304" s="24">
        <v>0.54</v>
      </c>
      <c r="D304" s="24">
        <v>0.16420000000000001</v>
      </c>
      <c r="E304" s="24">
        <v>0</v>
      </c>
      <c r="F304" s="24">
        <v>5</v>
      </c>
      <c r="G304" s="25">
        <v>5</v>
      </c>
      <c r="H304" s="44">
        <f t="shared" si="4"/>
        <v>0.1212</v>
      </c>
    </row>
    <row r="305" spans="1:8" ht="14" x14ac:dyDescent="0.3">
      <c r="A305" s="24">
        <v>304</v>
      </c>
      <c r="B305" s="24">
        <v>0.1212</v>
      </c>
      <c r="C305" s="24">
        <v>0.54</v>
      </c>
      <c r="D305" s="24">
        <v>0.1343</v>
      </c>
      <c r="E305" s="24">
        <v>0</v>
      </c>
      <c r="F305" s="24">
        <v>1</v>
      </c>
      <c r="G305" s="25">
        <v>1</v>
      </c>
      <c r="H305" s="44">
        <f t="shared" si="4"/>
        <v>0.1212</v>
      </c>
    </row>
    <row r="306" spans="1:8" ht="14" x14ac:dyDescent="0.3">
      <c r="A306" s="24">
        <v>305</v>
      </c>
      <c r="B306" s="24">
        <v>0.13639999999999999</v>
      </c>
      <c r="C306" s="24">
        <v>0.54</v>
      </c>
      <c r="D306" s="24">
        <v>0.1045</v>
      </c>
      <c r="E306" s="24">
        <v>0</v>
      </c>
      <c r="F306" s="24">
        <v>1</v>
      </c>
      <c r="G306" s="25">
        <v>1</v>
      </c>
      <c r="H306" s="44">
        <f t="shared" si="4"/>
        <v>0.13639999999999999</v>
      </c>
    </row>
    <row r="307" spans="1:8" ht="14" x14ac:dyDescent="0.3">
      <c r="A307" s="24">
        <v>306</v>
      </c>
      <c r="B307" s="24">
        <v>0.13639999999999999</v>
      </c>
      <c r="C307" s="24">
        <v>0.54</v>
      </c>
      <c r="D307" s="24">
        <v>8.9599999999999999E-2</v>
      </c>
      <c r="E307" s="24">
        <v>0</v>
      </c>
      <c r="F307" s="24">
        <v>8</v>
      </c>
      <c r="G307" s="25">
        <v>8</v>
      </c>
      <c r="H307" s="44">
        <f t="shared" si="4"/>
        <v>0.13639999999999999</v>
      </c>
    </row>
    <row r="308" spans="1:8" ht="14" x14ac:dyDescent="0.3">
      <c r="A308" s="24">
        <v>307</v>
      </c>
      <c r="B308" s="24">
        <v>0.18179999999999999</v>
      </c>
      <c r="C308" s="24">
        <v>0.54</v>
      </c>
      <c r="D308" s="24">
        <v>0</v>
      </c>
      <c r="E308" s="24">
        <v>0</v>
      </c>
      <c r="F308" s="24">
        <v>17</v>
      </c>
      <c r="G308" s="25">
        <v>17</v>
      </c>
      <c r="H308" s="44">
        <f t="shared" si="4"/>
        <v>0.18179999999999999</v>
      </c>
    </row>
    <row r="309" spans="1:8" ht="14" x14ac:dyDescent="0.3">
      <c r="A309" s="24">
        <v>308</v>
      </c>
      <c r="B309" s="24">
        <v>0.1212</v>
      </c>
      <c r="C309" s="24">
        <v>0.74</v>
      </c>
      <c r="D309" s="24">
        <v>0.16420000000000001</v>
      </c>
      <c r="E309" s="24">
        <v>0</v>
      </c>
      <c r="F309" s="24">
        <v>70</v>
      </c>
      <c r="G309" s="25">
        <v>70</v>
      </c>
      <c r="H309" s="44">
        <f t="shared" si="4"/>
        <v>0.1212</v>
      </c>
    </row>
    <row r="310" spans="1:8" ht="14" x14ac:dyDescent="0.3">
      <c r="A310" s="24">
        <v>309</v>
      </c>
      <c r="B310" s="24">
        <v>0.16669999999999999</v>
      </c>
      <c r="C310" s="24">
        <v>0.68</v>
      </c>
      <c r="D310" s="24">
        <v>0</v>
      </c>
      <c r="E310" s="24">
        <v>2</v>
      </c>
      <c r="F310" s="24">
        <v>156</v>
      </c>
      <c r="G310" s="25">
        <v>158</v>
      </c>
      <c r="H310" s="44">
        <f t="shared" si="4"/>
        <v>0.16669999999999999</v>
      </c>
    </row>
    <row r="311" spans="1:8" ht="14" x14ac:dyDescent="0.3">
      <c r="A311" s="24">
        <v>310</v>
      </c>
      <c r="B311" s="24">
        <v>0.1515</v>
      </c>
      <c r="C311" s="24">
        <v>0.69</v>
      </c>
      <c r="D311" s="24">
        <v>0.1343</v>
      </c>
      <c r="E311" s="24">
        <v>0</v>
      </c>
      <c r="F311" s="24">
        <v>117</v>
      </c>
      <c r="G311" s="25">
        <v>117</v>
      </c>
      <c r="H311" s="44">
        <f t="shared" si="4"/>
        <v>0.1515</v>
      </c>
    </row>
    <row r="312" spans="1:8" ht="14" x14ac:dyDescent="0.3">
      <c r="A312" s="24">
        <v>311</v>
      </c>
      <c r="B312" s="24">
        <v>0.18179999999999999</v>
      </c>
      <c r="C312" s="24">
        <v>0.55000000000000004</v>
      </c>
      <c r="D312" s="24">
        <v>0.19400000000000001</v>
      </c>
      <c r="E312" s="24">
        <v>4</v>
      </c>
      <c r="F312" s="24">
        <v>40</v>
      </c>
      <c r="G312" s="25">
        <v>44</v>
      </c>
      <c r="H312" s="44">
        <f t="shared" si="4"/>
        <v>0.18179999999999999</v>
      </c>
    </row>
    <row r="313" spans="1:8" ht="14" x14ac:dyDescent="0.3">
      <c r="A313" s="24">
        <v>312</v>
      </c>
      <c r="B313" s="24">
        <v>0.16669999999999999</v>
      </c>
      <c r="C313" s="24">
        <v>0.51</v>
      </c>
      <c r="D313" s="24">
        <v>0.28360000000000002</v>
      </c>
      <c r="E313" s="24">
        <v>6</v>
      </c>
      <c r="F313" s="24">
        <v>47</v>
      </c>
      <c r="G313" s="25">
        <v>53</v>
      </c>
      <c r="H313" s="44">
        <f t="shared" si="4"/>
        <v>0.16669999999999999</v>
      </c>
    </row>
    <row r="314" spans="1:8" ht="14" x14ac:dyDescent="0.3">
      <c r="A314" s="24">
        <v>313</v>
      </c>
      <c r="B314" s="24">
        <v>0.19700000000000001</v>
      </c>
      <c r="C314" s="24">
        <v>0.44</v>
      </c>
      <c r="D314" s="24">
        <v>0.25369999999999998</v>
      </c>
      <c r="E314" s="24">
        <v>2</v>
      </c>
      <c r="F314" s="24">
        <v>59</v>
      </c>
      <c r="G314" s="25">
        <v>61</v>
      </c>
      <c r="H314" s="44">
        <f t="shared" si="4"/>
        <v>0.19700000000000001</v>
      </c>
    </row>
    <row r="315" spans="1:8" ht="14" x14ac:dyDescent="0.3">
      <c r="A315" s="24">
        <v>314</v>
      </c>
      <c r="B315" s="24">
        <v>0.19700000000000001</v>
      </c>
      <c r="C315" s="24">
        <v>0.37</v>
      </c>
      <c r="D315" s="24">
        <v>0.3881</v>
      </c>
      <c r="E315" s="24">
        <v>4</v>
      </c>
      <c r="F315" s="24">
        <v>73</v>
      </c>
      <c r="G315" s="25">
        <v>77</v>
      </c>
      <c r="H315" s="44">
        <f t="shared" si="4"/>
        <v>0.19700000000000001</v>
      </c>
    </row>
    <row r="316" spans="1:8" ht="14" x14ac:dyDescent="0.3">
      <c r="A316" s="24">
        <v>315</v>
      </c>
      <c r="B316" s="24">
        <v>0.21210000000000001</v>
      </c>
      <c r="C316" s="24">
        <v>0.41</v>
      </c>
      <c r="D316" s="24">
        <v>0.28360000000000002</v>
      </c>
      <c r="E316" s="24">
        <v>5</v>
      </c>
      <c r="F316" s="24">
        <v>59</v>
      </c>
      <c r="G316" s="25">
        <v>64</v>
      </c>
      <c r="H316" s="44">
        <f t="shared" si="4"/>
        <v>0.21210000000000001</v>
      </c>
    </row>
    <row r="317" spans="1:8" ht="14" x14ac:dyDescent="0.3">
      <c r="A317" s="24">
        <v>316</v>
      </c>
      <c r="B317" s="24">
        <v>0.2424</v>
      </c>
      <c r="C317" s="24">
        <v>0.38</v>
      </c>
      <c r="D317" s="24">
        <v>0.16420000000000001</v>
      </c>
      <c r="E317" s="24">
        <v>9</v>
      </c>
      <c r="F317" s="24">
        <v>59</v>
      </c>
      <c r="G317" s="25">
        <v>68</v>
      </c>
      <c r="H317" s="44">
        <f t="shared" si="4"/>
        <v>0.2424</v>
      </c>
    </row>
    <row r="318" spans="1:8" ht="14" x14ac:dyDescent="0.3">
      <c r="A318" s="24">
        <v>317</v>
      </c>
      <c r="B318" s="24">
        <v>0.2424</v>
      </c>
      <c r="C318" s="24">
        <v>0.41</v>
      </c>
      <c r="D318" s="24">
        <v>0.1045</v>
      </c>
      <c r="E318" s="24">
        <v>3</v>
      </c>
      <c r="F318" s="24">
        <v>87</v>
      </c>
      <c r="G318" s="25">
        <v>90</v>
      </c>
      <c r="H318" s="44">
        <f t="shared" si="4"/>
        <v>0.2424</v>
      </c>
    </row>
    <row r="319" spans="1:8" ht="14" x14ac:dyDescent="0.3">
      <c r="A319" s="24">
        <v>318</v>
      </c>
      <c r="B319" s="24">
        <v>0.2273</v>
      </c>
      <c r="C319" s="24">
        <v>0.41</v>
      </c>
      <c r="D319" s="24">
        <v>0.16420000000000001</v>
      </c>
      <c r="E319" s="24">
        <v>4</v>
      </c>
      <c r="F319" s="24">
        <v>155</v>
      </c>
      <c r="G319" s="25">
        <v>159</v>
      </c>
      <c r="H319" s="44">
        <f t="shared" si="4"/>
        <v>0.2273</v>
      </c>
    </row>
    <row r="320" spans="1:8" ht="14" x14ac:dyDescent="0.3">
      <c r="A320" s="24">
        <v>319</v>
      </c>
      <c r="B320" s="24">
        <v>0.2576</v>
      </c>
      <c r="C320" s="24">
        <v>0.47</v>
      </c>
      <c r="D320" s="24">
        <v>0</v>
      </c>
      <c r="E320" s="24">
        <v>5</v>
      </c>
      <c r="F320" s="24">
        <v>134</v>
      </c>
      <c r="G320" s="25">
        <v>139</v>
      </c>
      <c r="H320" s="44">
        <f t="shared" si="4"/>
        <v>0.2576</v>
      </c>
    </row>
    <row r="321" spans="1:8" ht="14" x14ac:dyDescent="0.3">
      <c r="A321" s="24">
        <v>320</v>
      </c>
      <c r="B321" s="24">
        <v>0.19700000000000001</v>
      </c>
      <c r="C321" s="24">
        <v>0.59</v>
      </c>
      <c r="D321" s="24">
        <v>8.9599999999999999E-2</v>
      </c>
      <c r="E321" s="24">
        <v>3</v>
      </c>
      <c r="F321" s="24">
        <v>89</v>
      </c>
      <c r="G321" s="25">
        <v>92</v>
      </c>
      <c r="H321" s="44">
        <f t="shared" si="4"/>
        <v>0.19700000000000001</v>
      </c>
    </row>
    <row r="322" spans="1:8" ht="14" x14ac:dyDescent="0.3">
      <c r="A322" s="24">
        <v>321</v>
      </c>
      <c r="B322" s="24">
        <v>0.2424</v>
      </c>
      <c r="C322" s="24">
        <v>0.59</v>
      </c>
      <c r="D322" s="24">
        <v>0</v>
      </c>
      <c r="E322" s="24">
        <v>0</v>
      </c>
      <c r="F322" s="24">
        <v>68</v>
      </c>
      <c r="G322" s="25">
        <v>68</v>
      </c>
      <c r="H322" s="44">
        <f t="shared" ref="H322:H385" si="5">IF(ISBLANK(B322),0.197,B322)</f>
        <v>0.2424</v>
      </c>
    </row>
    <row r="323" spans="1:8" ht="14" x14ac:dyDescent="0.3">
      <c r="A323" s="24">
        <v>322</v>
      </c>
      <c r="B323" s="24">
        <v>0.2273</v>
      </c>
      <c r="C323" s="24">
        <v>0.69</v>
      </c>
      <c r="D323" s="24">
        <v>0</v>
      </c>
      <c r="E323" s="24">
        <v>4</v>
      </c>
      <c r="F323" s="24">
        <v>48</v>
      </c>
      <c r="G323" s="25">
        <v>52</v>
      </c>
      <c r="H323" s="44">
        <f t="shared" si="5"/>
        <v>0.2273</v>
      </c>
    </row>
    <row r="324" spans="1:8" ht="14" x14ac:dyDescent="0.3">
      <c r="A324" s="24">
        <v>323</v>
      </c>
      <c r="B324" s="24">
        <v>0.2273</v>
      </c>
      <c r="C324" s="24">
        <v>0.69</v>
      </c>
      <c r="D324" s="24">
        <v>0</v>
      </c>
      <c r="E324" s="24">
        <v>2</v>
      </c>
      <c r="F324" s="24">
        <v>34</v>
      </c>
      <c r="G324" s="25">
        <v>36</v>
      </c>
      <c r="H324" s="44">
        <f t="shared" si="5"/>
        <v>0.2273</v>
      </c>
    </row>
    <row r="325" spans="1:8" ht="14" x14ac:dyDescent="0.3">
      <c r="A325" s="24">
        <v>324</v>
      </c>
      <c r="B325" s="24">
        <v>0.2424</v>
      </c>
      <c r="C325" s="24">
        <v>0.55000000000000004</v>
      </c>
      <c r="D325" s="24">
        <v>0</v>
      </c>
      <c r="E325" s="24">
        <v>1</v>
      </c>
      <c r="F325" s="24">
        <v>26</v>
      </c>
      <c r="G325" s="25">
        <v>27</v>
      </c>
      <c r="H325" s="44">
        <f t="shared" si="5"/>
        <v>0.2424</v>
      </c>
    </row>
    <row r="326" spans="1:8" ht="14" x14ac:dyDescent="0.3">
      <c r="A326" s="24">
        <v>325</v>
      </c>
      <c r="B326" s="24">
        <v>0.2424</v>
      </c>
      <c r="C326" s="24">
        <v>0.55000000000000004</v>
      </c>
      <c r="D326" s="24">
        <v>0</v>
      </c>
      <c r="E326" s="24">
        <v>3</v>
      </c>
      <c r="F326" s="24">
        <v>25</v>
      </c>
      <c r="G326" s="25">
        <v>28</v>
      </c>
      <c r="H326" s="44">
        <f t="shared" si="5"/>
        <v>0.2424</v>
      </c>
    </row>
    <row r="327" spans="1:8" ht="14" x14ac:dyDescent="0.3">
      <c r="A327" s="24">
        <v>326</v>
      </c>
      <c r="B327" s="24">
        <v>0.19700000000000001</v>
      </c>
      <c r="C327" s="24">
        <v>0.59</v>
      </c>
      <c r="D327" s="24">
        <v>8.9599999999999999E-2</v>
      </c>
      <c r="E327" s="24">
        <v>2</v>
      </c>
      <c r="F327" s="24">
        <v>18</v>
      </c>
      <c r="G327" s="25">
        <v>20</v>
      </c>
      <c r="H327" s="44">
        <f t="shared" si="5"/>
        <v>0.19700000000000001</v>
      </c>
    </row>
    <row r="328" spans="1:8" ht="14" x14ac:dyDescent="0.3">
      <c r="A328" s="24">
        <v>327</v>
      </c>
      <c r="B328" s="24">
        <v>0.19700000000000001</v>
      </c>
      <c r="C328" s="24">
        <v>0.59</v>
      </c>
      <c r="D328" s="24">
        <v>8.9599999999999999E-2</v>
      </c>
      <c r="E328" s="24">
        <v>0</v>
      </c>
      <c r="F328" s="24">
        <v>12</v>
      </c>
      <c r="G328" s="25">
        <v>12</v>
      </c>
      <c r="H328" s="44">
        <f t="shared" si="5"/>
        <v>0.19700000000000001</v>
      </c>
    </row>
    <row r="329" spans="1:8" ht="14" x14ac:dyDescent="0.3">
      <c r="A329" s="24">
        <v>328</v>
      </c>
      <c r="B329" s="24">
        <v>0.2273</v>
      </c>
      <c r="C329" s="24">
        <v>0.59</v>
      </c>
      <c r="D329" s="24">
        <v>0</v>
      </c>
      <c r="E329" s="24">
        <v>1</v>
      </c>
      <c r="F329" s="24">
        <v>7</v>
      </c>
      <c r="G329" s="25">
        <v>8</v>
      </c>
      <c r="H329" s="44">
        <f t="shared" si="5"/>
        <v>0.2273</v>
      </c>
    </row>
    <row r="330" spans="1:8" ht="14" x14ac:dyDescent="0.3">
      <c r="A330" s="24">
        <v>329</v>
      </c>
      <c r="B330" s="24">
        <v>0.2273</v>
      </c>
      <c r="C330" s="24">
        <v>0.59</v>
      </c>
      <c r="D330" s="24">
        <v>0</v>
      </c>
      <c r="E330" s="24">
        <v>0</v>
      </c>
      <c r="F330" s="24">
        <v>5</v>
      </c>
      <c r="G330" s="25">
        <v>5</v>
      </c>
      <c r="H330" s="44">
        <f t="shared" si="5"/>
        <v>0.2273</v>
      </c>
    </row>
    <row r="331" spans="1:8" ht="14" x14ac:dyDescent="0.3">
      <c r="A331" s="24">
        <v>330</v>
      </c>
      <c r="B331" s="24">
        <v>0.2273</v>
      </c>
      <c r="C331" s="24">
        <v>0.59</v>
      </c>
      <c r="D331" s="24">
        <v>0</v>
      </c>
      <c r="E331" s="24">
        <v>0</v>
      </c>
      <c r="F331" s="24">
        <v>1</v>
      </c>
      <c r="G331" s="25">
        <v>1</v>
      </c>
      <c r="H331" s="44">
        <f t="shared" si="5"/>
        <v>0.2273</v>
      </c>
    </row>
    <row r="332" spans="1:8" ht="14" x14ac:dyDescent="0.3">
      <c r="A332" s="24">
        <v>331</v>
      </c>
      <c r="B332" s="24">
        <v>0.16669999999999999</v>
      </c>
      <c r="C332" s="24">
        <v>0.63</v>
      </c>
      <c r="D332" s="24">
        <v>0.1045</v>
      </c>
      <c r="E332" s="24">
        <v>1</v>
      </c>
      <c r="F332" s="24">
        <v>2</v>
      </c>
      <c r="G332" s="25">
        <v>3</v>
      </c>
      <c r="H332" s="44">
        <f t="shared" si="5"/>
        <v>0.16669999999999999</v>
      </c>
    </row>
    <row r="333" spans="1:8" ht="14" x14ac:dyDescent="0.3">
      <c r="A333" s="24">
        <v>332</v>
      </c>
      <c r="B333" s="24">
        <v>0.21210000000000001</v>
      </c>
      <c r="C333" s="24">
        <v>0.63</v>
      </c>
      <c r="D333" s="24">
        <v>0</v>
      </c>
      <c r="E333" s="24">
        <v>1</v>
      </c>
      <c r="F333" s="24">
        <v>9</v>
      </c>
      <c r="G333" s="25">
        <v>10</v>
      </c>
      <c r="H333" s="44">
        <f t="shared" si="5"/>
        <v>0.21210000000000001</v>
      </c>
    </row>
    <row r="334" spans="1:8" ht="14" x14ac:dyDescent="0.3">
      <c r="A334" s="24">
        <v>333</v>
      </c>
      <c r="B334" s="24">
        <v>0.1515</v>
      </c>
      <c r="C334" s="24">
        <v>0.63</v>
      </c>
      <c r="D334" s="24">
        <v>0.1343</v>
      </c>
      <c r="E334" s="24">
        <v>1</v>
      </c>
      <c r="F334" s="24">
        <v>22</v>
      </c>
      <c r="G334" s="25">
        <v>23</v>
      </c>
      <c r="H334" s="44">
        <f t="shared" si="5"/>
        <v>0.1515</v>
      </c>
    </row>
    <row r="335" spans="1:8" ht="14" x14ac:dyDescent="0.3">
      <c r="A335" s="24">
        <v>334</v>
      </c>
      <c r="B335" s="24">
        <v>0.18179999999999999</v>
      </c>
      <c r="C335" s="24">
        <v>0.64</v>
      </c>
      <c r="D335" s="24">
        <v>0.1343</v>
      </c>
      <c r="E335" s="24">
        <v>2</v>
      </c>
      <c r="F335" s="24">
        <v>31</v>
      </c>
      <c r="G335" s="25">
        <v>33</v>
      </c>
      <c r="H335" s="44">
        <f t="shared" si="5"/>
        <v>0.18179999999999999</v>
      </c>
    </row>
    <row r="336" spans="1:8" ht="14" x14ac:dyDescent="0.3">
      <c r="A336" s="24">
        <v>335</v>
      </c>
      <c r="B336" s="24">
        <v>0.19700000000000001</v>
      </c>
      <c r="C336" s="24">
        <v>0.59</v>
      </c>
      <c r="D336" s="24">
        <v>0.16420000000000001</v>
      </c>
      <c r="E336" s="24">
        <v>2</v>
      </c>
      <c r="F336" s="24">
        <v>57</v>
      </c>
      <c r="G336" s="25">
        <v>59</v>
      </c>
      <c r="H336" s="44">
        <f t="shared" si="5"/>
        <v>0.19700000000000001</v>
      </c>
    </row>
    <row r="337" spans="1:8" ht="14" x14ac:dyDescent="0.3">
      <c r="A337" s="24">
        <v>336</v>
      </c>
      <c r="B337" s="24">
        <v>0.19700000000000001</v>
      </c>
      <c r="C337" s="24">
        <v>0.55000000000000004</v>
      </c>
      <c r="D337" s="24">
        <v>0.22389999999999999</v>
      </c>
      <c r="E337" s="24">
        <v>18</v>
      </c>
      <c r="F337" s="24">
        <v>54</v>
      </c>
      <c r="G337" s="25">
        <v>72</v>
      </c>
      <c r="H337" s="44">
        <f t="shared" si="5"/>
        <v>0.19700000000000001</v>
      </c>
    </row>
    <row r="338" spans="1:8" ht="14" x14ac:dyDescent="0.3">
      <c r="A338" s="24">
        <v>337</v>
      </c>
      <c r="B338" s="24">
        <v>0.2273</v>
      </c>
      <c r="C338" s="24">
        <v>0.48</v>
      </c>
      <c r="D338" s="24">
        <v>0.22389999999999999</v>
      </c>
      <c r="E338" s="24">
        <v>15</v>
      </c>
      <c r="F338" s="24">
        <v>74</v>
      </c>
      <c r="G338" s="25">
        <v>89</v>
      </c>
      <c r="H338" s="44">
        <f t="shared" si="5"/>
        <v>0.2273</v>
      </c>
    </row>
    <row r="339" spans="1:8" ht="14" x14ac:dyDescent="0.3">
      <c r="A339" s="24">
        <v>338</v>
      </c>
      <c r="B339" s="24">
        <v>0.2576</v>
      </c>
      <c r="C339" s="24">
        <v>0.38</v>
      </c>
      <c r="D339" s="24">
        <v>0.29849999999999999</v>
      </c>
      <c r="E339" s="24">
        <v>21</v>
      </c>
      <c r="F339" s="24">
        <v>80</v>
      </c>
      <c r="G339" s="25">
        <v>101</v>
      </c>
      <c r="H339" s="44">
        <f t="shared" si="5"/>
        <v>0.2576</v>
      </c>
    </row>
    <row r="340" spans="1:8" ht="14" x14ac:dyDescent="0.3">
      <c r="A340" s="24">
        <v>339</v>
      </c>
      <c r="B340" s="24">
        <v>0.28789999999999999</v>
      </c>
      <c r="C340" s="24">
        <v>0.39</v>
      </c>
      <c r="D340" s="24">
        <v>0.28360000000000002</v>
      </c>
      <c r="E340" s="24">
        <v>26</v>
      </c>
      <c r="F340" s="24">
        <v>92</v>
      </c>
      <c r="G340" s="25">
        <v>118</v>
      </c>
      <c r="H340" s="44">
        <f t="shared" si="5"/>
        <v>0.28789999999999999</v>
      </c>
    </row>
    <row r="341" spans="1:8" ht="14" x14ac:dyDescent="0.3">
      <c r="A341" s="24">
        <v>340</v>
      </c>
      <c r="B341" s="24">
        <v>0.31819999999999998</v>
      </c>
      <c r="C341" s="24">
        <v>0.36</v>
      </c>
      <c r="D341" s="24">
        <v>0.19400000000000001</v>
      </c>
      <c r="E341" s="24">
        <v>21</v>
      </c>
      <c r="F341" s="24">
        <v>108</v>
      </c>
      <c r="G341" s="25">
        <v>129</v>
      </c>
      <c r="H341" s="44">
        <f t="shared" si="5"/>
        <v>0.31819999999999998</v>
      </c>
    </row>
    <row r="342" spans="1:8" ht="14" x14ac:dyDescent="0.3">
      <c r="A342" s="24">
        <v>341</v>
      </c>
      <c r="B342" s="24">
        <v>0.33329999999999999</v>
      </c>
      <c r="C342" s="24">
        <v>0.34</v>
      </c>
      <c r="D342" s="24">
        <v>0.19400000000000001</v>
      </c>
      <c r="E342" s="24">
        <v>33</v>
      </c>
      <c r="F342" s="24">
        <v>95</v>
      </c>
      <c r="G342" s="25">
        <v>128</v>
      </c>
      <c r="H342" s="44">
        <f t="shared" si="5"/>
        <v>0.33329999999999999</v>
      </c>
    </row>
    <row r="343" spans="1:8" ht="14" x14ac:dyDescent="0.3">
      <c r="A343" s="24">
        <v>342</v>
      </c>
      <c r="B343" s="24">
        <v>0.30299999999999999</v>
      </c>
      <c r="C343" s="24">
        <v>0.36</v>
      </c>
      <c r="D343" s="24">
        <v>0.28360000000000002</v>
      </c>
      <c r="E343" s="24">
        <v>29</v>
      </c>
      <c r="F343" s="24">
        <v>54</v>
      </c>
      <c r="G343" s="25">
        <v>83</v>
      </c>
      <c r="H343" s="44">
        <f t="shared" si="5"/>
        <v>0.30299999999999999</v>
      </c>
    </row>
    <row r="344" spans="1:8" ht="14" x14ac:dyDescent="0.3">
      <c r="A344" s="24">
        <v>343</v>
      </c>
      <c r="B344" s="24">
        <v>0.28789999999999999</v>
      </c>
      <c r="C344" s="24">
        <v>0.45</v>
      </c>
      <c r="D344" s="24">
        <v>0.25369999999999998</v>
      </c>
      <c r="E344" s="24">
        <v>15</v>
      </c>
      <c r="F344" s="24">
        <v>69</v>
      </c>
      <c r="G344" s="25">
        <v>84</v>
      </c>
      <c r="H344" s="44">
        <f t="shared" si="5"/>
        <v>0.28789999999999999</v>
      </c>
    </row>
    <row r="345" spans="1:8" ht="14" x14ac:dyDescent="0.3">
      <c r="A345" s="24">
        <v>344</v>
      </c>
      <c r="B345" s="24">
        <v>0.30299999999999999</v>
      </c>
      <c r="C345" s="24">
        <v>0.39</v>
      </c>
      <c r="D345" s="24">
        <v>0.25369999999999998</v>
      </c>
      <c r="E345" s="24">
        <v>14</v>
      </c>
      <c r="F345" s="24">
        <v>60</v>
      </c>
      <c r="G345" s="25">
        <v>74</v>
      </c>
      <c r="H345" s="44">
        <f t="shared" si="5"/>
        <v>0.30299999999999999</v>
      </c>
    </row>
    <row r="346" spans="1:8" ht="14" x14ac:dyDescent="0.3">
      <c r="A346" s="24">
        <v>345</v>
      </c>
      <c r="B346" s="24">
        <v>0.30299999999999999</v>
      </c>
      <c r="C346" s="24">
        <v>0.39</v>
      </c>
      <c r="D346" s="24">
        <v>0.25369999999999998</v>
      </c>
      <c r="E346" s="24">
        <v>6</v>
      </c>
      <c r="F346" s="24">
        <v>35</v>
      </c>
      <c r="G346" s="25">
        <v>41</v>
      </c>
      <c r="H346" s="44">
        <f t="shared" si="5"/>
        <v>0.30299999999999999</v>
      </c>
    </row>
    <row r="347" spans="1:8" ht="14" x14ac:dyDescent="0.3">
      <c r="A347" s="24">
        <v>346</v>
      </c>
      <c r="B347" s="24">
        <v>0.30299999999999999</v>
      </c>
      <c r="C347" s="24">
        <v>0.39</v>
      </c>
      <c r="D347" s="24">
        <v>0.22389999999999999</v>
      </c>
      <c r="E347" s="24">
        <v>6</v>
      </c>
      <c r="F347" s="24">
        <v>51</v>
      </c>
      <c r="G347" s="25">
        <v>57</v>
      </c>
      <c r="H347" s="44">
        <f t="shared" si="5"/>
        <v>0.30299999999999999</v>
      </c>
    </row>
    <row r="348" spans="1:8" ht="14" x14ac:dyDescent="0.3">
      <c r="A348" s="24">
        <v>347</v>
      </c>
      <c r="B348" s="24">
        <v>0.31819999999999998</v>
      </c>
      <c r="C348" s="24">
        <v>0.42</v>
      </c>
      <c r="D348" s="24">
        <v>0.1045</v>
      </c>
      <c r="E348" s="24">
        <v>0</v>
      </c>
      <c r="F348" s="24">
        <v>26</v>
      </c>
      <c r="G348" s="25">
        <v>26</v>
      </c>
      <c r="H348" s="44">
        <f t="shared" si="5"/>
        <v>0.31819999999999998</v>
      </c>
    </row>
    <row r="349" spans="1:8" ht="14" x14ac:dyDescent="0.3">
      <c r="A349" s="24">
        <v>348</v>
      </c>
      <c r="B349" s="24">
        <v>0.28789999999999999</v>
      </c>
      <c r="C349" s="24">
        <v>0.45</v>
      </c>
      <c r="D349" s="24">
        <v>0.28360000000000002</v>
      </c>
      <c r="E349" s="24">
        <v>5</v>
      </c>
      <c r="F349" s="24">
        <v>39</v>
      </c>
      <c r="G349" s="25">
        <v>44</v>
      </c>
      <c r="H349" s="44">
        <f t="shared" si="5"/>
        <v>0.28789999999999999</v>
      </c>
    </row>
    <row r="350" spans="1:8" ht="14" x14ac:dyDescent="0.3">
      <c r="A350" s="24">
        <v>349</v>
      </c>
      <c r="B350" s="24">
        <v>0.30299999999999999</v>
      </c>
      <c r="C350" s="24">
        <v>0.56000000000000005</v>
      </c>
      <c r="D350" s="24">
        <v>0</v>
      </c>
      <c r="E350" s="24">
        <v>6</v>
      </c>
      <c r="F350" s="24">
        <v>33</v>
      </c>
      <c r="G350" s="25">
        <v>39</v>
      </c>
      <c r="H350" s="44">
        <f t="shared" si="5"/>
        <v>0.30299999999999999</v>
      </c>
    </row>
    <row r="351" spans="1:8" ht="14" x14ac:dyDescent="0.3">
      <c r="A351" s="24">
        <v>350</v>
      </c>
      <c r="B351" s="24">
        <v>0.2727</v>
      </c>
      <c r="C351" s="24">
        <v>0.56000000000000005</v>
      </c>
      <c r="D351" s="24">
        <v>0.1343</v>
      </c>
      <c r="E351" s="24">
        <v>4</v>
      </c>
      <c r="F351" s="24">
        <v>19</v>
      </c>
      <c r="G351" s="25">
        <v>23</v>
      </c>
      <c r="H351" s="44">
        <f t="shared" si="5"/>
        <v>0.2727</v>
      </c>
    </row>
    <row r="352" spans="1:8" ht="14" x14ac:dyDescent="0.3">
      <c r="A352" s="24">
        <v>351</v>
      </c>
      <c r="B352" s="24">
        <v>0.28789999999999999</v>
      </c>
      <c r="C352" s="24">
        <v>0.56000000000000005</v>
      </c>
      <c r="D352" s="24">
        <v>8.9599999999999999E-2</v>
      </c>
      <c r="E352" s="24">
        <v>3</v>
      </c>
      <c r="F352" s="24">
        <v>13</v>
      </c>
      <c r="G352" s="25">
        <v>16</v>
      </c>
      <c r="H352" s="44">
        <f t="shared" si="5"/>
        <v>0.28789999999999999</v>
      </c>
    </row>
    <row r="353" spans="1:8" ht="14" x14ac:dyDescent="0.3">
      <c r="A353" s="24">
        <v>352</v>
      </c>
      <c r="B353" s="24">
        <v>0.2727</v>
      </c>
      <c r="C353" s="24">
        <v>0.69</v>
      </c>
      <c r="D353" s="24">
        <v>0</v>
      </c>
      <c r="E353" s="24">
        <v>9</v>
      </c>
      <c r="F353" s="24">
        <v>6</v>
      </c>
      <c r="G353" s="25">
        <v>15</v>
      </c>
      <c r="H353" s="44">
        <f t="shared" si="5"/>
        <v>0.2727</v>
      </c>
    </row>
    <row r="354" spans="1:8" ht="14" x14ac:dyDescent="0.3">
      <c r="A354" s="24">
        <v>353</v>
      </c>
      <c r="B354" s="24">
        <v>0.2576</v>
      </c>
      <c r="C354" s="24">
        <v>0.56000000000000005</v>
      </c>
      <c r="D354" s="24">
        <v>0.16420000000000001</v>
      </c>
      <c r="E354" s="24">
        <v>0</v>
      </c>
      <c r="F354" s="24">
        <v>1</v>
      </c>
      <c r="G354" s="25">
        <v>1</v>
      </c>
      <c r="H354" s="44">
        <f t="shared" si="5"/>
        <v>0.2576</v>
      </c>
    </row>
    <row r="355" spans="1:8" ht="14" x14ac:dyDescent="0.3">
      <c r="A355" s="24">
        <v>354</v>
      </c>
      <c r="B355" s="24">
        <v>0.2576</v>
      </c>
      <c r="C355" s="24">
        <v>0.56000000000000005</v>
      </c>
      <c r="D355" s="24">
        <v>0.16420000000000001</v>
      </c>
      <c r="E355" s="24">
        <v>1</v>
      </c>
      <c r="F355" s="24">
        <v>1</v>
      </c>
      <c r="G355" s="25">
        <v>2</v>
      </c>
      <c r="H355" s="44">
        <f t="shared" si="5"/>
        <v>0.2576</v>
      </c>
    </row>
    <row r="356" spans="1:8" ht="14" x14ac:dyDescent="0.3">
      <c r="A356" s="24">
        <v>355</v>
      </c>
      <c r="B356" s="24">
        <v>0.2576</v>
      </c>
      <c r="C356" s="24">
        <v>0.56000000000000005</v>
      </c>
      <c r="D356" s="24">
        <v>0.16420000000000001</v>
      </c>
      <c r="E356" s="24">
        <v>0</v>
      </c>
      <c r="F356" s="24">
        <v>1</v>
      </c>
      <c r="G356" s="25">
        <v>1</v>
      </c>
      <c r="H356" s="44">
        <f t="shared" si="5"/>
        <v>0.2576</v>
      </c>
    </row>
    <row r="357" spans="1:8" ht="14" x14ac:dyDescent="0.3">
      <c r="A357" s="24">
        <v>356</v>
      </c>
      <c r="B357" s="24">
        <v>0.21210000000000001</v>
      </c>
      <c r="C357" s="24">
        <v>0.56000000000000005</v>
      </c>
      <c r="D357" s="24">
        <v>0.29849999999999999</v>
      </c>
      <c r="E357" s="24">
        <v>0</v>
      </c>
      <c r="F357" s="24">
        <v>3</v>
      </c>
      <c r="G357" s="25">
        <v>3</v>
      </c>
      <c r="H357" s="44">
        <f t="shared" si="5"/>
        <v>0.21210000000000001</v>
      </c>
    </row>
    <row r="358" spans="1:8" ht="14" x14ac:dyDescent="0.3">
      <c r="A358" s="24">
        <v>357</v>
      </c>
      <c r="B358" s="24">
        <v>0.21210000000000001</v>
      </c>
      <c r="C358" s="24">
        <v>0.55000000000000004</v>
      </c>
      <c r="D358" s="24">
        <v>0.28360000000000002</v>
      </c>
      <c r="E358" s="24">
        <v>0</v>
      </c>
      <c r="F358" s="24">
        <v>18</v>
      </c>
      <c r="G358" s="25">
        <v>18</v>
      </c>
      <c r="H358" s="44">
        <f t="shared" si="5"/>
        <v>0.21210000000000001</v>
      </c>
    </row>
    <row r="359" spans="1:8" ht="14" x14ac:dyDescent="0.3">
      <c r="A359" s="24">
        <v>358</v>
      </c>
      <c r="B359" s="24">
        <v>0.21210000000000001</v>
      </c>
      <c r="C359" s="24">
        <v>0.51</v>
      </c>
      <c r="D359" s="24">
        <v>0.25369999999999998</v>
      </c>
      <c r="E359" s="24">
        <v>3</v>
      </c>
      <c r="F359" s="24">
        <v>29</v>
      </c>
      <c r="G359" s="25">
        <v>32</v>
      </c>
      <c r="H359" s="44">
        <f t="shared" si="5"/>
        <v>0.21210000000000001</v>
      </c>
    </row>
    <row r="360" spans="1:8" ht="14" x14ac:dyDescent="0.3">
      <c r="A360" s="24">
        <v>359</v>
      </c>
      <c r="B360" s="24">
        <v>0.21210000000000001</v>
      </c>
      <c r="C360" s="24">
        <v>0.51</v>
      </c>
      <c r="D360" s="24">
        <v>0.28360000000000002</v>
      </c>
      <c r="E360" s="24">
        <v>8</v>
      </c>
      <c r="F360" s="24">
        <v>71</v>
      </c>
      <c r="G360" s="25">
        <v>79</v>
      </c>
      <c r="H360" s="44">
        <f t="shared" si="5"/>
        <v>0.21210000000000001</v>
      </c>
    </row>
    <row r="361" spans="1:8" ht="14" x14ac:dyDescent="0.3">
      <c r="A361" s="24">
        <v>360</v>
      </c>
      <c r="B361" s="24">
        <v>0.2273</v>
      </c>
      <c r="C361" s="24">
        <v>0.44</v>
      </c>
      <c r="D361" s="24">
        <v>0.25369999999999998</v>
      </c>
      <c r="E361" s="24">
        <v>23</v>
      </c>
      <c r="F361" s="24">
        <v>70</v>
      </c>
      <c r="G361" s="25">
        <v>93</v>
      </c>
      <c r="H361" s="44">
        <f t="shared" si="5"/>
        <v>0.2273</v>
      </c>
    </row>
    <row r="362" spans="1:8" ht="14" x14ac:dyDescent="0.3">
      <c r="A362" s="24">
        <v>361</v>
      </c>
      <c r="B362" s="24">
        <v>0.21210000000000001</v>
      </c>
      <c r="C362" s="24">
        <v>0.41</v>
      </c>
      <c r="D362" s="24">
        <v>0.28360000000000002</v>
      </c>
      <c r="E362" s="24">
        <v>29</v>
      </c>
      <c r="F362" s="24">
        <v>75</v>
      </c>
      <c r="G362" s="25">
        <v>104</v>
      </c>
      <c r="H362" s="44">
        <f t="shared" si="5"/>
        <v>0.21210000000000001</v>
      </c>
    </row>
    <row r="363" spans="1:8" ht="14" x14ac:dyDescent="0.3">
      <c r="A363" s="24">
        <v>362</v>
      </c>
      <c r="B363" s="24">
        <v>0.2273</v>
      </c>
      <c r="C363" s="24">
        <v>0.35</v>
      </c>
      <c r="D363" s="24">
        <v>0.29849999999999999</v>
      </c>
      <c r="E363" s="24">
        <v>23</v>
      </c>
      <c r="F363" s="24">
        <v>95</v>
      </c>
      <c r="G363" s="25">
        <v>118</v>
      </c>
      <c r="H363" s="44">
        <f t="shared" si="5"/>
        <v>0.2273</v>
      </c>
    </row>
    <row r="364" spans="1:8" ht="14" x14ac:dyDescent="0.3">
      <c r="A364" s="24">
        <v>363</v>
      </c>
      <c r="B364" s="24">
        <v>0.2727</v>
      </c>
      <c r="C364" s="24">
        <v>0.36</v>
      </c>
      <c r="D364" s="24">
        <v>0.25369999999999998</v>
      </c>
      <c r="E364" s="24">
        <v>22</v>
      </c>
      <c r="F364" s="24">
        <v>69</v>
      </c>
      <c r="G364" s="25">
        <v>91</v>
      </c>
      <c r="H364" s="44">
        <f t="shared" si="5"/>
        <v>0.2727</v>
      </c>
    </row>
    <row r="365" spans="1:8" ht="14" x14ac:dyDescent="0.3">
      <c r="A365" s="24">
        <v>364</v>
      </c>
      <c r="B365" s="24">
        <v>0.2424</v>
      </c>
      <c r="C365" s="24">
        <v>0.38</v>
      </c>
      <c r="D365" s="24">
        <v>0.25369999999999998</v>
      </c>
      <c r="E365" s="24">
        <v>35</v>
      </c>
      <c r="F365" s="24">
        <v>78</v>
      </c>
      <c r="G365" s="25">
        <v>113</v>
      </c>
      <c r="H365" s="44">
        <f t="shared" si="5"/>
        <v>0.2424</v>
      </c>
    </row>
    <row r="366" spans="1:8" ht="14" x14ac:dyDescent="0.3">
      <c r="A366" s="24">
        <v>365</v>
      </c>
      <c r="B366" s="24">
        <v>0.2273</v>
      </c>
      <c r="C366" s="24">
        <v>0.38</v>
      </c>
      <c r="D366" s="24">
        <v>0.22389999999999999</v>
      </c>
      <c r="E366" s="24">
        <v>22</v>
      </c>
      <c r="F366" s="24">
        <v>77</v>
      </c>
      <c r="G366" s="25">
        <v>99</v>
      </c>
      <c r="H366" s="44">
        <f t="shared" si="5"/>
        <v>0.2273</v>
      </c>
    </row>
    <row r="367" spans="1:8" ht="14" x14ac:dyDescent="0.3">
      <c r="A367" s="24">
        <v>366</v>
      </c>
      <c r="B367" s="24">
        <v>0.21210000000000001</v>
      </c>
      <c r="C367" s="24">
        <v>0.37</v>
      </c>
      <c r="D367" s="24">
        <v>0.25369999999999998</v>
      </c>
      <c r="E367" s="24">
        <v>23</v>
      </c>
      <c r="F367" s="24">
        <v>82</v>
      </c>
      <c r="G367" s="25">
        <v>105</v>
      </c>
      <c r="H367" s="44">
        <f t="shared" si="5"/>
        <v>0.21210000000000001</v>
      </c>
    </row>
    <row r="368" spans="1:8" ht="14" x14ac:dyDescent="0.3">
      <c r="A368" s="24">
        <v>367</v>
      </c>
      <c r="B368" s="24">
        <v>0.21210000000000001</v>
      </c>
      <c r="C368" s="24">
        <v>0.4</v>
      </c>
      <c r="D368" s="24">
        <v>0.16420000000000001</v>
      </c>
      <c r="E368" s="24">
        <v>11</v>
      </c>
      <c r="F368" s="24">
        <v>56</v>
      </c>
      <c r="G368" s="25">
        <v>67</v>
      </c>
      <c r="H368" s="44">
        <f t="shared" si="5"/>
        <v>0.21210000000000001</v>
      </c>
    </row>
    <row r="369" spans="1:8" ht="14" x14ac:dyDescent="0.3">
      <c r="A369" s="24">
        <v>368</v>
      </c>
      <c r="B369" s="24">
        <v>0.19700000000000001</v>
      </c>
      <c r="C369" s="24">
        <v>0.47</v>
      </c>
      <c r="D369" s="24">
        <v>0.1343</v>
      </c>
      <c r="E369" s="24">
        <v>14</v>
      </c>
      <c r="F369" s="24">
        <v>47</v>
      </c>
      <c r="G369" s="25">
        <v>61</v>
      </c>
      <c r="H369" s="44">
        <f t="shared" si="5"/>
        <v>0.19700000000000001</v>
      </c>
    </row>
    <row r="370" spans="1:8" ht="14" x14ac:dyDescent="0.3">
      <c r="A370" s="24">
        <v>369</v>
      </c>
      <c r="B370" s="24">
        <v>0.19700000000000001</v>
      </c>
      <c r="C370" s="24">
        <v>0.47</v>
      </c>
      <c r="D370" s="24">
        <v>0.16420000000000001</v>
      </c>
      <c r="E370" s="24">
        <v>7</v>
      </c>
      <c r="F370" s="24">
        <v>50</v>
      </c>
      <c r="G370" s="25">
        <v>57</v>
      </c>
      <c r="H370" s="44">
        <f t="shared" si="5"/>
        <v>0.19700000000000001</v>
      </c>
    </row>
    <row r="371" spans="1:8" ht="14" x14ac:dyDescent="0.3">
      <c r="A371" s="24">
        <v>370</v>
      </c>
      <c r="B371" s="24">
        <v>0.19700000000000001</v>
      </c>
      <c r="C371" s="24">
        <v>0.51</v>
      </c>
      <c r="D371" s="24">
        <v>0.16420000000000001</v>
      </c>
      <c r="E371" s="24">
        <v>6</v>
      </c>
      <c r="F371" s="24">
        <v>22</v>
      </c>
      <c r="G371" s="25">
        <v>28</v>
      </c>
      <c r="H371" s="44">
        <f t="shared" si="5"/>
        <v>0.19700000000000001</v>
      </c>
    </row>
    <row r="372" spans="1:8" ht="14" x14ac:dyDescent="0.3">
      <c r="A372" s="24">
        <v>371</v>
      </c>
      <c r="B372" s="24">
        <v>0.21210000000000001</v>
      </c>
      <c r="C372" s="24">
        <v>0.49</v>
      </c>
      <c r="D372" s="24">
        <v>0.1343</v>
      </c>
      <c r="E372" s="24">
        <v>2</v>
      </c>
      <c r="F372" s="24">
        <v>19</v>
      </c>
      <c r="G372" s="25">
        <v>21</v>
      </c>
      <c r="H372" s="44">
        <f t="shared" si="5"/>
        <v>0.21210000000000001</v>
      </c>
    </row>
    <row r="373" spans="1:8" ht="14" x14ac:dyDescent="0.3">
      <c r="A373" s="24">
        <v>372</v>
      </c>
      <c r="B373" s="24">
        <v>0.2273</v>
      </c>
      <c r="C373" s="24">
        <v>0.4</v>
      </c>
      <c r="D373" s="24">
        <v>0.1045</v>
      </c>
      <c r="E373" s="24">
        <v>0</v>
      </c>
      <c r="F373" s="24">
        <v>18</v>
      </c>
      <c r="G373" s="25">
        <v>18</v>
      </c>
      <c r="H373" s="44">
        <f t="shared" si="5"/>
        <v>0.2273</v>
      </c>
    </row>
    <row r="374" spans="1:8" ht="14" x14ac:dyDescent="0.3">
      <c r="A374" s="24">
        <v>373</v>
      </c>
      <c r="B374" s="24">
        <v>0.19700000000000001</v>
      </c>
      <c r="C374" s="24">
        <v>0.47</v>
      </c>
      <c r="D374" s="24">
        <v>0.22389999999999999</v>
      </c>
      <c r="E374" s="24">
        <v>1</v>
      </c>
      <c r="F374" s="24">
        <v>16</v>
      </c>
      <c r="G374" s="25">
        <v>17</v>
      </c>
      <c r="H374" s="44">
        <f t="shared" si="5"/>
        <v>0.19700000000000001</v>
      </c>
    </row>
    <row r="375" spans="1:8" ht="14" x14ac:dyDescent="0.3">
      <c r="A375" s="24">
        <v>374</v>
      </c>
      <c r="B375" s="24">
        <v>0.19700000000000001</v>
      </c>
      <c r="C375" s="24">
        <v>0.44</v>
      </c>
      <c r="D375" s="24">
        <v>0.19400000000000001</v>
      </c>
      <c r="E375" s="24">
        <v>1</v>
      </c>
      <c r="F375" s="24">
        <v>15</v>
      </c>
      <c r="G375" s="25">
        <v>16</v>
      </c>
      <c r="H375" s="44">
        <f t="shared" si="5"/>
        <v>0.19700000000000001</v>
      </c>
    </row>
    <row r="376" spans="1:8" ht="14" x14ac:dyDescent="0.3">
      <c r="A376" s="24">
        <v>375</v>
      </c>
      <c r="B376" s="24">
        <v>0.16669999999999999</v>
      </c>
      <c r="C376" s="24">
        <v>0.43</v>
      </c>
      <c r="D376" s="24">
        <v>0.25369999999999998</v>
      </c>
      <c r="E376" s="24">
        <v>0</v>
      </c>
      <c r="F376" s="24">
        <v>8</v>
      </c>
      <c r="G376" s="25">
        <v>8</v>
      </c>
      <c r="H376" s="44">
        <f t="shared" si="5"/>
        <v>0.16669999999999999</v>
      </c>
    </row>
    <row r="377" spans="1:8" ht="14" x14ac:dyDescent="0.3">
      <c r="A377" s="24">
        <v>376</v>
      </c>
      <c r="B377" s="24">
        <v>0.18179999999999999</v>
      </c>
      <c r="C377" s="24">
        <v>0.43</v>
      </c>
      <c r="D377" s="24">
        <v>0.19400000000000001</v>
      </c>
      <c r="E377" s="24">
        <v>0</v>
      </c>
      <c r="F377" s="24">
        <v>2</v>
      </c>
      <c r="G377" s="25">
        <v>2</v>
      </c>
      <c r="H377" s="44">
        <f t="shared" si="5"/>
        <v>0.18179999999999999</v>
      </c>
    </row>
    <row r="378" spans="1:8" ht="14" x14ac:dyDescent="0.3">
      <c r="A378" s="24">
        <v>377</v>
      </c>
      <c r="B378" s="24">
        <v>0.19700000000000001</v>
      </c>
      <c r="C378" s="24">
        <v>0.43</v>
      </c>
      <c r="D378" s="24">
        <v>0.1343</v>
      </c>
      <c r="E378" s="24">
        <v>1</v>
      </c>
      <c r="F378" s="24">
        <v>2</v>
      </c>
      <c r="G378" s="25">
        <v>3</v>
      </c>
      <c r="H378" s="44">
        <f t="shared" si="5"/>
        <v>0.19700000000000001</v>
      </c>
    </row>
    <row r="379" spans="1:8" ht="14" x14ac:dyDescent="0.3">
      <c r="A379" s="24">
        <v>378</v>
      </c>
      <c r="B379" s="24">
        <v>0.19700000000000001</v>
      </c>
      <c r="C379" s="24">
        <v>0.43</v>
      </c>
      <c r="D379" s="24">
        <v>0.16420000000000001</v>
      </c>
      <c r="E379" s="24">
        <v>0</v>
      </c>
      <c r="F379" s="24">
        <v>1</v>
      </c>
      <c r="G379" s="25">
        <v>1</v>
      </c>
      <c r="H379" s="44">
        <f t="shared" si="5"/>
        <v>0.19700000000000001</v>
      </c>
    </row>
    <row r="380" spans="1:8" ht="14" x14ac:dyDescent="0.3">
      <c r="A380" s="24">
        <v>379</v>
      </c>
      <c r="B380" s="24">
        <v>0.18179999999999999</v>
      </c>
      <c r="C380" s="24">
        <v>0.43</v>
      </c>
      <c r="D380" s="24">
        <v>0.19400000000000001</v>
      </c>
      <c r="E380" s="24">
        <v>0</v>
      </c>
      <c r="F380" s="24">
        <v>5</v>
      </c>
      <c r="G380" s="25">
        <v>5</v>
      </c>
      <c r="H380" s="44">
        <f t="shared" si="5"/>
        <v>0.18179999999999999</v>
      </c>
    </row>
    <row r="381" spans="1:8" ht="14" x14ac:dyDescent="0.3">
      <c r="A381" s="24">
        <v>380</v>
      </c>
      <c r="B381" s="24">
        <v>0.18179999999999999</v>
      </c>
      <c r="C381" s="24">
        <v>0.5</v>
      </c>
      <c r="D381" s="24">
        <v>0.1343</v>
      </c>
      <c r="E381" s="24">
        <v>4</v>
      </c>
      <c r="F381" s="24">
        <v>9</v>
      </c>
      <c r="G381" s="25">
        <v>13</v>
      </c>
      <c r="H381" s="44">
        <f t="shared" si="5"/>
        <v>0.18179999999999999</v>
      </c>
    </row>
    <row r="382" spans="1:8" ht="14" x14ac:dyDescent="0.3">
      <c r="A382" s="24">
        <v>381</v>
      </c>
      <c r="B382" s="24">
        <v>0.1515</v>
      </c>
      <c r="C382" s="24">
        <v>0.47</v>
      </c>
      <c r="D382" s="24">
        <v>0.22389999999999999</v>
      </c>
      <c r="E382" s="24">
        <v>3</v>
      </c>
      <c r="F382" s="24">
        <v>30</v>
      </c>
      <c r="G382" s="25">
        <v>33</v>
      </c>
      <c r="H382" s="44">
        <f t="shared" si="5"/>
        <v>0.1515</v>
      </c>
    </row>
    <row r="383" spans="1:8" ht="14" x14ac:dyDescent="0.3">
      <c r="A383" s="24">
        <v>382</v>
      </c>
      <c r="B383" s="24">
        <v>0.1515</v>
      </c>
      <c r="C383" s="24">
        <v>0.47</v>
      </c>
      <c r="D383" s="24">
        <v>0.22389999999999999</v>
      </c>
      <c r="E383" s="24">
        <v>8</v>
      </c>
      <c r="F383" s="24">
        <v>39</v>
      </c>
      <c r="G383" s="25">
        <v>47</v>
      </c>
      <c r="H383" s="44">
        <f t="shared" si="5"/>
        <v>0.1515</v>
      </c>
    </row>
    <row r="384" spans="1:8" ht="14" x14ac:dyDescent="0.3">
      <c r="A384" s="24">
        <v>383</v>
      </c>
      <c r="B384" s="24">
        <v>0.1515</v>
      </c>
      <c r="C384" s="24">
        <v>0.5</v>
      </c>
      <c r="D384" s="24">
        <v>0.25369999999999998</v>
      </c>
      <c r="E384" s="24">
        <v>7</v>
      </c>
      <c r="F384" s="24">
        <v>50</v>
      </c>
      <c r="G384" s="25">
        <v>57</v>
      </c>
      <c r="H384" s="44">
        <f t="shared" si="5"/>
        <v>0.1515</v>
      </c>
    </row>
    <row r="385" spans="1:8" ht="14" x14ac:dyDescent="0.3">
      <c r="A385" s="24">
        <v>384</v>
      </c>
      <c r="B385" s="24">
        <v>0.1515</v>
      </c>
      <c r="C385" s="24">
        <v>0.55000000000000004</v>
      </c>
      <c r="D385" s="24">
        <v>0.19400000000000001</v>
      </c>
      <c r="E385" s="24">
        <v>9</v>
      </c>
      <c r="F385" s="24">
        <v>55</v>
      </c>
      <c r="G385" s="25">
        <v>64</v>
      </c>
      <c r="H385" s="44">
        <f t="shared" si="5"/>
        <v>0.1515</v>
      </c>
    </row>
    <row r="386" spans="1:8" ht="14" x14ac:dyDescent="0.3">
      <c r="A386" s="24">
        <v>385</v>
      </c>
      <c r="B386" s="24">
        <v>0.19700000000000001</v>
      </c>
      <c r="C386" s="24">
        <v>0.47</v>
      </c>
      <c r="D386" s="24">
        <v>0.1343</v>
      </c>
      <c r="E386" s="24">
        <v>10</v>
      </c>
      <c r="F386" s="24">
        <v>70</v>
      </c>
      <c r="G386" s="25">
        <v>80</v>
      </c>
      <c r="H386" s="44">
        <f t="shared" ref="H386:H449" si="6">IF(ISBLANK(B386),0.197,B386)</f>
        <v>0.19700000000000001</v>
      </c>
    </row>
    <row r="387" spans="1:8" ht="14" x14ac:dyDescent="0.3">
      <c r="A387" s="24">
        <v>386</v>
      </c>
      <c r="B387" s="24">
        <v>0.19700000000000001</v>
      </c>
      <c r="C387" s="24">
        <v>0.47</v>
      </c>
      <c r="D387" s="24">
        <v>0.1343</v>
      </c>
      <c r="E387" s="24">
        <v>13</v>
      </c>
      <c r="F387" s="24">
        <v>80</v>
      </c>
      <c r="G387" s="25">
        <v>93</v>
      </c>
      <c r="H387" s="44">
        <f t="shared" si="6"/>
        <v>0.19700000000000001</v>
      </c>
    </row>
    <row r="388" spans="1:8" ht="14" x14ac:dyDescent="0.3">
      <c r="A388" s="24">
        <v>387</v>
      </c>
      <c r="B388" s="24">
        <v>0.21210000000000001</v>
      </c>
      <c r="C388" s="24">
        <v>0.43</v>
      </c>
      <c r="D388" s="24">
        <v>0.1045</v>
      </c>
      <c r="E388" s="24">
        <v>12</v>
      </c>
      <c r="F388" s="24">
        <v>74</v>
      </c>
      <c r="G388" s="25">
        <v>86</v>
      </c>
      <c r="H388" s="44">
        <f t="shared" si="6"/>
        <v>0.21210000000000001</v>
      </c>
    </row>
    <row r="389" spans="1:8" ht="14" x14ac:dyDescent="0.3">
      <c r="A389" s="24">
        <v>388</v>
      </c>
      <c r="B389" s="24">
        <v>0.21210000000000001</v>
      </c>
      <c r="C389" s="24">
        <v>0.47</v>
      </c>
      <c r="D389" s="24">
        <v>0.16420000000000001</v>
      </c>
      <c r="E389" s="24">
        <v>21</v>
      </c>
      <c r="F389" s="24">
        <v>72</v>
      </c>
      <c r="G389" s="25">
        <v>93</v>
      </c>
      <c r="H389" s="44">
        <f t="shared" si="6"/>
        <v>0.21210000000000001</v>
      </c>
    </row>
    <row r="390" spans="1:8" ht="14" x14ac:dyDescent="0.3">
      <c r="A390" s="24">
        <v>389</v>
      </c>
      <c r="B390" s="24">
        <v>0.21210000000000001</v>
      </c>
      <c r="C390" s="24">
        <v>0.47</v>
      </c>
      <c r="D390" s="24">
        <v>0.16420000000000001</v>
      </c>
      <c r="E390" s="24">
        <v>6</v>
      </c>
      <c r="F390" s="24">
        <v>76</v>
      </c>
      <c r="G390" s="25">
        <v>82</v>
      </c>
      <c r="H390" s="44">
        <f t="shared" si="6"/>
        <v>0.21210000000000001</v>
      </c>
    </row>
    <row r="391" spans="1:8" ht="14" x14ac:dyDescent="0.3">
      <c r="A391" s="24">
        <v>390</v>
      </c>
      <c r="B391" s="24">
        <v>0.19700000000000001</v>
      </c>
      <c r="C391" s="24">
        <v>0.51</v>
      </c>
      <c r="D391" s="24">
        <v>0.19400000000000001</v>
      </c>
      <c r="E391" s="24">
        <v>4</v>
      </c>
      <c r="F391" s="24">
        <v>67</v>
      </c>
      <c r="G391" s="25">
        <v>71</v>
      </c>
      <c r="H391" s="44">
        <f t="shared" si="6"/>
        <v>0.19700000000000001</v>
      </c>
    </row>
    <row r="392" spans="1:8" ht="14" x14ac:dyDescent="0.3">
      <c r="A392" s="24">
        <v>391</v>
      </c>
      <c r="B392" s="24">
        <v>0.16669999999999999</v>
      </c>
      <c r="C392" s="24">
        <v>0.55000000000000004</v>
      </c>
      <c r="D392" s="24">
        <v>0.25369999999999998</v>
      </c>
      <c r="E392" s="24">
        <v>7</v>
      </c>
      <c r="F392" s="24">
        <v>85</v>
      </c>
      <c r="G392" s="25">
        <v>92</v>
      </c>
      <c r="H392" s="44">
        <f t="shared" si="6"/>
        <v>0.16669999999999999</v>
      </c>
    </row>
    <row r="393" spans="1:8" ht="14" x14ac:dyDescent="0.3">
      <c r="A393" s="24">
        <v>392</v>
      </c>
      <c r="B393" s="24">
        <v>0.18179999999999999</v>
      </c>
      <c r="C393" s="24">
        <v>0.59</v>
      </c>
      <c r="D393" s="24">
        <v>0.19400000000000001</v>
      </c>
      <c r="E393" s="24">
        <v>2</v>
      </c>
      <c r="F393" s="24">
        <v>58</v>
      </c>
      <c r="G393" s="25">
        <v>60</v>
      </c>
      <c r="H393" s="44">
        <f t="shared" si="6"/>
        <v>0.18179999999999999</v>
      </c>
    </row>
    <row r="394" spans="1:8" ht="14" x14ac:dyDescent="0.3">
      <c r="A394" s="24">
        <v>393</v>
      </c>
      <c r="B394" s="24">
        <v>0.1515</v>
      </c>
      <c r="C394" s="24">
        <v>0.8</v>
      </c>
      <c r="D394" s="24">
        <v>0.19400000000000001</v>
      </c>
      <c r="E394" s="24">
        <v>4</v>
      </c>
      <c r="F394" s="24">
        <v>29</v>
      </c>
      <c r="G394" s="25">
        <v>33</v>
      </c>
      <c r="H394" s="44">
        <f t="shared" si="6"/>
        <v>0.1515</v>
      </c>
    </row>
    <row r="395" spans="1:8" ht="14" x14ac:dyDescent="0.3">
      <c r="A395" s="24">
        <v>394</v>
      </c>
      <c r="B395" s="24">
        <v>0.1515</v>
      </c>
      <c r="C395" s="24">
        <v>0.8</v>
      </c>
      <c r="D395" s="24">
        <v>0.19400000000000001</v>
      </c>
      <c r="E395" s="24">
        <v>3</v>
      </c>
      <c r="F395" s="24">
        <v>24</v>
      </c>
      <c r="G395" s="25">
        <v>27</v>
      </c>
      <c r="H395" s="44">
        <f t="shared" si="6"/>
        <v>0.1515</v>
      </c>
    </row>
    <row r="396" spans="1:8" ht="14" x14ac:dyDescent="0.3">
      <c r="A396" s="24">
        <v>395</v>
      </c>
      <c r="B396" s="24">
        <v>0.1212</v>
      </c>
      <c r="C396" s="24">
        <v>0.93</v>
      </c>
      <c r="D396" s="24">
        <v>0.25369999999999998</v>
      </c>
      <c r="E396" s="24">
        <v>0</v>
      </c>
      <c r="F396" s="24">
        <v>13</v>
      </c>
      <c r="G396" s="25">
        <v>13</v>
      </c>
      <c r="H396" s="44">
        <f t="shared" si="6"/>
        <v>0.1212</v>
      </c>
    </row>
    <row r="397" spans="1:8" ht="14" x14ac:dyDescent="0.3">
      <c r="A397" s="24">
        <v>396</v>
      </c>
      <c r="B397" s="24">
        <v>0.13639999999999999</v>
      </c>
      <c r="C397" s="24">
        <v>0.86</v>
      </c>
      <c r="D397" s="24">
        <v>0.28360000000000002</v>
      </c>
      <c r="E397" s="24">
        <v>1</v>
      </c>
      <c r="F397" s="24">
        <v>3</v>
      </c>
      <c r="G397" s="25">
        <v>4</v>
      </c>
      <c r="H397" s="44">
        <f t="shared" si="6"/>
        <v>0.13639999999999999</v>
      </c>
    </row>
    <row r="398" spans="1:8" ht="14" x14ac:dyDescent="0.3">
      <c r="A398" s="24">
        <v>397</v>
      </c>
      <c r="B398" s="24">
        <v>0.18179999999999999</v>
      </c>
      <c r="C398" s="24">
        <v>0.86</v>
      </c>
      <c r="D398" s="24">
        <v>0.32840000000000003</v>
      </c>
      <c r="E398" s="24">
        <v>0</v>
      </c>
      <c r="F398" s="24">
        <v>3</v>
      </c>
      <c r="G398" s="25">
        <v>3</v>
      </c>
      <c r="H398" s="44">
        <f t="shared" si="6"/>
        <v>0.18179999999999999</v>
      </c>
    </row>
    <row r="399" spans="1:8" ht="14" x14ac:dyDescent="0.3">
      <c r="A399" s="24">
        <v>398</v>
      </c>
      <c r="B399" s="24">
        <v>0.19700000000000001</v>
      </c>
      <c r="C399" s="24">
        <v>0.86</v>
      </c>
      <c r="D399" s="24">
        <v>0.22389999999999999</v>
      </c>
      <c r="E399" s="24">
        <v>0</v>
      </c>
      <c r="F399" s="24">
        <v>22</v>
      </c>
      <c r="G399" s="25">
        <v>22</v>
      </c>
      <c r="H399" s="44">
        <f t="shared" si="6"/>
        <v>0.19700000000000001</v>
      </c>
    </row>
    <row r="400" spans="1:8" ht="14" x14ac:dyDescent="0.3">
      <c r="A400" s="24">
        <v>399</v>
      </c>
      <c r="B400" s="24">
        <v>0.2273</v>
      </c>
      <c r="C400" s="24">
        <v>0.8</v>
      </c>
      <c r="D400" s="24">
        <v>0.16420000000000001</v>
      </c>
      <c r="E400" s="24">
        <v>2</v>
      </c>
      <c r="F400" s="24">
        <v>26</v>
      </c>
      <c r="G400" s="25">
        <v>28</v>
      </c>
      <c r="H400" s="44">
        <f t="shared" si="6"/>
        <v>0.2273</v>
      </c>
    </row>
    <row r="401" spans="1:8" ht="14" x14ac:dyDescent="0.3">
      <c r="A401" s="24">
        <v>400</v>
      </c>
      <c r="B401" s="24">
        <v>0.2273</v>
      </c>
      <c r="C401" s="24">
        <v>0.87</v>
      </c>
      <c r="D401" s="24">
        <v>0.16420000000000001</v>
      </c>
      <c r="E401" s="24">
        <v>3</v>
      </c>
      <c r="F401" s="24">
        <v>32</v>
      </c>
      <c r="G401" s="25">
        <v>35</v>
      </c>
      <c r="H401" s="44">
        <f t="shared" si="6"/>
        <v>0.2273</v>
      </c>
    </row>
    <row r="402" spans="1:8" ht="14" x14ac:dyDescent="0.3">
      <c r="A402" s="24">
        <v>401</v>
      </c>
      <c r="B402" s="24">
        <v>0.2273</v>
      </c>
      <c r="C402" s="24">
        <v>0.87</v>
      </c>
      <c r="D402" s="24">
        <v>0.19400000000000001</v>
      </c>
      <c r="E402" s="24">
        <v>0</v>
      </c>
      <c r="F402" s="24">
        <v>61</v>
      </c>
      <c r="G402" s="25">
        <v>61</v>
      </c>
      <c r="H402" s="44">
        <f t="shared" si="6"/>
        <v>0.2273</v>
      </c>
    </row>
    <row r="403" spans="1:8" ht="14" x14ac:dyDescent="0.3">
      <c r="A403" s="24">
        <v>402</v>
      </c>
      <c r="B403" s="24">
        <v>0.2273</v>
      </c>
      <c r="C403" s="24">
        <v>0.82</v>
      </c>
      <c r="D403" s="24">
        <v>0.19400000000000001</v>
      </c>
      <c r="E403" s="24">
        <v>1</v>
      </c>
      <c r="F403" s="24">
        <v>124</v>
      </c>
      <c r="G403" s="25">
        <v>125</v>
      </c>
      <c r="H403" s="44">
        <f t="shared" si="6"/>
        <v>0.2273</v>
      </c>
    </row>
    <row r="404" spans="1:8" ht="14" x14ac:dyDescent="0.3">
      <c r="A404" s="24">
        <v>403</v>
      </c>
      <c r="B404" s="24">
        <v>0.2273</v>
      </c>
      <c r="C404" s="24">
        <v>0.8</v>
      </c>
      <c r="D404" s="24">
        <v>0.16420000000000001</v>
      </c>
      <c r="E404" s="24">
        <v>1</v>
      </c>
      <c r="F404" s="24">
        <v>132</v>
      </c>
      <c r="G404" s="25">
        <v>133</v>
      </c>
      <c r="H404" s="44">
        <f t="shared" si="6"/>
        <v>0.2273</v>
      </c>
    </row>
    <row r="405" spans="1:8" ht="14" x14ac:dyDescent="0.3">
      <c r="A405" s="24">
        <v>404</v>
      </c>
      <c r="B405" s="24">
        <v>0.2273</v>
      </c>
      <c r="C405" s="24">
        <v>0.8</v>
      </c>
      <c r="D405" s="24">
        <v>0.1343</v>
      </c>
      <c r="E405" s="24">
        <v>1</v>
      </c>
      <c r="F405" s="24">
        <v>98</v>
      </c>
      <c r="G405" s="25">
        <v>99</v>
      </c>
      <c r="H405" s="44">
        <f t="shared" si="6"/>
        <v>0.2273</v>
      </c>
    </row>
    <row r="406" spans="1:8" ht="14" x14ac:dyDescent="0.3">
      <c r="A406" s="24">
        <v>405</v>
      </c>
      <c r="B406" s="24">
        <v>0.2727</v>
      </c>
      <c r="C406" s="24">
        <v>0.87</v>
      </c>
      <c r="D406" s="24">
        <v>0</v>
      </c>
      <c r="E406" s="24">
        <v>0</v>
      </c>
      <c r="F406" s="24">
        <v>83</v>
      </c>
      <c r="G406" s="25">
        <v>83</v>
      </c>
      <c r="H406" s="44">
        <f t="shared" si="6"/>
        <v>0.2727</v>
      </c>
    </row>
    <row r="407" spans="1:8" ht="14" x14ac:dyDescent="0.3">
      <c r="A407" s="24">
        <v>406</v>
      </c>
      <c r="B407" s="24">
        <v>0.2424</v>
      </c>
      <c r="C407" s="24">
        <v>0.93</v>
      </c>
      <c r="D407" s="24">
        <v>0.1045</v>
      </c>
      <c r="E407" s="24">
        <v>0</v>
      </c>
      <c r="F407" s="24">
        <v>41</v>
      </c>
      <c r="G407" s="25">
        <v>41</v>
      </c>
      <c r="H407" s="44">
        <f t="shared" si="6"/>
        <v>0.2424</v>
      </c>
    </row>
    <row r="408" spans="1:8" ht="14" x14ac:dyDescent="0.3">
      <c r="A408" s="24">
        <v>407</v>
      </c>
      <c r="B408" s="24">
        <v>0.2576</v>
      </c>
      <c r="C408" s="24">
        <v>0.93</v>
      </c>
      <c r="D408" s="24">
        <v>8.9599999999999999E-2</v>
      </c>
      <c r="E408" s="24">
        <v>0</v>
      </c>
      <c r="F408" s="24">
        <v>33</v>
      </c>
      <c r="G408" s="25">
        <v>33</v>
      </c>
      <c r="H408" s="44">
        <f t="shared" si="6"/>
        <v>0.2576</v>
      </c>
    </row>
    <row r="409" spans="1:8" ht="14" x14ac:dyDescent="0.3">
      <c r="A409" s="24">
        <v>408</v>
      </c>
      <c r="B409" s="24">
        <v>0.2727</v>
      </c>
      <c r="C409" s="24">
        <v>0.93</v>
      </c>
      <c r="D409" s="24">
        <v>0</v>
      </c>
      <c r="E409" s="24">
        <v>1</v>
      </c>
      <c r="F409" s="24">
        <v>19</v>
      </c>
      <c r="G409" s="25">
        <v>20</v>
      </c>
      <c r="H409" s="44">
        <f t="shared" si="6"/>
        <v>0.2727</v>
      </c>
    </row>
    <row r="410" spans="1:8" ht="14" x14ac:dyDescent="0.3">
      <c r="A410" s="24">
        <v>409</v>
      </c>
      <c r="B410" s="24">
        <v>0.2727</v>
      </c>
      <c r="C410" s="24">
        <v>0.93</v>
      </c>
      <c r="D410" s="24">
        <v>0</v>
      </c>
      <c r="E410" s="24">
        <v>0</v>
      </c>
      <c r="F410" s="24">
        <v>3</v>
      </c>
      <c r="G410" s="25">
        <v>3</v>
      </c>
      <c r="H410" s="44">
        <f t="shared" si="6"/>
        <v>0.2727</v>
      </c>
    </row>
    <row r="411" spans="1:8" ht="14" x14ac:dyDescent="0.3">
      <c r="A411" s="24">
        <v>410</v>
      </c>
      <c r="B411" s="24">
        <v>0.2273</v>
      </c>
      <c r="C411" s="24">
        <v>0.93</v>
      </c>
      <c r="D411" s="24">
        <v>0.1343</v>
      </c>
      <c r="E411" s="24">
        <v>1</v>
      </c>
      <c r="F411" s="24">
        <v>6</v>
      </c>
      <c r="G411" s="25">
        <v>7</v>
      </c>
      <c r="H411" s="44">
        <f t="shared" si="6"/>
        <v>0.2273</v>
      </c>
    </row>
    <row r="412" spans="1:8" ht="14" x14ac:dyDescent="0.3">
      <c r="A412" s="24">
        <v>411</v>
      </c>
      <c r="B412" s="24">
        <v>0.2273</v>
      </c>
      <c r="C412" s="24">
        <v>0.93</v>
      </c>
      <c r="D412" s="24">
        <v>0.1343</v>
      </c>
      <c r="E412" s="24">
        <v>0</v>
      </c>
      <c r="F412" s="24">
        <v>3</v>
      </c>
      <c r="G412" s="25">
        <v>3</v>
      </c>
      <c r="H412" s="44">
        <f t="shared" si="6"/>
        <v>0.2273</v>
      </c>
    </row>
    <row r="413" spans="1:8" ht="14" x14ac:dyDescent="0.3">
      <c r="A413" s="24">
        <v>412</v>
      </c>
      <c r="B413" s="24">
        <v>0.2273</v>
      </c>
      <c r="C413" s="24">
        <v>0.93</v>
      </c>
      <c r="D413" s="24">
        <v>0.1343</v>
      </c>
      <c r="E413" s="24">
        <v>1</v>
      </c>
      <c r="F413" s="24">
        <v>1</v>
      </c>
      <c r="G413" s="25">
        <v>2</v>
      </c>
      <c r="H413" s="44">
        <f t="shared" si="6"/>
        <v>0.2273</v>
      </c>
    </row>
    <row r="414" spans="1:8" ht="14" x14ac:dyDescent="0.3">
      <c r="A414" s="24">
        <v>413</v>
      </c>
      <c r="B414" s="24">
        <v>0.2576</v>
      </c>
      <c r="C414" s="24">
        <v>0.93</v>
      </c>
      <c r="D414" s="24">
        <v>8.9599999999999999E-2</v>
      </c>
      <c r="E414" s="24">
        <v>0</v>
      </c>
      <c r="F414" s="24">
        <v>7</v>
      </c>
      <c r="G414" s="25">
        <v>7</v>
      </c>
      <c r="H414" s="44">
        <f t="shared" si="6"/>
        <v>0.2576</v>
      </c>
    </row>
    <row r="415" spans="1:8" ht="14" x14ac:dyDescent="0.3">
      <c r="A415" s="24">
        <v>414</v>
      </c>
      <c r="B415" s="24">
        <v>0.2576</v>
      </c>
      <c r="C415" s="24">
        <v>0.93</v>
      </c>
      <c r="D415" s="24">
        <v>8.9599999999999999E-2</v>
      </c>
      <c r="E415" s="24">
        <v>0</v>
      </c>
      <c r="F415" s="24">
        <v>32</v>
      </c>
      <c r="G415" s="25">
        <v>32</v>
      </c>
      <c r="H415" s="44">
        <f t="shared" si="6"/>
        <v>0.2576</v>
      </c>
    </row>
    <row r="416" spans="1:8" ht="14" x14ac:dyDescent="0.3">
      <c r="A416" s="24">
        <v>415</v>
      </c>
      <c r="B416" s="24">
        <v>0.2576</v>
      </c>
      <c r="C416" s="24">
        <v>0.92</v>
      </c>
      <c r="D416" s="24">
        <v>0.1045</v>
      </c>
      <c r="E416" s="24">
        <v>1</v>
      </c>
      <c r="F416" s="24">
        <v>89</v>
      </c>
      <c r="G416" s="25">
        <v>90</v>
      </c>
      <c r="H416" s="44">
        <f t="shared" si="6"/>
        <v>0.2576</v>
      </c>
    </row>
    <row r="417" spans="1:8" ht="14" x14ac:dyDescent="0.3">
      <c r="A417" s="24">
        <v>416</v>
      </c>
      <c r="B417" s="24">
        <v>0.2576</v>
      </c>
      <c r="C417" s="24">
        <v>0.93</v>
      </c>
      <c r="D417" s="24">
        <v>0.1045</v>
      </c>
      <c r="E417" s="24">
        <v>1</v>
      </c>
      <c r="F417" s="24">
        <v>196</v>
      </c>
      <c r="G417" s="25">
        <v>197</v>
      </c>
      <c r="H417" s="44">
        <f t="shared" si="6"/>
        <v>0.2576</v>
      </c>
    </row>
    <row r="418" spans="1:8" ht="14" x14ac:dyDescent="0.3">
      <c r="A418" s="24">
        <v>417</v>
      </c>
      <c r="B418" s="24">
        <v>0.2576</v>
      </c>
      <c r="C418" s="24">
        <v>0.93</v>
      </c>
      <c r="D418" s="24">
        <v>0.1045</v>
      </c>
      <c r="E418" s="24">
        <v>2</v>
      </c>
      <c r="F418" s="24">
        <v>107</v>
      </c>
      <c r="G418" s="25">
        <v>109</v>
      </c>
      <c r="H418" s="44">
        <f t="shared" si="6"/>
        <v>0.2576</v>
      </c>
    </row>
    <row r="419" spans="1:8" ht="14" x14ac:dyDescent="0.3">
      <c r="A419" s="24">
        <v>418</v>
      </c>
      <c r="B419" s="24">
        <v>0.2727</v>
      </c>
      <c r="C419" s="24">
        <v>0.93</v>
      </c>
      <c r="D419" s="24">
        <v>0.1343</v>
      </c>
      <c r="E419" s="24">
        <v>1</v>
      </c>
      <c r="F419" s="24">
        <v>46</v>
      </c>
      <c r="G419" s="25">
        <v>47</v>
      </c>
      <c r="H419" s="44">
        <f t="shared" si="6"/>
        <v>0.2727</v>
      </c>
    </row>
    <row r="420" spans="1:8" ht="14" x14ac:dyDescent="0.3">
      <c r="A420" s="24">
        <v>419</v>
      </c>
      <c r="B420" s="24">
        <v>0.30299999999999999</v>
      </c>
      <c r="C420" s="24">
        <v>0.87</v>
      </c>
      <c r="D420" s="24">
        <v>8.9599999999999999E-2</v>
      </c>
      <c r="E420" s="24">
        <v>5</v>
      </c>
      <c r="F420" s="24">
        <v>47</v>
      </c>
      <c r="G420" s="25">
        <v>52</v>
      </c>
      <c r="H420" s="44">
        <f t="shared" si="6"/>
        <v>0.30299999999999999</v>
      </c>
    </row>
    <row r="421" spans="1:8" ht="14" x14ac:dyDescent="0.3">
      <c r="A421" s="24">
        <v>420</v>
      </c>
      <c r="B421" s="24">
        <v>0.31819999999999998</v>
      </c>
      <c r="C421" s="24">
        <v>0.81</v>
      </c>
      <c r="D421" s="24">
        <v>8.9599999999999999E-2</v>
      </c>
      <c r="E421" s="24">
        <v>5</v>
      </c>
      <c r="F421" s="24">
        <v>65</v>
      </c>
      <c r="G421" s="25">
        <v>70</v>
      </c>
      <c r="H421" s="44">
        <f t="shared" si="6"/>
        <v>0.31819999999999998</v>
      </c>
    </row>
    <row r="422" spans="1:8" ht="14" x14ac:dyDescent="0.3">
      <c r="A422" s="24">
        <v>421</v>
      </c>
      <c r="B422" s="24">
        <v>0.40910000000000002</v>
      </c>
      <c r="C422" s="24">
        <v>0.62</v>
      </c>
      <c r="D422" s="24">
        <v>0.28360000000000002</v>
      </c>
      <c r="E422" s="24">
        <v>11</v>
      </c>
      <c r="F422" s="24">
        <v>67</v>
      </c>
      <c r="G422" s="25">
        <v>78</v>
      </c>
      <c r="H422" s="44">
        <f t="shared" si="6"/>
        <v>0.40910000000000002</v>
      </c>
    </row>
    <row r="423" spans="1:8" ht="14" x14ac:dyDescent="0.3">
      <c r="A423" s="24">
        <v>422</v>
      </c>
      <c r="B423" s="24">
        <v>0.40910000000000002</v>
      </c>
      <c r="C423" s="24">
        <v>0.57999999999999996</v>
      </c>
      <c r="D423" s="24">
        <v>0.25369999999999998</v>
      </c>
      <c r="E423" s="24">
        <v>7</v>
      </c>
      <c r="F423" s="24">
        <v>68</v>
      </c>
      <c r="G423" s="25">
        <v>75</v>
      </c>
      <c r="H423" s="44">
        <f t="shared" si="6"/>
        <v>0.40910000000000002</v>
      </c>
    </row>
    <row r="424" spans="1:8" ht="14" x14ac:dyDescent="0.3">
      <c r="A424" s="24">
        <v>423</v>
      </c>
      <c r="B424" s="24">
        <v>0.40910000000000002</v>
      </c>
      <c r="C424" s="24">
        <v>0.54</v>
      </c>
      <c r="D424" s="24">
        <v>0.28360000000000002</v>
      </c>
      <c r="E424" s="24">
        <v>4</v>
      </c>
      <c r="F424" s="24">
        <v>78</v>
      </c>
      <c r="G424" s="25">
        <v>82</v>
      </c>
      <c r="H424" s="44">
        <f t="shared" si="6"/>
        <v>0.40910000000000002</v>
      </c>
    </row>
    <row r="425" spans="1:8" ht="14" x14ac:dyDescent="0.3">
      <c r="A425" s="24">
        <v>424</v>
      </c>
      <c r="B425" s="24">
        <v>0.39389999999999997</v>
      </c>
      <c r="C425" s="24">
        <v>0.57999999999999996</v>
      </c>
      <c r="D425" s="24">
        <v>0.3881</v>
      </c>
      <c r="E425" s="24">
        <v>10</v>
      </c>
      <c r="F425" s="24">
        <v>94</v>
      </c>
      <c r="G425" s="25">
        <v>104</v>
      </c>
      <c r="H425" s="44">
        <f t="shared" si="6"/>
        <v>0.39389999999999997</v>
      </c>
    </row>
    <row r="426" spans="1:8" ht="14" x14ac:dyDescent="0.3">
      <c r="A426" s="24">
        <v>425</v>
      </c>
      <c r="B426" s="24">
        <v>0.33329999999999999</v>
      </c>
      <c r="C426" s="24">
        <v>0.56999999999999995</v>
      </c>
      <c r="D426" s="24">
        <v>0.32840000000000003</v>
      </c>
      <c r="E426" s="24">
        <v>7</v>
      </c>
      <c r="F426" s="24">
        <v>190</v>
      </c>
      <c r="G426" s="25">
        <v>197</v>
      </c>
      <c r="H426" s="44">
        <f t="shared" si="6"/>
        <v>0.33329999999999999</v>
      </c>
    </row>
    <row r="427" spans="1:8" ht="14" x14ac:dyDescent="0.3">
      <c r="A427" s="24">
        <v>426</v>
      </c>
      <c r="B427" s="24">
        <v>0.31819999999999998</v>
      </c>
      <c r="C427" s="24">
        <v>0.61</v>
      </c>
      <c r="D427" s="24">
        <v>0.28360000000000002</v>
      </c>
      <c r="E427" s="24">
        <v>5</v>
      </c>
      <c r="F427" s="24">
        <v>156</v>
      </c>
      <c r="G427" s="25">
        <v>161</v>
      </c>
      <c r="H427" s="44">
        <f t="shared" si="6"/>
        <v>0.31819999999999998</v>
      </c>
    </row>
    <row r="428" spans="1:8" ht="14" x14ac:dyDescent="0.3">
      <c r="A428" s="24">
        <v>427</v>
      </c>
      <c r="B428" s="24">
        <v>0.28789999999999999</v>
      </c>
      <c r="C428" s="24">
        <v>0.56999999999999995</v>
      </c>
      <c r="D428" s="24">
        <v>0.41789999999999999</v>
      </c>
      <c r="E428" s="24">
        <v>4</v>
      </c>
      <c r="F428" s="24">
        <v>108</v>
      </c>
      <c r="G428" s="25">
        <v>112</v>
      </c>
      <c r="H428" s="44">
        <f t="shared" si="6"/>
        <v>0.28789999999999999</v>
      </c>
    </row>
    <row r="429" spans="1:8" ht="14" x14ac:dyDescent="0.3">
      <c r="A429" s="24">
        <v>428</v>
      </c>
      <c r="B429" s="24">
        <v>0.30299999999999999</v>
      </c>
      <c r="C429" s="24">
        <v>0.49</v>
      </c>
      <c r="D429" s="24">
        <v>0.29849999999999999</v>
      </c>
      <c r="E429" s="24">
        <v>2</v>
      </c>
      <c r="F429" s="24">
        <v>74</v>
      </c>
      <c r="G429" s="25">
        <v>76</v>
      </c>
      <c r="H429" s="44">
        <f t="shared" si="6"/>
        <v>0.30299999999999999</v>
      </c>
    </row>
    <row r="430" spans="1:8" ht="14" x14ac:dyDescent="0.3">
      <c r="A430" s="24">
        <v>429</v>
      </c>
      <c r="B430" s="24">
        <v>0.28789999999999999</v>
      </c>
      <c r="C430" s="24">
        <v>0.49</v>
      </c>
      <c r="D430" s="24">
        <v>0.41789999999999999</v>
      </c>
      <c r="E430" s="24">
        <v>4</v>
      </c>
      <c r="F430" s="24">
        <v>55</v>
      </c>
      <c r="G430" s="25">
        <v>59</v>
      </c>
      <c r="H430" s="44">
        <f t="shared" si="6"/>
        <v>0.28789999999999999</v>
      </c>
    </row>
    <row r="431" spans="1:8" ht="14" x14ac:dyDescent="0.3">
      <c r="A431" s="24">
        <v>430</v>
      </c>
      <c r="B431" s="24">
        <v>0.30299999999999999</v>
      </c>
      <c r="C431" s="24">
        <v>0.52</v>
      </c>
      <c r="D431" s="24">
        <v>0.16420000000000001</v>
      </c>
      <c r="E431" s="24">
        <v>6</v>
      </c>
      <c r="F431" s="24">
        <v>53</v>
      </c>
      <c r="G431" s="25">
        <v>59</v>
      </c>
      <c r="H431" s="44">
        <f t="shared" si="6"/>
        <v>0.30299999999999999</v>
      </c>
    </row>
    <row r="432" spans="1:8" ht="14" x14ac:dyDescent="0.3">
      <c r="A432" s="24">
        <v>431</v>
      </c>
      <c r="B432" s="24">
        <v>0.2727</v>
      </c>
      <c r="C432" s="24">
        <v>0.52</v>
      </c>
      <c r="D432" s="24">
        <v>0.4627</v>
      </c>
      <c r="E432" s="24">
        <v>1</v>
      </c>
      <c r="F432" s="24">
        <v>27</v>
      </c>
      <c r="G432" s="25">
        <v>28</v>
      </c>
      <c r="H432" s="44">
        <f t="shared" si="6"/>
        <v>0.2727</v>
      </c>
    </row>
    <row r="433" spans="1:8" ht="14" x14ac:dyDescent="0.3">
      <c r="A433" s="24">
        <v>432</v>
      </c>
      <c r="B433" s="24">
        <v>0.2273</v>
      </c>
      <c r="C433" s="24">
        <v>0.56000000000000005</v>
      </c>
      <c r="D433" s="24">
        <v>0.3881</v>
      </c>
      <c r="E433" s="24">
        <v>5</v>
      </c>
      <c r="F433" s="24">
        <v>8</v>
      </c>
      <c r="G433" s="25">
        <v>13</v>
      </c>
      <c r="H433" s="44">
        <f t="shared" si="6"/>
        <v>0.2273</v>
      </c>
    </row>
    <row r="434" spans="1:8" ht="14" x14ac:dyDescent="0.3">
      <c r="A434" s="24">
        <v>433</v>
      </c>
      <c r="B434" s="24">
        <v>0.2727</v>
      </c>
      <c r="C434" s="24">
        <v>0.56000000000000005</v>
      </c>
      <c r="D434" s="24">
        <v>0</v>
      </c>
      <c r="E434" s="24">
        <v>2</v>
      </c>
      <c r="F434" s="24">
        <v>3</v>
      </c>
      <c r="G434" s="25">
        <v>5</v>
      </c>
      <c r="H434" s="44">
        <f t="shared" si="6"/>
        <v>0.2727</v>
      </c>
    </row>
    <row r="435" spans="1:8" ht="14" x14ac:dyDescent="0.3">
      <c r="A435" s="24">
        <v>434</v>
      </c>
      <c r="B435" s="24">
        <v>0.2727</v>
      </c>
      <c r="C435" s="24">
        <v>0.56000000000000005</v>
      </c>
      <c r="D435" s="24">
        <v>0</v>
      </c>
      <c r="E435" s="24">
        <v>0</v>
      </c>
      <c r="F435" s="24">
        <v>2</v>
      </c>
      <c r="G435" s="25">
        <v>2</v>
      </c>
      <c r="H435" s="44">
        <f t="shared" si="6"/>
        <v>0.2727</v>
      </c>
    </row>
    <row r="436" spans="1:8" ht="14" x14ac:dyDescent="0.3">
      <c r="A436" s="24">
        <v>435</v>
      </c>
      <c r="B436" s="24">
        <v>0.2576</v>
      </c>
      <c r="C436" s="24">
        <v>0.56000000000000005</v>
      </c>
      <c r="D436" s="24">
        <v>0.16420000000000001</v>
      </c>
      <c r="E436" s="24">
        <v>0</v>
      </c>
      <c r="F436" s="24">
        <v>1</v>
      </c>
      <c r="G436" s="25">
        <v>1</v>
      </c>
      <c r="H436" s="44">
        <f t="shared" si="6"/>
        <v>0.2576</v>
      </c>
    </row>
    <row r="437" spans="1:8" ht="14" x14ac:dyDescent="0.3">
      <c r="A437" s="24">
        <v>436</v>
      </c>
      <c r="B437" s="24">
        <v>0.2576</v>
      </c>
      <c r="C437" s="24">
        <v>0.56000000000000005</v>
      </c>
      <c r="D437" s="24">
        <v>0.16420000000000001</v>
      </c>
      <c r="E437" s="24">
        <v>0</v>
      </c>
      <c r="F437" s="24">
        <v>1</v>
      </c>
      <c r="G437" s="25">
        <v>1</v>
      </c>
      <c r="H437" s="44">
        <f t="shared" si="6"/>
        <v>0.2576</v>
      </c>
    </row>
    <row r="438" spans="1:8" ht="14" x14ac:dyDescent="0.3">
      <c r="A438" s="24">
        <v>437</v>
      </c>
      <c r="B438" s="24">
        <v>0.2273</v>
      </c>
      <c r="C438" s="24">
        <v>0.6</v>
      </c>
      <c r="D438" s="24">
        <v>0.22389999999999999</v>
      </c>
      <c r="E438" s="24">
        <v>0</v>
      </c>
      <c r="F438" s="24">
        <v>6</v>
      </c>
      <c r="G438" s="25">
        <v>6</v>
      </c>
      <c r="H438" s="44">
        <f t="shared" si="6"/>
        <v>0.2273</v>
      </c>
    </row>
    <row r="439" spans="1:8" ht="14" x14ac:dyDescent="0.3">
      <c r="A439" s="24">
        <v>438</v>
      </c>
      <c r="B439" s="24">
        <v>0.21210000000000001</v>
      </c>
      <c r="C439" s="24">
        <v>0.6</v>
      </c>
      <c r="D439" s="24">
        <v>0.22389999999999999</v>
      </c>
      <c r="E439" s="24">
        <v>0</v>
      </c>
      <c r="F439" s="24">
        <v>35</v>
      </c>
      <c r="G439" s="25">
        <v>35</v>
      </c>
      <c r="H439" s="44">
        <f t="shared" si="6"/>
        <v>0.21210000000000001</v>
      </c>
    </row>
    <row r="440" spans="1:8" ht="14" x14ac:dyDescent="0.3">
      <c r="A440" s="24">
        <v>439</v>
      </c>
      <c r="B440" s="24">
        <v>0.21210000000000001</v>
      </c>
      <c r="C440" s="24">
        <v>0.55000000000000004</v>
      </c>
      <c r="D440" s="24">
        <v>0.22389999999999999</v>
      </c>
      <c r="E440" s="24">
        <v>1</v>
      </c>
      <c r="F440" s="24">
        <v>100</v>
      </c>
      <c r="G440" s="25">
        <v>101</v>
      </c>
      <c r="H440" s="44">
        <f t="shared" si="6"/>
        <v>0.21210000000000001</v>
      </c>
    </row>
    <row r="441" spans="1:8" ht="14" x14ac:dyDescent="0.3">
      <c r="A441" s="24">
        <v>440</v>
      </c>
      <c r="B441" s="24">
        <v>0.21210000000000001</v>
      </c>
      <c r="C441" s="24">
        <v>0.55000000000000004</v>
      </c>
      <c r="D441" s="24">
        <v>0.28360000000000002</v>
      </c>
      <c r="E441" s="24">
        <v>2</v>
      </c>
      <c r="F441" s="24">
        <v>247</v>
      </c>
      <c r="G441" s="25">
        <v>249</v>
      </c>
      <c r="H441" s="44">
        <f t="shared" si="6"/>
        <v>0.21210000000000001</v>
      </c>
    </row>
    <row r="442" spans="1:8" ht="14" x14ac:dyDescent="0.3">
      <c r="A442" s="24">
        <v>441</v>
      </c>
      <c r="B442" s="24">
        <v>0.2273</v>
      </c>
      <c r="C442" s="24">
        <v>0.52</v>
      </c>
      <c r="D442" s="24">
        <v>0.22389999999999999</v>
      </c>
      <c r="E442" s="24">
        <v>3</v>
      </c>
      <c r="F442" s="24">
        <v>140</v>
      </c>
      <c r="G442" s="25">
        <v>143</v>
      </c>
      <c r="H442" s="44">
        <f t="shared" si="6"/>
        <v>0.2273</v>
      </c>
    </row>
    <row r="443" spans="1:8" ht="14" x14ac:dyDescent="0.3">
      <c r="A443" s="24">
        <v>442</v>
      </c>
      <c r="B443" s="24">
        <v>0.2273</v>
      </c>
      <c r="C443" s="24">
        <v>0.48</v>
      </c>
      <c r="D443" s="24">
        <v>0.29849999999999999</v>
      </c>
      <c r="E443" s="24">
        <v>1</v>
      </c>
      <c r="F443" s="24">
        <v>56</v>
      </c>
      <c r="G443" s="25">
        <v>57</v>
      </c>
      <c r="H443" s="44">
        <f t="shared" si="6"/>
        <v>0.2273</v>
      </c>
    </row>
    <row r="444" spans="1:8" ht="14" x14ac:dyDescent="0.3">
      <c r="A444" s="24">
        <v>443</v>
      </c>
      <c r="B444" s="24">
        <v>0.2727</v>
      </c>
      <c r="C444" s="24">
        <v>0.45</v>
      </c>
      <c r="D444" s="24">
        <v>0.16420000000000001</v>
      </c>
      <c r="E444" s="24">
        <v>5</v>
      </c>
      <c r="F444" s="24">
        <v>63</v>
      </c>
      <c r="G444" s="25">
        <v>68</v>
      </c>
      <c r="H444" s="44">
        <f t="shared" si="6"/>
        <v>0.2727</v>
      </c>
    </row>
    <row r="445" spans="1:8" ht="14" x14ac:dyDescent="0.3">
      <c r="A445" s="24">
        <v>444</v>
      </c>
      <c r="B445" s="24">
        <v>0.33329999999999999</v>
      </c>
      <c r="C445" s="24">
        <v>0.42</v>
      </c>
      <c r="D445" s="24">
        <v>0</v>
      </c>
      <c r="E445" s="24">
        <v>7</v>
      </c>
      <c r="F445" s="24">
        <v>77</v>
      </c>
      <c r="G445" s="25">
        <v>84</v>
      </c>
      <c r="H445" s="44">
        <f t="shared" si="6"/>
        <v>0.33329999999999999</v>
      </c>
    </row>
    <row r="446" spans="1:8" ht="14" x14ac:dyDescent="0.3">
      <c r="A446" s="24">
        <v>445</v>
      </c>
      <c r="B446" s="24">
        <v>0.28789999999999999</v>
      </c>
      <c r="C446" s="24">
        <v>0.45</v>
      </c>
      <c r="D446" s="24">
        <v>0.1045</v>
      </c>
      <c r="E446" s="24">
        <v>12</v>
      </c>
      <c r="F446" s="24">
        <v>86</v>
      </c>
      <c r="G446" s="25">
        <v>98</v>
      </c>
      <c r="H446" s="44">
        <f t="shared" si="6"/>
        <v>0.28789999999999999</v>
      </c>
    </row>
    <row r="447" spans="1:8" ht="14" x14ac:dyDescent="0.3">
      <c r="A447" s="24">
        <v>446</v>
      </c>
      <c r="B447" s="24">
        <v>0.30299999999999999</v>
      </c>
      <c r="C447" s="24">
        <v>0.45</v>
      </c>
      <c r="D447" s="24">
        <v>0.1343</v>
      </c>
      <c r="E447" s="24">
        <v>6</v>
      </c>
      <c r="F447" s="24">
        <v>75</v>
      </c>
      <c r="G447" s="25">
        <v>81</v>
      </c>
      <c r="H447" s="44">
        <f t="shared" si="6"/>
        <v>0.30299999999999999</v>
      </c>
    </row>
    <row r="448" spans="1:8" ht="14" x14ac:dyDescent="0.3">
      <c r="A448" s="24">
        <v>447</v>
      </c>
      <c r="B448" s="24">
        <v>0.31819999999999998</v>
      </c>
      <c r="C448" s="24">
        <v>0.45</v>
      </c>
      <c r="D448" s="24">
        <v>0.19400000000000001</v>
      </c>
      <c r="E448" s="24">
        <v>8</v>
      </c>
      <c r="F448" s="24">
        <v>62</v>
      </c>
      <c r="G448" s="25">
        <v>70</v>
      </c>
      <c r="H448" s="44">
        <f t="shared" si="6"/>
        <v>0.31819999999999998</v>
      </c>
    </row>
    <row r="449" spans="1:8" ht="14" x14ac:dyDescent="0.3">
      <c r="A449" s="24">
        <v>448</v>
      </c>
      <c r="B449" s="24">
        <v>0.30299999999999999</v>
      </c>
      <c r="C449" s="24">
        <v>0.49</v>
      </c>
      <c r="D449" s="24">
        <v>0.1343</v>
      </c>
      <c r="E449" s="24">
        <v>8</v>
      </c>
      <c r="F449" s="24">
        <v>83</v>
      </c>
      <c r="G449" s="25">
        <v>91</v>
      </c>
      <c r="H449" s="44">
        <f t="shared" si="6"/>
        <v>0.30299999999999999</v>
      </c>
    </row>
    <row r="450" spans="1:8" ht="14" x14ac:dyDescent="0.3">
      <c r="A450" s="24">
        <v>449</v>
      </c>
      <c r="B450" s="24">
        <v>0.31819999999999998</v>
      </c>
      <c r="C450" s="24">
        <v>0.49</v>
      </c>
      <c r="D450" s="24">
        <v>0.1045</v>
      </c>
      <c r="E450" s="24">
        <v>8</v>
      </c>
      <c r="F450" s="24">
        <v>207</v>
      </c>
      <c r="G450" s="25">
        <v>215</v>
      </c>
      <c r="H450" s="44">
        <f t="shared" ref="H450:H513" si="7">IF(ISBLANK(B450),0.197,B450)</f>
        <v>0.31819999999999998</v>
      </c>
    </row>
    <row r="451" spans="1:8" ht="14" x14ac:dyDescent="0.3">
      <c r="A451" s="24">
        <v>450</v>
      </c>
      <c r="B451" s="24">
        <v>0.2576</v>
      </c>
      <c r="C451" s="24">
        <v>0.56000000000000005</v>
      </c>
      <c r="D451" s="24">
        <v>0.19400000000000001</v>
      </c>
      <c r="E451" s="24">
        <v>1</v>
      </c>
      <c r="F451" s="24">
        <v>184</v>
      </c>
      <c r="G451" s="25">
        <v>185</v>
      </c>
      <c r="H451" s="44">
        <f t="shared" si="7"/>
        <v>0.2576</v>
      </c>
    </row>
    <row r="452" spans="1:8" ht="14" x14ac:dyDescent="0.3">
      <c r="A452" s="24">
        <v>451</v>
      </c>
      <c r="B452" s="24">
        <v>0.2273</v>
      </c>
      <c r="C452" s="24">
        <v>0.56000000000000005</v>
      </c>
      <c r="D452" s="24">
        <v>0.32840000000000003</v>
      </c>
      <c r="E452" s="24">
        <v>6</v>
      </c>
      <c r="F452" s="24">
        <v>146</v>
      </c>
      <c r="G452" s="25">
        <v>152</v>
      </c>
      <c r="H452" s="44">
        <f t="shared" si="7"/>
        <v>0.2273</v>
      </c>
    </row>
    <row r="453" spans="1:8" ht="14" x14ac:dyDescent="0.3">
      <c r="A453" s="24">
        <v>452</v>
      </c>
      <c r="B453" s="24">
        <v>0.2424</v>
      </c>
      <c r="C453" s="24">
        <v>0.6</v>
      </c>
      <c r="D453" s="24">
        <v>0.28360000000000002</v>
      </c>
      <c r="E453" s="24">
        <v>2</v>
      </c>
      <c r="F453" s="24">
        <v>124</v>
      </c>
      <c r="G453" s="25">
        <v>126</v>
      </c>
      <c r="H453" s="44">
        <f t="shared" si="7"/>
        <v>0.2424</v>
      </c>
    </row>
    <row r="454" spans="1:8" ht="14" x14ac:dyDescent="0.3">
      <c r="A454" s="24">
        <v>453</v>
      </c>
      <c r="B454" s="24">
        <v>0.2273</v>
      </c>
      <c r="C454" s="24">
        <v>0.6</v>
      </c>
      <c r="D454" s="24">
        <v>0.25369999999999998</v>
      </c>
      <c r="E454" s="24">
        <v>3</v>
      </c>
      <c r="F454" s="24">
        <v>54</v>
      </c>
      <c r="G454" s="25">
        <v>57</v>
      </c>
      <c r="H454" s="44">
        <f t="shared" si="7"/>
        <v>0.2273</v>
      </c>
    </row>
    <row r="455" spans="1:8" ht="14" x14ac:dyDescent="0.3">
      <c r="A455" s="24">
        <v>454</v>
      </c>
      <c r="B455" s="24">
        <v>0.21210000000000001</v>
      </c>
      <c r="C455" s="24">
        <v>0.65</v>
      </c>
      <c r="D455" s="24">
        <v>0.28360000000000002</v>
      </c>
      <c r="E455" s="24">
        <v>0</v>
      </c>
      <c r="F455" s="24">
        <v>56</v>
      </c>
      <c r="G455" s="25">
        <v>56</v>
      </c>
      <c r="H455" s="44">
        <f t="shared" si="7"/>
        <v>0.21210000000000001</v>
      </c>
    </row>
    <row r="456" spans="1:8" ht="14" x14ac:dyDescent="0.3">
      <c r="A456" s="24">
        <v>455</v>
      </c>
      <c r="B456" s="24">
        <v>0.21210000000000001</v>
      </c>
      <c r="C456" s="24">
        <v>0.65</v>
      </c>
      <c r="D456" s="24">
        <v>0.32840000000000003</v>
      </c>
      <c r="E456" s="24">
        <v>3</v>
      </c>
      <c r="F456" s="24">
        <v>28</v>
      </c>
      <c r="G456" s="25">
        <v>31</v>
      </c>
      <c r="H456" s="44">
        <f t="shared" si="7"/>
        <v>0.21210000000000001</v>
      </c>
    </row>
    <row r="457" spans="1:8" ht="14" x14ac:dyDescent="0.3">
      <c r="A457" s="24">
        <v>456</v>
      </c>
      <c r="B457" s="24">
        <v>0.2273</v>
      </c>
      <c r="C457" s="24">
        <v>0.7</v>
      </c>
      <c r="D457" s="24">
        <v>0.25369999999999998</v>
      </c>
      <c r="E457" s="24">
        <v>1</v>
      </c>
      <c r="F457" s="24">
        <v>20</v>
      </c>
      <c r="G457" s="25">
        <v>21</v>
      </c>
      <c r="H457" s="44">
        <f t="shared" si="7"/>
        <v>0.2273</v>
      </c>
    </row>
    <row r="458" spans="1:8" ht="14" x14ac:dyDescent="0.3">
      <c r="A458" s="24">
        <v>457</v>
      </c>
      <c r="B458" s="24">
        <v>0.2273</v>
      </c>
      <c r="C458" s="24">
        <v>0.7</v>
      </c>
      <c r="D458" s="24">
        <v>0.25369999999999998</v>
      </c>
      <c r="E458" s="24">
        <v>0</v>
      </c>
      <c r="F458" s="24">
        <v>6</v>
      </c>
      <c r="G458" s="25">
        <v>6</v>
      </c>
      <c r="H458" s="44">
        <f t="shared" si="7"/>
        <v>0.2273</v>
      </c>
    </row>
    <row r="459" spans="1:8" ht="14" x14ac:dyDescent="0.3">
      <c r="A459" s="24">
        <v>458</v>
      </c>
      <c r="B459" s="24">
        <v>0.2424</v>
      </c>
      <c r="C459" s="24">
        <v>0.75</v>
      </c>
      <c r="D459" s="24">
        <v>0.16420000000000001</v>
      </c>
      <c r="E459" s="24">
        <v>0</v>
      </c>
      <c r="F459" s="24">
        <v>2</v>
      </c>
      <c r="G459" s="25">
        <v>2</v>
      </c>
      <c r="H459" s="44">
        <f t="shared" si="7"/>
        <v>0.2424</v>
      </c>
    </row>
    <row r="460" spans="1:8" ht="14" x14ac:dyDescent="0.3">
      <c r="A460" s="24">
        <v>459</v>
      </c>
      <c r="B460" s="24">
        <v>0.21210000000000001</v>
      </c>
      <c r="C460" s="24">
        <v>0.8</v>
      </c>
      <c r="D460" s="24">
        <v>0.29849999999999999</v>
      </c>
      <c r="E460" s="24">
        <v>0</v>
      </c>
      <c r="F460" s="24">
        <v>1</v>
      </c>
      <c r="G460" s="25">
        <v>1</v>
      </c>
      <c r="H460" s="44">
        <f t="shared" si="7"/>
        <v>0.21210000000000001</v>
      </c>
    </row>
    <row r="461" spans="1:8" ht="14" x14ac:dyDescent="0.3">
      <c r="A461" s="24">
        <v>460</v>
      </c>
      <c r="B461" s="24">
        <v>0.2576</v>
      </c>
      <c r="C461" s="24">
        <v>0.87</v>
      </c>
      <c r="D461" s="24">
        <v>8.9599999999999999E-2</v>
      </c>
      <c r="E461" s="24">
        <v>0</v>
      </c>
      <c r="F461" s="24">
        <v>1</v>
      </c>
      <c r="G461" s="25">
        <v>1</v>
      </c>
      <c r="H461" s="44">
        <f t="shared" si="7"/>
        <v>0.2576</v>
      </c>
    </row>
    <row r="462" spans="1:8" ht="14" x14ac:dyDescent="0.3">
      <c r="A462" s="24">
        <v>461</v>
      </c>
      <c r="B462" s="24">
        <v>0.19700000000000001</v>
      </c>
      <c r="C462" s="24">
        <v>0.6</v>
      </c>
      <c r="D462" s="24">
        <v>0.41789999999999999</v>
      </c>
      <c r="E462" s="24">
        <v>1</v>
      </c>
      <c r="F462" s="24">
        <v>4</v>
      </c>
      <c r="G462" s="25">
        <v>5</v>
      </c>
      <c r="H462" s="44">
        <f t="shared" si="7"/>
        <v>0.19700000000000001</v>
      </c>
    </row>
    <row r="463" spans="1:8" ht="14" x14ac:dyDescent="0.3">
      <c r="A463" s="24">
        <v>462</v>
      </c>
      <c r="B463" s="24">
        <v>0.21210000000000001</v>
      </c>
      <c r="C463" s="24">
        <v>0.55000000000000004</v>
      </c>
      <c r="D463" s="24">
        <v>0.25369999999999998</v>
      </c>
      <c r="E463" s="24">
        <v>0</v>
      </c>
      <c r="F463" s="24">
        <v>27</v>
      </c>
      <c r="G463" s="25">
        <v>27</v>
      </c>
      <c r="H463" s="44">
        <f t="shared" si="7"/>
        <v>0.21210000000000001</v>
      </c>
    </row>
    <row r="464" spans="1:8" ht="14" x14ac:dyDescent="0.3">
      <c r="A464" s="24">
        <v>463</v>
      </c>
      <c r="B464" s="24">
        <v>0.18179999999999999</v>
      </c>
      <c r="C464" s="24">
        <v>0.51</v>
      </c>
      <c r="D464" s="24">
        <v>0.28360000000000002</v>
      </c>
      <c r="E464" s="24">
        <v>2</v>
      </c>
      <c r="F464" s="24">
        <v>66</v>
      </c>
      <c r="G464" s="25">
        <v>68</v>
      </c>
      <c r="H464" s="44">
        <f t="shared" si="7"/>
        <v>0.18179999999999999</v>
      </c>
    </row>
    <row r="465" spans="1:8" ht="14" x14ac:dyDescent="0.3">
      <c r="A465" s="24">
        <v>464</v>
      </c>
      <c r="B465" s="24">
        <v>0.18179999999999999</v>
      </c>
      <c r="C465" s="24">
        <v>0.47</v>
      </c>
      <c r="D465" s="24">
        <v>0.32840000000000003</v>
      </c>
      <c r="E465" s="24">
        <v>7</v>
      </c>
      <c r="F465" s="24">
        <v>210</v>
      </c>
      <c r="G465" s="25">
        <v>217</v>
      </c>
      <c r="H465" s="44">
        <f t="shared" si="7"/>
        <v>0.18179999999999999</v>
      </c>
    </row>
    <row r="466" spans="1:8" ht="14" x14ac:dyDescent="0.3">
      <c r="A466" s="24">
        <v>465</v>
      </c>
      <c r="B466" s="24">
        <v>0.18179999999999999</v>
      </c>
      <c r="C466" s="24">
        <v>0.51</v>
      </c>
      <c r="D466" s="24">
        <v>0.35820000000000002</v>
      </c>
      <c r="E466" s="24">
        <v>7</v>
      </c>
      <c r="F466" s="24">
        <v>159</v>
      </c>
      <c r="G466" s="25">
        <v>166</v>
      </c>
      <c r="H466" s="44">
        <f t="shared" si="7"/>
        <v>0.18179999999999999</v>
      </c>
    </row>
    <row r="467" spans="1:8" ht="14" x14ac:dyDescent="0.3">
      <c r="A467" s="24">
        <v>466</v>
      </c>
      <c r="B467" s="24">
        <v>0.16669999999999999</v>
      </c>
      <c r="C467" s="24">
        <v>0.47</v>
      </c>
      <c r="D467" s="24">
        <v>0.4627</v>
      </c>
      <c r="E467" s="24">
        <v>6</v>
      </c>
      <c r="F467" s="24">
        <v>57</v>
      </c>
      <c r="G467" s="25">
        <v>63</v>
      </c>
      <c r="H467" s="44">
        <f t="shared" si="7"/>
        <v>0.16669999999999999</v>
      </c>
    </row>
    <row r="468" spans="1:8" ht="14" x14ac:dyDescent="0.3">
      <c r="A468" s="24">
        <v>467</v>
      </c>
      <c r="B468" s="24">
        <v>0.18179999999999999</v>
      </c>
      <c r="C468" s="24">
        <v>0.41</v>
      </c>
      <c r="D468" s="24">
        <v>0.4627</v>
      </c>
      <c r="E468" s="24">
        <v>6</v>
      </c>
      <c r="F468" s="24">
        <v>53</v>
      </c>
      <c r="G468" s="25">
        <v>59</v>
      </c>
      <c r="H468" s="44">
        <f t="shared" si="7"/>
        <v>0.18179999999999999</v>
      </c>
    </row>
    <row r="469" spans="1:8" ht="14" x14ac:dyDescent="0.3">
      <c r="A469" s="24">
        <v>468</v>
      </c>
      <c r="B469" s="24">
        <v>0.18179999999999999</v>
      </c>
      <c r="C469" s="24">
        <v>0.27</v>
      </c>
      <c r="D469" s="24">
        <v>0.58209999999999995</v>
      </c>
      <c r="E469" s="24">
        <v>11</v>
      </c>
      <c r="F469" s="24">
        <v>67</v>
      </c>
      <c r="G469" s="25">
        <v>78</v>
      </c>
      <c r="H469" s="44">
        <f t="shared" si="7"/>
        <v>0.18179999999999999</v>
      </c>
    </row>
    <row r="470" spans="1:8" ht="14" x14ac:dyDescent="0.3">
      <c r="A470" s="24">
        <v>469</v>
      </c>
      <c r="B470" s="24">
        <v>0.1515</v>
      </c>
      <c r="C470" s="24">
        <v>0.21</v>
      </c>
      <c r="D470" s="24">
        <v>0.58209999999999995</v>
      </c>
      <c r="E470" s="24">
        <v>8</v>
      </c>
      <c r="F470" s="24">
        <v>65</v>
      </c>
      <c r="G470" s="25">
        <v>73</v>
      </c>
      <c r="H470" s="44">
        <f t="shared" si="7"/>
        <v>0.1515</v>
      </c>
    </row>
    <row r="471" spans="1:8" ht="14" x14ac:dyDescent="0.3">
      <c r="A471" s="24">
        <v>470</v>
      </c>
      <c r="B471" s="24">
        <v>0.1515</v>
      </c>
      <c r="C471" s="24">
        <v>0.25</v>
      </c>
      <c r="D471" s="24">
        <v>0.52239999999999998</v>
      </c>
      <c r="E471" s="24">
        <v>6</v>
      </c>
      <c r="F471" s="24">
        <v>56</v>
      </c>
      <c r="G471" s="25">
        <v>62</v>
      </c>
      <c r="H471" s="44">
        <f t="shared" si="7"/>
        <v>0.1515</v>
      </c>
    </row>
    <row r="472" spans="1:8" ht="14" x14ac:dyDescent="0.3">
      <c r="A472" s="24">
        <v>471</v>
      </c>
      <c r="B472" s="24">
        <v>0.1212</v>
      </c>
      <c r="C472" s="24">
        <v>0.26</v>
      </c>
      <c r="D472" s="24">
        <v>0.44779999999999998</v>
      </c>
      <c r="E472" s="24">
        <v>4</v>
      </c>
      <c r="F472" s="24">
        <v>61</v>
      </c>
      <c r="G472" s="25">
        <v>65</v>
      </c>
      <c r="H472" s="44">
        <f t="shared" si="7"/>
        <v>0.1212</v>
      </c>
    </row>
    <row r="473" spans="1:8" ht="14" x14ac:dyDescent="0.3">
      <c r="A473" s="24">
        <v>472</v>
      </c>
      <c r="B473" s="24">
        <v>0.13639999999999999</v>
      </c>
      <c r="C473" s="24">
        <v>0.26</v>
      </c>
      <c r="D473" s="24">
        <v>0.35820000000000002</v>
      </c>
      <c r="E473" s="24">
        <v>0</v>
      </c>
      <c r="F473" s="24">
        <v>97</v>
      </c>
      <c r="G473" s="25">
        <v>97</v>
      </c>
      <c r="H473" s="44">
        <f t="shared" si="7"/>
        <v>0.13639999999999999</v>
      </c>
    </row>
    <row r="474" spans="1:8" ht="14" x14ac:dyDescent="0.3">
      <c r="A474" s="24">
        <v>473</v>
      </c>
      <c r="B474" s="24">
        <v>0.1212</v>
      </c>
      <c r="C474" s="24">
        <v>0.28000000000000003</v>
      </c>
      <c r="D474" s="24">
        <v>0.35820000000000002</v>
      </c>
      <c r="E474" s="24">
        <v>10</v>
      </c>
      <c r="F474" s="24">
        <v>151</v>
      </c>
      <c r="G474" s="25">
        <v>161</v>
      </c>
      <c r="H474" s="44">
        <f t="shared" si="7"/>
        <v>0.1212</v>
      </c>
    </row>
    <row r="475" spans="1:8" ht="14" x14ac:dyDescent="0.3">
      <c r="A475" s="24">
        <v>474</v>
      </c>
      <c r="B475" s="24">
        <v>0.1212</v>
      </c>
      <c r="C475" s="24">
        <v>0.3</v>
      </c>
      <c r="D475" s="24">
        <v>0.25369999999999998</v>
      </c>
      <c r="E475" s="24">
        <v>1</v>
      </c>
      <c r="F475" s="24">
        <v>119</v>
      </c>
      <c r="G475" s="25">
        <v>120</v>
      </c>
      <c r="H475" s="44">
        <f t="shared" si="7"/>
        <v>0.1212</v>
      </c>
    </row>
    <row r="476" spans="1:8" ht="14" x14ac:dyDescent="0.3">
      <c r="A476" s="24">
        <v>475</v>
      </c>
      <c r="B476" s="24">
        <v>0.1061</v>
      </c>
      <c r="C476" s="24">
        <v>0.3</v>
      </c>
      <c r="D476" s="24">
        <v>0.32840000000000003</v>
      </c>
      <c r="E476" s="24">
        <v>3</v>
      </c>
      <c r="F476" s="24">
        <v>93</v>
      </c>
      <c r="G476" s="25">
        <v>96</v>
      </c>
      <c r="H476" s="44">
        <f t="shared" si="7"/>
        <v>0.1061</v>
      </c>
    </row>
    <row r="477" spans="1:8" ht="14" x14ac:dyDescent="0.3">
      <c r="A477" s="24">
        <v>476</v>
      </c>
      <c r="B477" s="24">
        <v>7.5800000000000006E-2</v>
      </c>
      <c r="C477" s="24">
        <v>0.33</v>
      </c>
      <c r="D477" s="24">
        <v>0.41789999999999999</v>
      </c>
      <c r="E477" s="24">
        <v>1</v>
      </c>
      <c r="F477" s="24">
        <v>52</v>
      </c>
      <c r="G477" s="25">
        <v>53</v>
      </c>
      <c r="H477" s="44">
        <f t="shared" si="7"/>
        <v>7.5800000000000006E-2</v>
      </c>
    </row>
    <row r="478" spans="1:8" ht="14" x14ac:dyDescent="0.3">
      <c r="A478" s="24">
        <v>477</v>
      </c>
      <c r="B478" s="24">
        <v>7.5800000000000006E-2</v>
      </c>
      <c r="C478" s="24">
        <v>0.38</v>
      </c>
      <c r="D478" s="24">
        <v>0.28360000000000002</v>
      </c>
      <c r="E478" s="24">
        <v>0</v>
      </c>
      <c r="F478" s="24">
        <v>41</v>
      </c>
      <c r="G478" s="25">
        <v>41</v>
      </c>
      <c r="H478" s="44">
        <f t="shared" si="7"/>
        <v>7.5800000000000006E-2</v>
      </c>
    </row>
    <row r="479" spans="1:8" ht="14" x14ac:dyDescent="0.3">
      <c r="A479" s="24">
        <v>478</v>
      </c>
      <c r="B479" s="24">
        <v>3.0300000000000001E-2</v>
      </c>
      <c r="C479" s="24">
        <v>0.41</v>
      </c>
      <c r="D479" s="24">
        <v>0.3881</v>
      </c>
      <c r="E479" s="24">
        <v>1</v>
      </c>
      <c r="F479" s="24">
        <v>33</v>
      </c>
      <c r="G479" s="25">
        <v>34</v>
      </c>
      <c r="H479" s="44">
        <f t="shared" si="7"/>
        <v>3.0300000000000001E-2</v>
      </c>
    </row>
    <row r="480" spans="1:8" ht="14" x14ac:dyDescent="0.3">
      <c r="A480" s="24">
        <v>479</v>
      </c>
      <c r="B480" s="24">
        <v>4.5499999999999999E-2</v>
      </c>
      <c r="C480" s="24">
        <v>0.38</v>
      </c>
      <c r="D480" s="24">
        <v>0.32840000000000003</v>
      </c>
      <c r="E480" s="24">
        <v>0</v>
      </c>
      <c r="F480" s="24">
        <v>27</v>
      </c>
      <c r="G480" s="25">
        <v>27</v>
      </c>
      <c r="H480" s="44">
        <f t="shared" si="7"/>
        <v>4.5499999999999999E-2</v>
      </c>
    </row>
    <row r="481" spans="1:8" ht="14" x14ac:dyDescent="0.3">
      <c r="A481" s="24">
        <v>480</v>
      </c>
      <c r="B481" s="24">
        <v>3.0300000000000001E-2</v>
      </c>
      <c r="C481" s="24">
        <v>0.45</v>
      </c>
      <c r="D481" s="24">
        <v>0.25369999999999998</v>
      </c>
      <c r="E481" s="24">
        <v>0</v>
      </c>
      <c r="F481" s="24">
        <v>13</v>
      </c>
      <c r="G481" s="25">
        <v>13</v>
      </c>
      <c r="H481" s="44">
        <f t="shared" si="7"/>
        <v>3.0300000000000001E-2</v>
      </c>
    </row>
    <row r="482" spans="1:8" ht="14" x14ac:dyDescent="0.3">
      <c r="A482" s="24">
        <v>481</v>
      </c>
      <c r="B482" s="24">
        <v>0</v>
      </c>
      <c r="C482" s="24">
        <v>0.41</v>
      </c>
      <c r="D482" s="24">
        <v>0.3881</v>
      </c>
      <c r="E482" s="24">
        <v>3</v>
      </c>
      <c r="F482" s="24">
        <v>9</v>
      </c>
      <c r="G482" s="25">
        <v>12</v>
      </c>
      <c r="H482" s="44">
        <f t="shared" si="7"/>
        <v>0</v>
      </c>
    </row>
    <row r="483" spans="1:8" ht="14" x14ac:dyDescent="0.3">
      <c r="A483" s="24">
        <v>482</v>
      </c>
      <c r="B483" s="24">
        <v>3.0300000000000001E-2</v>
      </c>
      <c r="C483" s="24">
        <v>0.41</v>
      </c>
      <c r="D483" s="24">
        <v>0.25369999999999998</v>
      </c>
      <c r="E483" s="24">
        <v>0</v>
      </c>
      <c r="F483" s="24">
        <v>11</v>
      </c>
      <c r="G483" s="25">
        <v>11</v>
      </c>
      <c r="H483" s="44">
        <f t="shared" si="7"/>
        <v>3.0300000000000001E-2</v>
      </c>
    </row>
    <row r="484" spans="1:8" ht="14" x14ac:dyDescent="0.3">
      <c r="A484" s="24">
        <v>483</v>
      </c>
      <c r="B484" s="24">
        <v>3.0300000000000001E-2</v>
      </c>
      <c r="C484" s="24">
        <v>0.41</v>
      </c>
      <c r="D484" s="24">
        <v>0.28360000000000002</v>
      </c>
      <c r="E484" s="24">
        <v>1</v>
      </c>
      <c r="F484" s="24">
        <v>6</v>
      </c>
      <c r="G484" s="25">
        <v>7</v>
      </c>
      <c r="H484" s="44">
        <f t="shared" si="7"/>
        <v>3.0300000000000001E-2</v>
      </c>
    </row>
    <row r="485" spans="1:8" ht="14" x14ac:dyDescent="0.3">
      <c r="A485" s="24">
        <v>484</v>
      </c>
      <c r="B485" s="24">
        <v>1.52E-2</v>
      </c>
      <c r="C485" s="24">
        <v>0.48</v>
      </c>
      <c r="D485" s="24">
        <v>0.29849999999999999</v>
      </c>
      <c r="E485" s="24">
        <v>0</v>
      </c>
      <c r="F485" s="24">
        <v>3</v>
      </c>
      <c r="G485" s="25">
        <v>3</v>
      </c>
      <c r="H485" s="44">
        <f t="shared" si="7"/>
        <v>1.52E-2</v>
      </c>
    </row>
    <row r="486" spans="1:8" ht="14" x14ac:dyDescent="0.3">
      <c r="A486" s="24">
        <v>485</v>
      </c>
      <c r="B486" s="24">
        <v>3.0300000000000001E-2</v>
      </c>
      <c r="C486" s="24">
        <v>0.44</v>
      </c>
      <c r="D486" s="24">
        <v>0.22389999999999999</v>
      </c>
      <c r="E486" s="24">
        <v>0</v>
      </c>
      <c r="F486" s="24">
        <v>2</v>
      </c>
      <c r="G486" s="25">
        <v>2</v>
      </c>
      <c r="H486" s="44">
        <f t="shared" si="7"/>
        <v>3.0300000000000001E-2</v>
      </c>
    </row>
    <row r="487" spans="1:8" ht="14" x14ac:dyDescent="0.3">
      <c r="A487" s="24">
        <v>486</v>
      </c>
      <c r="B487" s="24">
        <v>1.52E-2</v>
      </c>
      <c r="C487" s="24">
        <v>0.44</v>
      </c>
      <c r="D487" s="24">
        <v>0.28360000000000002</v>
      </c>
      <c r="E487" s="24">
        <v>0</v>
      </c>
      <c r="F487" s="24">
        <v>8</v>
      </c>
      <c r="G487" s="25">
        <v>8</v>
      </c>
      <c r="H487" s="44">
        <f t="shared" si="7"/>
        <v>1.52E-2</v>
      </c>
    </row>
    <row r="488" spans="1:8" ht="14" x14ac:dyDescent="0.3">
      <c r="A488" s="24">
        <v>487</v>
      </c>
      <c r="B488" s="24">
        <v>0</v>
      </c>
      <c r="C488" s="24">
        <v>0.44</v>
      </c>
      <c r="D488" s="24">
        <v>0.32840000000000003</v>
      </c>
      <c r="E488" s="24">
        <v>1</v>
      </c>
      <c r="F488" s="24">
        <v>26</v>
      </c>
      <c r="G488" s="25">
        <v>27</v>
      </c>
      <c r="H488" s="44">
        <f t="shared" si="7"/>
        <v>0</v>
      </c>
    </row>
    <row r="489" spans="1:8" ht="14" x14ac:dyDescent="0.3">
      <c r="A489" s="24">
        <v>488</v>
      </c>
      <c r="B489" s="24">
        <v>3.0300000000000001E-2</v>
      </c>
      <c r="C489" s="24">
        <v>0.41</v>
      </c>
      <c r="D489" s="24">
        <v>0.25369999999999998</v>
      </c>
      <c r="E489" s="24">
        <v>3</v>
      </c>
      <c r="F489" s="24">
        <v>37</v>
      </c>
      <c r="G489" s="25">
        <v>40</v>
      </c>
      <c r="H489" s="44">
        <f t="shared" si="7"/>
        <v>3.0300000000000001E-2</v>
      </c>
    </row>
    <row r="490" spans="1:8" ht="14" x14ac:dyDescent="0.3">
      <c r="A490" s="24">
        <v>489</v>
      </c>
      <c r="B490" s="24">
        <v>6.0600000000000001E-2</v>
      </c>
      <c r="C490" s="24">
        <v>0.41</v>
      </c>
      <c r="D490" s="24">
        <v>0.16420000000000001</v>
      </c>
      <c r="E490" s="24">
        <v>3</v>
      </c>
      <c r="F490" s="24">
        <v>50</v>
      </c>
      <c r="G490" s="25">
        <v>53</v>
      </c>
      <c r="H490" s="44">
        <f t="shared" si="7"/>
        <v>6.0600000000000001E-2</v>
      </c>
    </row>
    <row r="491" spans="1:8" ht="14" x14ac:dyDescent="0.3">
      <c r="A491" s="24">
        <v>490</v>
      </c>
      <c r="B491" s="24">
        <v>7.5800000000000006E-2</v>
      </c>
      <c r="C491" s="24">
        <v>0.38</v>
      </c>
      <c r="D491" s="24">
        <v>0.1343</v>
      </c>
      <c r="E491" s="24">
        <v>4</v>
      </c>
      <c r="F491" s="24">
        <v>59</v>
      </c>
      <c r="G491" s="25">
        <v>63</v>
      </c>
      <c r="H491" s="44">
        <f t="shared" si="7"/>
        <v>7.5800000000000006E-2</v>
      </c>
    </row>
    <row r="492" spans="1:8" ht="14" x14ac:dyDescent="0.3">
      <c r="A492" s="24">
        <v>491</v>
      </c>
      <c r="B492" s="24">
        <v>0.1061</v>
      </c>
      <c r="C492" s="24">
        <v>0.38</v>
      </c>
      <c r="D492" s="24">
        <v>0.1045</v>
      </c>
      <c r="E492" s="24">
        <v>10</v>
      </c>
      <c r="F492" s="24">
        <v>60</v>
      </c>
      <c r="G492" s="25">
        <v>70</v>
      </c>
      <c r="H492" s="44">
        <f t="shared" si="7"/>
        <v>0.1061</v>
      </c>
    </row>
    <row r="493" spans="1:8" ht="14" x14ac:dyDescent="0.3">
      <c r="A493" s="24">
        <v>492</v>
      </c>
      <c r="B493" s="24">
        <v>0.16669999999999999</v>
      </c>
      <c r="C493" s="24">
        <v>0.35</v>
      </c>
      <c r="D493" s="24">
        <v>0</v>
      </c>
      <c r="E493" s="24">
        <v>12</v>
      </c>
      <c r="F493" s="24">
        <v>72</v>
      </c>
      <c r="G493" s="25">
        <v>84</v>
      </c>
      <c r="H493" s="44">
        <f t="shared" si="7"/>
        <v>0.16669999999999999</v>
      </c>
    </row>
    <row r="494" spans="1:8" ht="14" x14ac:dyDescent="0.3">
      <c r="A494" s="24">
        <v>493</v>
      </c>
      <c r="B494" s="24">
        <v>0.13639999999999999</v>
      </c>
      <c r="C494" s="24">
        <v>0.33</v>
      </c>
      <c r="D494" s="24">
        <v>0.1045</v>
      </c>
      <c r="E494" s="24">
        <v>11</v>
      </c>
      <c r="F494" s="24">
        <v>64</v>
      </c>
      <c r="G494" s="25">
        <v>75</v>
      </c>
      <c r="H494" s="44">
        <f t="shared" si="7"/>
        <v>0.13639999999999999</v>
      </c>
    </row>
    <row r="495" spans="1:8" ht="14" x14ac:dyDescent="0.3">
      <c r="A495" s="24">
        <v>494</v>
      </c>
      <c r="B495" s="24">
        <v>0.1515</v>
      </c>
      <c r="C495" s="24">
        <v>0.28000000000000003</v>
      </c>
      <c r="D495" s="24">
        <v>0</v>
      </c>
      <c r="E495" s="24">
        <v>10</v>
      </c>
      <c r="F495" s="24">
        <v>93</v>
      </c>
      <c r="G495" s="25">
        <v>103</v>
      </c>
      <c r="H495" s="44">
        <f t="shared" si="7"/>
        <v>0.1515</v>
      </c>
    </row>
    <row r="496" spans="1:8" ht="14" x14ac:dyDescent="0.3">
      <c r="A496" s="24">
        <v>495</v>
      </c>
      <c r="B496" s="24">
        <v>0.13639999999999999</v>
      </c>
      <c r="C496" s="24">
        <v>0.28000000000000003</v>
      </c>
      <c r="D496" s="24">
        <v>0.19400000000000001</v>
      </c>
      <c r="E496" s="24">
        <v>11</v>
      </c>
      <c r="F496" s="24">
        <v>72</v>
      </c>
      <c r="G496" s="25">
        <v>83</v>
      </c>
      <c r="H496" s="44">
        <f t="shared" si="7"/>
        <v>0.13639999999999999</v>
      </c>
    </row>
    <row r="497" spans="1:8" ht="14" x14ac:dyDescent="0.3">
      <c r="A497" s="24">
        <v>496</v>
      </c>
      <c r="B497" s="24">
        <v>0.19700000000000001</v>
      </c>
      <c r="C497" s="24">
        <v>0.28000000000000003</v>
      </c>
      <c r="D497" s="24">
        <v>0</v>
      </c>
      <c r="E497" s="24">
        <v>8</v>
      </c>
      <c r="F497" s="24">
        <v>59</v>
      </c>
      <c r="G497" s="25">
        <v>67</v>
      </c>
      <c r="H497" s="44">
        <f t="shared" si="7"/>
        <v>0.19700000000000001</v>
      </c>
    </row>
    <row r="498" spans="1:8" ht="14" x14ac:dyDescent="0.3">
      <c r="A498" s="24">
        <v>497</v>
      </c>
      <c r="B498" s="24">
        <v>9.0899999999999995E-2</v>
      </c>
      <c r="C498" s="24">
        <v>0.35</v>
      </c>
      <c r="D498" s="24">
        <v>0.19400000000000001</v>
      </c>
      <c r="E498" s="24">
        <v>0</v>
      </c>
      <c r="F498" s="24">
        <v>54</v>
      </c>
      <c r="G498" s="25">
        <v>54</v>
      </c>
      <c r="H498" s="44">
        <f t="shared" si="7"/>
        <v>9.0899999999999995E-2</v>
      </c>
    </row>
    <row r="499" spans="1:8" ht="14" x14ac:dyDescent="0.3">
      <c r="A499" s="24">
        <v>498</v>
      </c>
      <c r="B499" s="24">
        <v>0.1061</v>
      </c>
      <c r="C499" s="24">
        <v>0.35</v>
      </c>
      <c r="D499" s="24">
        <v>0.1343</v>
      </c>
      <c r="E499" s="24">
        <v>6</v>
      </c>
      <c r="F499" s="24">
        <v>53</v>
      </c>
      <c r="G499" s="25">
        <v>59</v>
      </c>
      <c r="H499" s="44">
        <f t="shared" si="7"/>
        <v>0.1061</v>
      </c>
    </row>
    <row r="500" spans="1:8" ht="14" x14ac:dyDescent="0.3">
      <c r="A500" s="24">
        <v>499</v>
      </c>
      <c r="B500" s="24">
        <v>7.5800000000000006E-2</v>
      </c>
      <c r="C500" s="24">
        <v>0.45</v>
      </c>
      <c r="D500" s="24">
        <v>0.16420000000000001</v>
      </c>
      <c r="E500" s="24">
        <v>1</v>
      </c>
      <c r="F500" s="24">
        <v>44</v>
      </c>
      <c r="G500" s="25">
        <v>45</v>
      </c>
      <c r="H500" s="44">
        <f t="shared" si="7"/>
        <v>7.5800000000000006E-2</v>
      </c>
    </row>
    <row r="501" spans="1:8" ht="14" x14ac:dyDescent="0.3">
      <c r="A501" s="24">
        <v>500</v>
      </c>
      <c r="B501" s="24">
        <v>0.1061</v>
      </c>
      <c r="C501" s="24">
        <v>0.41</v>
      </c>
      <c r="D501" s="24">
        <v>8.9599999999999999E-2</v>
      </c>
      <c r="E501" s="24">
        <v>0</v>
      </c>
      <c r="F501" s="24">
        <v>39</v>
      </c>
      <c r="G501" s="25">
        <v>39</v>
      </c>
      <c r="H501" s="44">
        <f t="shared" si="7"/>
        <v>0.1061</v>
      </c>
    </row>
    <row r="502" spans="1:8" ht="14" x14ac:dyDescent="0.3">
      <c r="A502" s="24">
        <v>501</v>
      </c>
      <c r="B502" s="24">
        <v>0.1515</v>
      </c>
      <c r="C502" s="24">
        <v>0.49</v>
      </c>
      <c r="D502" s="24">
        <v>0</v>
      </c>
      <c r="E502" s="24">
        <v>7</v>
      </c>
      <c r="F502" s="24">
        <v>23</v>
      </c>
      <c r="G502" s="25">
        <v>30</v>
      </c>
      <c r="H502" s="44">
        <f t="shared" si="7"/>
        <v>0.1515</v>
      </c>
    </row>
    <row r="503" spans="1:8" ht="14" x14ac:dyDescent="0.3">
      <c r="A503" s="24">
        <v>502</v>
      </c>
      <c r="B503" s="24">
        <v>7.5800000000000006E-2</v>
      </c>
      <c r="C503" s="24">
        <v>0.56999999999999995</v>
      </c>
      <c r="D503" s="24">
        <v>0.1045</v>
      </c>
      <c r="E503" s="24">
        <v>2</v>
      </c>
      <c r="F503" s="24">
        <v>31</v>
      </c>
      <c r="G503" s="25">
        <v>33</v>
      </c>
      <c r="H503" s="44">
        <f t="shared" si="7"/>
        <v>7.5800000000000006E-2</v>
      </c>
    </row>
    <row r="504" spans="1:8" ht="14" x14ac:dyDescent="0.3">
      <c r="A504" s="24">
        <v>503</v>
      </c>
      <c r="B504" s="24">
        <v>7.5800000000000006E-2</v>
      </c>
      <c r="C504" s="24">
        <v>0.56999999999999995</v>
      </c>
      <c r="D504" s="24">
        <v>0.1045</v>
      </c>
      <c r="E504" s="24">
        <v>2</v>
      </c>
      <c r="F504" s="24">
        <v>20</v>
      </c>
      <c r="G504" s="25">
        <v>22</v>
      </c>
      <c r="H504" s="44">
        <f t="shared" si="7"/>
        <v>7.5800000000000006E-2</v>
      </c>
    </row>
    <row r="505" spans="1:8" ht="14" x14ac:dyDescent="0.3">
      <c r="A505" s="24">
        <v>504</v>
      </c>
      <c r="B505" s="24">
        <v>7.5800000000000006E-2</v>
      </c>
      <c r="C505" s="24">
        <v>0.56999999999999995</v>
      </c>
      <c r="D505" s="24">
        <v>0.1045</v>
      </c>
      <c r="E505" s="24">
        <v>1</v>
      </c>
      <c r="F505" s="24">
        <v>12</v>
      </c>
      <c r="G505" s="25">
        <v>13</v>
      </c>
      <c r="H505" s="44">
        <f t="shared" si="7"/>
        <v>7.5800000000000006E-2</v>
      </c>
    </row>
    <row r="506" spans="1:8" ht="14" x14ac:dyDescent="0.3">
      <c r="A506" s="24">
        <v>505</v>
      </c>
      <c r="B506" s="24">
        <v>6.0600000000000001E-2</v>
      </c>
      <c r="C506" s="24">
        <v>0.62</v>
      </c>
      <c r="D506" s="24">
        <v>0.1343</v>
      </c>
      <c r="E506" s="24">
        <v>3</v>
      </c>
      <c r="F506" s="24">
        <v>15</v>
      </c>
      <c r="G506" s="25">
        <v>18</v>
      </c>
      <c r="H506" s="44">
        <f t="shared" si="7"/>
        <v>6.0600000000000001E-2</v>
      </c>
    </row>
    <row r="507" spans="1:8" ht="14" x14ac:dyDescent="0.3">
      <c r="A507" s="24">
        <v>506</v>
      </c>
      <c r="B507" s="24">
        <v>6.0600000000000001E-2</v>
      </c>
      <c r="C507" s="24">
        <v>0.62</v>
      </c>
      <c r="D507" s="24">
        <v>0.1343</v>
      </c>
      <c r="E507" s="24">
        <v>1</v>
      </c>
      <c r="F507" s="24">
        <v>4</v>
      </c>
      <c r="G507" s="25">
        <v>5</v>
      </c>
      <c r="H507" s="44">
        <f t="shared" si="7"/>
        <v>6.0600000000000001E-2</v>
      </c>
    </row>
    <row r="508" spans="1:8" ht="14" x14ac:dyDescent="0.3">
      <c r="A508" s="24">
        <v>507</v>
      </c>
      <c r="B508" s="24">
        <v>7.5800000000000006E-2</v>
      </c>
      <c r="C508" s="24">
        <v>0.56999999999999995</v>
      </c>
      <c r="D508" s="24">
        <v>0.1045</v>
      </c>
      <c r="E508" s="24">
        <v>0</v>
      </c>
      <c r="F508" s="24">
        <v>3</v>
      </c>
      <c r="G508" s="25">
        <v>3</v>
      </c>
      <c r="H508" s="44">
        <f t="shared" si="7"/>
        <v>7.5800000000000006E-2</v>
      </c>
    </row>
    <row r="509" spans="1:8" ht="14" x14ac:dyDescent="0.3">
      <c r="A509" s="24">
        <v>508</v>
      </c>
      <c r="B509" s="24">
        <v>7.5800000000000006E-2</v>
      </c>
      <c r="C509" s="24">
        <v>0.56999999999999995</v>
      </c>
      <c r="D509" s="24">
        <v>0.1045</v>
      </c>
      <c r="E509" s="24">
        <v>0</v>
      </c>
      <c r="F509" s="24">
        <v>1</v>
      </c>
      <c r="G509" s="25">
        <v>1</v>
      </c>
      <c r="H509" s="44">
        <f t="shared" si="7"/>
        <v>7.5800000000000006E-2</v>
      </c>
    </row>
    <row r="510" spans="1:8" ht="14" x14ac:dyDescent="0.3">
      <c r="A510" s="24">
        <v>509</v>
      </c>
      <c r="B510" s="24">
        <v>0.1061</v>
      </c>
      <c r="C510" s="24">
        <v>0.57999999999999996</v>
      </c>
      <c r="D510" s="24">
        <v>0.16420000000000001</v>
      </c>
      <c r="E510" s="24">
        <v>1</v>
      </c>
      <c r="F510" s="24">
        <v>1</v>
      </c>
      <c r="G510" s="25">
        <v>2</v>
      </c>
      <c r="H510" s="44">
        <f t="shared" si="7"/>
        <v>0.1061</v>
      </c>
    </row>
    <row r="511" spans="1:8" ht="14" x14ac:dyDescent="0.3">
      <c r="A511" s="24">
        <v>510</v>
      </c>
      <c r="B511" s="24">
        <v>7.5800000000000006E-2</v>
      </c>
      <c r="C511" s="24">
        <v>0.62</v>
      </c>
      <c r="D511" s="24">
        <v>0.16420000000000001</v>
      </c>
      <c r="E511" s="24">
        <v>2</v>
      </c>
      <c r="F511" s="24">
        <v>17</v>
      </c>
      <c r="G511" s="25">
        <v>19</v>
      </c>
      <c r="H511" s="44">
        <f t="shared" si="7"/>
        <v>7.5800000000000006E-2</v>
      </c>
    </row>
    <row r="512" spans="1:8" ht="14" x14ac:dyDescent="0.3">
      <c r="A512" s="24">
        <v>511</v>
      </c>
      <c r="B512" s="24">
        <v>7.5800000000000006E-2</v>
      </c>
      <c r="C512" s="24">
        <v>0.54</v>
      </c>
      <c r="D512" s="24">
        <v>0.35820000000000002</v>
      </c>
      <c r="E512" s="24">
        <v>3</v>
      </c>
      <c r="F512" s="24">
        <v>25</v>
      </c>
      <c r="G512" s="25">
        <v>28</v>
      </c>
      <c r="H512" s="44">
        <f t="shared" si="7"/>
        <v>7.5800000000000006E-2</v>
      </c>
    </row>
    <row r="513" spans="1:8" ht="14" x14ac:dyDescent="0.3">
      <c r="A513" s="24">
        <v>512</v>
      </c>
      <c r="B513" s="24">
        <v>0.1061</v>
      </c>
      <c r="C513" s="24">
        <v>0.46</v>
      </c>
      <c r="D513" s="24">
        <v>0.3881</v>
      </c>
      <c r="E513" s="24">
        <v>7</v>
      </c>
      <c r="F513" s="24">
        <v>51</v>
      </c>
      <c r="G513" s="25">
        <v>58</v>
      </c>
      <c r="H513" s="44">
        <f t="shared" si="7"/>
        <v>0.1061</v>
      </c>
    </row>
    <row r="514" spans="1:8" ht="14" x14ac:dyDescent="0.3">
      <c r="A514" s="24">
        <v>513</v>
      </c>
      <c r="B514" s="24">
        <v>0.13639999999999999</v>
      </c>
      <c r="C514" s="24">
        <v>0.43</v>
      </c>
      <c r="D514" s="24">
        <v>0.22389999999999999</v>
      </c>
      <c r="E514" s="24">
        <v>22</v>
      </c>
      <c r="F514" s="24">
        <v>77</v>
      </c>
      <c r="G514" s="25">
        <v>99</v>
      </c>
      <c r="H514" s="44">
        <f t="shared" ref="H514:H577" si="8">IF(ISBLANK(B514),0.197,B514)</f>
        <v>0.13639999999999999</v>
      </c>
    </row>
    <row r="515" spans="1:8" ht="14" x14ac:dyDescent="0.3">
      <c r="A515" s="24">
        <v>514</v>
      </c>
      <c r="B515" s="24">
        <v>0.1212</v>
      </c>
      <c r="C515" s="24">
        <v>0.37</v>
      </c>
      <c r="D515" s="24">
        <v>0.4627</v>
      </c>
      <c r="E515" s="24">
        <v>24</v>
      </c>
      <c r="F515" s="24">
        <v>92</v>
      </c>
      <c r="G515" s="25">
        <v>116</v>
      </c>
      <c r="H515" s="44">
        <f t="shared" si="8"/>
        <v>0.1212</v>
      </c>
    </row>
    <row r="516" spans="1:8" ht="14" x14ac:dyDescent="0.3">
      <c r="A516" s="24">
        <v>515</v>
      </c>
      <c r="B516" s="24">
        <v>0.1061</v>
      </c>
      <c r="C516" s="24">
        <v>0.33</v>
      </c>
      <c r="D516" s="24">
        <v>0.3881</v>
      </c>
      <c r="E516" s="24">
        <v>12</v>
      </c>
      <c r="F516" s="24">
        <v>75</v>
      </c>
      <c r="G516" s="25">
        <v>87</v>
      </c>
      <c r="H516" s="44">
        <f t="shared" si="8"/>
        <v>0.1061</v>
      </c>
    </row>
    <row r="517" spans="1:8" ht="14" x14ac:dyDescent="0.3">
      <c r="A517" s="24">
        <v>516</v>
      </c>
      <c r="B517" s="24">
        <v>0.13639999999999999</v>
      </c>
      <c r="C517" s="24">
        <v>0.28000000000000003</v>
      </c>
      <c r="D517" s="24">
        <v>0.35820000000000002</v>
      </c>
      <c r="E517" s="24">
        <v>17</v>
      </c>
      <c r="F517" s="24">
        <v>93</v>
      </c>
      <c r="G517" s="25">
        <v>110</v>
      </c>
      <c r="H517" s="44">
        <f t="shared" si="8"/>
        <v>0.13639999999999999</v>
      </c>
    </row>
    <row r="518" spans="1:8" ht="14" x14ac:dyDescent="0.3">
      <c r="A518" s="24">
        <v>517</v>
      </c>
      <c r="B518" s="24">
        <v>0.13639999999999999</v>
      </c>
      <c r="C518" s="24">
        <v>0.28000000000000003</v>
      </c>
      <c r="D518" s="24">
        <v>0.35820000000000002</v>
      </c>
      <c r="E518" s="24">
        <v>13</v>
      </c>
      <c r="F518" s="24">
        <v>64</v>
      </c>
      <c r="G518" s="25">
        <v>77</v>
      </c>
      <c r="H518" s="44">
        <f t="shared" si="8"/>
        <v>0.13639999999999999</v>
      </c>
    </row>
    <row r="519" spans="1:8" ht="14" x14ac:dyDescent="0.3">
      <c r="A519" s="24">
        <v>518</v>
      </c>
      <c r="B519" s="24">
        <v>0.13639999999999999</v>
      </c>
      <c r="C519" s="24">
        <v>0.26</v>
      </c>
      <c r="D519" s="24">
        <v>0.32840000000000003</v>
      </c>
      <c r="E519" s="24">
        <v>9</v>
      </c>
      <c r="F519" s="24">
        <v>56</v>
      </c>
      <c r="G519" s="25">
        <v>65</v>
      </c>
      <c r="H519" s="44">
        <f t="shared" si="8"/>
        <v>0.13639999999999999</v>
      </c>
    </row>
    <row r="520" spans="1:8" ht="14" x14ac:dyDescent="0.3">
      <c r="A520" s="24">
        <v>519</v>
      </c>
      <c r="B520" s="24">
        <v>0.1061</v>
      </c>
      <c r="C520" s="24">
        <v>0.26</v>
      </c>
      <c r="D520" s="24">
        <v>0.3881</v>
      </c>
      <c r="E520" s="24">
        <v>5</v>
      </c>
      <c r="F520" s="24">
        <v>50</v>
      </c>
      <c r="G520" s="25">
        <v>55</v>
      </c>
      <c r="H520" s="44">
        <f t="shared" si="8"/>
        <v>0.1061</v>
      </c>
    </row>
    <row r="521" spans="1:8" ht="14" x14ac:dyDescent="0.3">
      <c r="A521" s="24">
        <v>520</v>
      </c>
      <c r="B521" s="24">
        <v>0.1212</v>
      </c>
      <c r="C521" s="24">
        <v>0.3</v>
      </c>
      <c r="D521" s="24">
        <v>0.25369999999999998</v>
      </c>
      <c r="E521" s="24">
        <v>5</v>
      </c>
      <c r="F521" s="24">
        <v>44</v>
      </c>
      <c r="G521" s="25">
        <v>49</v>
      </c>
      <c r="H521" s="44">
        <f t="shared" si="8"/>
        <v>0.1212</v>
      </c>
    </row>
    <row r="522" spans="1:8" ht="14" x14ac:dyDescent="0.3">
      <c r="A522" s="24">
        <v>521</v>
      </c>
      <c r="B522" s="24">
        <v>0.1212</v>
      </c>
      <c r="C522" s="24">
        <v>0.3</v>
      </c>
      <c r="D522" s="24">
        <v>0.28360000000000002</v>
      </c>
      <c r="E522" s="24">
        <v>5</v>
      </c>
      <c r="F522" s="24">
        <v>45</v>
      </c>
      <c r="G522" s="25">
        <v>50</v>
      </c>
      <c r="H522" s="44">
        <f t="shared" si="8"/>
        <v>0.1212</v>
      </c>
    </row>
    <row r="523" spans="1:8" ht="14" x14ac:dyDescent="0.3">
      <c r="A523" s="24">
        <v>522</v>
      </c>
      <c r="B523" s="24">
        <v>0.1061</v>
      </c>
      <c r="C523" s="24">
        <v>0.36</v>
      </c>
      <c r="D523" s="24">
        <v>0.25369999999999998</v>
      </c>
      <c r="E523" s="24">
        <v>4</v>
      </c>
      <c r="F523" s="24">
        <v>31</v>
      </c>
      <c r="G523" s="25">
        <v>35</v>
      </c>
      <c r="H523" s="44">
        <f t="shared" si="8"/>
        <v>0.1061</v>
      </c>
    </row>
    <row r="524" spans="1:8" ht="14" x14ac:dyDescent="0.3">
      <c r="A524" s="24">
        <v>523</v>
      </c>
      <c r="B524" s="24">
        <v>0.1061</v>
      </c>
      <c r="C524" s="24">
        <v>0.36</v>
      </c>
      <c r="D524" s="24">
        <v>0.19400000000000001</v>
      </c>
      <c r="E524" s="24">
        <v>5</v>
      </c>
      <c r="F524" s="24">
        <v>20</v>
      </c>
      <c r="G524" s="25">
        <v>25</v>
      </c>
      <c r="H524" s="44">
        <f t="shared" si="8"/>
        <v>0.1061</v>
      </c>
    </row>
    <row r="525" spans="1:8" ht="14" x14ac:dyDescent="0.3">
      <c r="A525" s="24">
        <v>524</v>
      </c>
      <c r="B525" s="24">
        <v>9.0899999999999995E-2</v>
      </c>
      <c r="C525" s="24">
        <v>0.38</v>
      </c>
      <c r="D525" s="24">
        <v>0.19400000000000001</v>
      </c>
      <c r="E525" s="24">
        <v>5</v>
      </c>
      <c r="F525" s="24">
        <v>23</v>
      </c>
      <c r="G525" s="25">
        <v>28</v>
      </c>
      <c r="H525" s="44">
        <f t="shared" si="8"/>
        <v>9.0899999999999995E-2</v>
      </c>
    </row>
    <row r="526" spans="1:8" ht="14" x14ac:dyDescent="0.3">
      <c r="A526" s="24">
        <v>525</v>
      </c>
      <c r="B526" s="24">
        <v>6.0600000000000001E-2</v>
      </c>
      <c r="C526" s="24">
        <v>0.41</v>
      </c>
      <c r="D526" s="24">
        <v>0.22389999999999999</v>
      </c>
      <c r="E526" s="24">
        <v>4</v>
      </c>
      <c r="F526" s="24">
        <v>17</v>
      </c>
      <c r="G526" s="25">
        <v>21</v>
      </c>
      <c r="H526" s="44">
        <f t="shared" si="8"/>
        <v>6.0600000000000001E-2</v>
      </c>
    </row>
    <row r="527" spans="1:8" ht="14" x14ac:dyDescent="0.3">
      <c r="A527" s="24">
        <v>526</v>
      </c>
      <c r="B527" s="24">
        <v>6.0600000000000001E-2</v>
      </c>
      <c r="C527" s="24">
        <v>0.41</v>
      </c>
      <c r="D527" s="24">
        <v>0.19400000000000001</v>
      </c>
      <c r="E527" s="24">
        <v>0</v>
      </c>
      <c r="F527" s="24">
        <v>7</v>
      </c>
      <c r="G527" s="25">
        <v>7</v>
      </c>
      <c r="H527" s="44">
        <f t="shared" si="8"/>
        <v>6.0600000000000001E-2</v>
      </c>
    </row>
    <row r="528" spans="1:8" ht="14" x14ac:dyDescent="0.3">
      <c r="A528" s="24">
        <v>527</v>
      </c>
      <c r="B528" s="24">
        <v>4.5499999999999999E-2</v>
      </c>
      <c r="C528" s="24">
        <v>0.45</v>
      </c>
      <c r="D528" s="24">
        <v>0.19400000000000001</v>
      </c>
      <c r="E528" s="24">
        <v>0</v>
      </c>
      <c r="F528" s="24">
        <v>1</v>
      </c>
      <c r="G528" s="25">
        <v>1</v>
      </c>
      <c r="H528" s="44">
        <f t="shared" si="8"/>
        <v>4.5499999999999999E-2</v>
      </c>
    </row>
    <row r="529" spans="1:8" ht="14" x14ac:dyDescent="0.3">
      <c r="A529" s="24">
        <v>528</v>
      </c>
      <c r="B529" s="24">
        <v>3.0300000000000001E-2</v>
      </c>
      <c r="C529" s="24">
        <v>0.45</v>
      </c>
      <c r="D529" s="24">
        <v>0.25369999999999998</v>
      </c>
      <c r="E529" s="24">
        <v>0</v>
      </c>
      <c r="F529" s="24">
        <v>1</v>
      </c>
      <c r="G529" s="25">
        <v>1</v>
      </c>
      <c r="H529" s="44">
        <f t="shared" si="8"/>
        <v>3.0300000000000001E-2</v>
      </c>
    </row>
    <row r="530" spans="1:8" ht="14" x14ac:dyDescent="0.3">
      <c r="A530" s="24">
        <v>529</v>
      </c>
      <c r="B530" s="24">
        <v>6.0600000000000001E-2</v>
      </c>
      <c r="C530" s="24">
        <v>0.48</v>
      </c>
      <c r="D530" s="24">
        <v>0.1343</v>
      </c>
      <c r="E530" s="24">
        <v>0</v>
      </c>
      <c r="F530" s="24">
        <v>1</v>
      </c>
      <c r="G530" s="25">
        <v>1</v>
      </c>
      <c r="H530" s="44">
        <f t="shared" si="8"/>
        <v>6.0600000000000001E-2</v>
      </c>
    </row>
    <row r="531" spans="1:8" ht="14" x14ac:dyDescent="0.3">
      <c r="A531" s="24">
        <v>530</v>
      </c>
      <c r="B531" s="24">
        <v>6.0600000000000001E-2</v>
      </c>
      <c r="C531" s="24">
        <v>0.48</v>
      </c>
      <c r="D531" s="24">
        <v>0.1343</v>
      </c>
      <c r="E531" s="24">
        <v>0</v>
      </c>
      <c r="F531" s="24">
        <v>5</v>
      </c>
      <c r="G531" s="25">
        <v>5</v>
      </c>
      <c r="H531" s="44">
        <f t="shared" si="8"/>
        <v>6.0600000000000001E-2</v>
      </c>
    </row>
    <row r="532" spans="1:8" ht="14" x14ac:dyDescent="0.3">
      <c r="A532" s="24">
        <v>531</v>
      </c>
      <c r="B532" s="24">
        <v>7.5800000000000006E-2</v>
      </c>
      <c r="C532" s="24">
        <v>0.48</v>
      </c>
      <c r="D532" s="24">
        <v>8.9599999999999999E-2</v>
      </c>
      <c r="E532" s="24">
        <v>0</v>
      </c>
      <c r="F532" s="24">
        <v>15</v>
      </c>
      <c r="G532" s="25">
        <v>15</v>
      </c>
      <c r="H532" s="44">
        <f t="shared" si="8"/>
        <v>7.5800000000000006E-2</v>
      </c>
    </row>
    <row r="533" spans="1:8" ht="14" x14ac:dyDescent="0.3">
      <c r="A533" s="24">
        <v>532</v>
      </c>
      <c r="B533" s="24">
        <v>0.1212</v>
      </c>
      <c r="C533" s="24">
        <v>0.48</v>
      </c>
      <c r="D533" s="24">
        <v>0</v>
      </c>
      <c r="E533" s="24">
        <v>5</v>
      </c>
      <c r="F533" s="24">
        <v>79</v>
      </c>
      <c r="G533" s="25">
        <v>84</v>
      </c>
      <c r="H533" s="44">
        <f t="shared" si="8"/>
        <v>0.1212</v>
      </c>
    </row>
    <row r="534" spans="1:8" ht="14" x14ac:dyDescent="0.3">
      <c r="A534" s="24">
        <v>533</v>
      </c>
      <c r="B534" s="24">
        <v>0.13639999999999999</v>
      </c>
      <c r="C534" s="24">
        <v>0.49</v>
      </c>
      <c r="D534" s="24">
        <v>0</v>
      </c>
      <c r="E534" s="24">
        <v>6</v>
      </c>
      <c r="F534" s="24">
        <v>171</v>
      </c>
      <c r="G534" s="25">
        <v>177</v>
      </c>
      <c r="H534" s="44">
        <f t="shared" si="8"/>
        <v>0.13639999999999999</v>
      </c>
    </row>
    <row r="535" spans="1:8" ht="14" x14ac:dyDescent="0.3">
      <c r="A535" s="24">
        <v>534</v>
      </c>
      <c r="B535" s="24">
        <v>0.1515</v>
      </c>
      <c r="C535" s="24">
        <v>0.41</v>
      </c>
      <c r="D535" s="24">
        <v>0</v>
      </c>
      <c r="E535" s="24">
        <v>4</v>
      </c>
      <c r="F535" s="24">
        <v>98</v>
      </c>
      <c r="G535" s="25">
        <v>102</v>
      </c>
      <c r="H535" s="44">
        <f t="shared" si="8"/>
        <v>0.1515</v>
      </c>
    </row>
    <row r="536" spans="1:8" ht="14" x14ac:dyDescent="0.3">
      <c r="A536" s="24">
        <v>535</v>
      </c>
      <c r="B536" s="24">
        <v>0.13639999999999999</v>
      </c>
      <c r="C536" s="24">
        <v>0.42</v>
      </c>
      <c r="D536" s="24">
        <v>0</v>
      </c>
      <c r="E536" s="24">
        <v>6</v>
      </c>
      <c r="F536" s="24">
        <v>34</v>
      </c>
      <c r="G536" s="25">
        <v>40</v>
      </c>
      <c r="H536" s="44">
        <f t="shared" si="8"/>
        <v>0.13639999999999999</v>
      </c>
    </row>
    <row r="537" spans="1:8" ht="14" x14ac:dyDescent="0.3">
      <c r="A537" s="24">
        <v>536</v>
      </c>
      <c r="B537" s="24">
        <v>0.1212</v>
      </c>
      <c r="C537" s="24">
        <v>0.46</v>
      </c>
      <c r="D537" s="24">
        <v>0.1343</v>
      </c>
      <c r="E537" s="24">
        <v>3</v>
      </c>
      <c r="F537" s="24">
        <v>43</v>
      </c>
      <c r="G537" s="25">
        <v>46</v>
      </c>
      <c r="H537" s="44">
        <f t="shared" si="8"/>
        <v>0.1212</v>
      </c>
    </row>
    <row r="538" spans="1:8" ht="14" x14ac:dyDescent="0.3">
      <c r="A538" s="24">
        <v>537</v>
      </c>
      <c r="B538" s="24">
        <v>0.13639999999999999</v>
      </c>
      <c r="C538" s="24">
        <v>0.42</v>
      </c>
      <c r="D538" s="24">
        <v>0.19400000000000001</v>
      </c>
      <c r="E538" s="24">
        <v>11</v>
      </c>
      <c r="F538" s="24">
        <v>52</v>
      </c>
      <c r="G538" s="25">
        <v>63</v>
      </c>
      <c r="H538" s="44">
        <f t="shared" si="8"/>
        <v>0.13639999999999999</v>
      </c>
    </row>
    <row r="539" spans="1:8" ht="14" x14ac:dyDescent="0.3">
      <c r="A539" s="24">
        <v>538</v>
      </c>
      <c r="B539" s="24">
        <v>0.13639999999999999</v>
      </c>
      <c r="C539" s="24">
        <v>0.43</v>
      </c>
      <c r="D539" s="24">
        <v>0.22389999999999999</v>
      </c>
      <c r="E539" s="24">
        <v>6</v>
      </c>
      <c r="F539" s="24">
        <v>54</v>
      </c>
      <c r="G539" s="25">
        <v>60</v>
      </c>
      <c r="H539" s="44">
        <f t="shared" si="8"/>
        <v>0.13639999999999999</v>
      </c>
    </row>
    <row r="540" spans="1:8" ht="14" x14ac:dyDescent="0.3">
      <c r="A540" s="24">
        <v>539</v>
      </c>
      <c r="B540" s="24">
        <v>0.13639999999999999</v>
      </c>
      <c r="C540" s="24">
        <v>0.46</v>
      </c>
      <c r="D540" s="24">
        <v>0.22389999999999999</v>
      </c>
      <c r="E540" s="24">
        <v>2</v>
      </c>
      <c r="F540" s="24">
        <v>43</v>
      </c>
      <c r="G540" s="25">
        <v>45</v>
      </c>
      <c r="H540" s="44">
        <f t="shared" si="8"/>
        <v>0.13639999999999999</v>
      </c>
    </row>
    <row r="541" spans="1:8" ht="14" x14ac:dyDescent="0.3">
      <c r="A541" s="24">
        <v>540</v>
      </c>
      <c r="B541" s="24">
        <v>0.16669999999999999</v>
      </c>
      <c r="C541" s="24">
        <v>0.4</v>
      </c>
      <c r="D541" s="24">
        <v>0.16420000000000001</v>
      </c>
      <c r="E541" s="24">
        <v>7</v>
      </c>
      <c r="F541" s="24">
        <v>50</v>
      </c>
      <c r="G541" s="25">
        <v>57</v>
      </c>
      <c r="H541" s="44">
        <f t="shared" si="8"/>
        <v>0.16669999999999999</v>
      </c>
    </row>
    <row r="542" spans="1:8" ht="14" x14ac:dyDescent="0.3">
      <c r="A542" s="24">
        <v>541</v>
      </c>
      <c r="B542" s="24">
        <v>0.1515</v>
      </c>
      <c r="C542" s="24">
        <v>0.47</v>
      </c>
      <c r="D542" s="24">
        <v>0.25369999999999998</v>
      </c>
      <c r="E542" s="24">
        <v>4</v>
      </c>
      <c r="F542" s="24">
        <v>66</v>
      </c>
      <c r="G542" s="25">
        <v>70</v>
      </c>
      <c r="H542" s="44">
        <f t="shared" si="8"/>
        <v>0.1515</v>
      </c>
    </row>
    <row r="543" spans="1:8" ht="14" x14ac:dyDescent="0.3">
      <c r="A543" s="24">
        <v>542</v>
      </c>
      <c r="B543" s="24">
        <v>0.1212</v>
      </c>
      <c r="C543" s="24">
        <v>0.5</v>
      </c>
      <c r="D543" s="24">
        <v>0.25369999999999998</v>
      </c>
      <c r="E543" s="24">
        <v>6</v>
      </c>
      <c r="F543" s="24">
        <v>178</v>
      </c>
      <c r="G543" s="25">
        <v>184</v>
      </c>
      <c r="H543" s="44">
        <f t="shared" si="8"/>
        <v>0.1212</v>
      </c>
    </row>
    <row r="544" spans="1:8" ht="14" x14ac:dyDescent="0.3">
      <c r="A544" s="24">
        <v>543</v>
      </c>
      <c r="B544" s="24">
        <v>0.13639999999999999</v>
      </c>
      <c r="C544" s="24">
        <v>0.59</v>
      </c>
      <c r="D544" s="24">
        <v>0.19400000000000001</v>
      </c>
      <c r="E544" s="24">
        <v>8</v>
      </c>
      <c r="F544" s="24">
        <v>145</v>
      </c>
      <c r="G544" s="25">
        <v>153</v>
      </c>
      <c r="H544" s="44">
        <f t="shared" si="8"/>
        <v>0.13639999999999999</v>
      </c>
    </row>
    <row r="545" spans="1:8" ht="14" x14ac:dyDescent="0.3">
      <c r="A545" s="24">
        <v>544</v>
      </c>
      <c r="B545" s="24">
        <v>0.1515</v>
      </c>
      <c r="C545" s="24">
        <v>0.54</v>
      </c>
      <c r="D545" s="24">
        <v>0.16420000000000001</v>
      </c>
      <c r="E545" s="24">
        <v>5</v>
      </c>
      <c r="F545" s="24">
        <v>101</v>
      </c>
      <c r="G545" s="25">
        <v>106</v>
      </c>
      <c r="H545" s="44">
        <f t="shared" si="8"/>
        <v>0.1515</v>
      </c>
    </row>
    <row r="546" spans="1:8" ht="14" x14ac:dyDescent="0.3">
      <c r="A546" s="24">
        <v>545</v>
      </c>
      <c r="B546" s="24">
        <v>0.13639999999999999</v>
      </c>
      <c r="C546" s="24">
        <v>0.59</v>
      </c>
      <c r="D546" s="24">
        <v>0.19400000000000001</v>
      </c>
      <c r="E546" s="24">
        <v>1</v>
      </c>
      <c r="F546" s="24">
        <v>80</v>
      </c>
      <c r="G546" s="25">
        <v>81</v>
      </c>
      <c r="H546" s="44">
        <f t="shared" si="8"/>
        <v>0.13639999999999999</v>
      </c>
    </row>
    <row r="547" spans="1:8" ht="14" x14ac:dyDescent="0.3">
      <c r="A547" s="24">
        <v>546</v>
      </c>
      <c r="B547" s="24">
        <v>0.1515</v>
      </c>
      <c r="C547" s="24">
        <v>0.63</v>
      </c>
      <c r="D547" s="24">
        <v>0.16420000000000001</v>
      </c>
      <c r="E547" s="24">
        <v>6</v>
      </c>
      <c r="F547" s="24">
        <v>53</v>
      </c>
      <c r="G547" s="25">
        <v>59</v>
      </c>
      <c r="H547" s="44">
        <f t="shared" si="8"/>
        <v>0.1515</v>
      </c>
    </row>
    <row r="548" spans="1:8" ht="14" x14ac:dyDescent="0.3">
      <c r="A548" s="24">
        <v>547</v>
      </c>
      <c r="B548" s="24">
        <v>0.13639999999999999</v>
      </c>
      <c r="C548" s="24">
        <v>0.63</v>
      </c>
      <c r="D548" s="24">
        <v>0.22389999999999999</v>
      </c>
      <c r="E548" s="24">
        <v>3</v>
      </c>
      <c r="F548" s="24">
        <v>32</v>
      </c>
      <c r="G548" s="25">
        <v>35</v>
      </c>
      <c r="H548" s="44">
        <f t="shared" si="8"/>
        <v>0.13639999999999999</v>
      </c>
    </row>
    <row r="549" spans="1:8" ht="14" x14ac:dyDescent="0.3">
      <c r="A549" s="24">
        <v>548</v>
      </c>
      <c r="B549" s="24">
        <v>0.1515</v>
      </c>
      <c r="C549" s="24">
        <v>0.64</v>
      </c>
      <c r="D549" s="24">
        <v>0.25369999999999998</v>
      </c>
      <c r="E549" s="24">
        <v>3</v>
      </c>
      <c r="F549" s="24">
        <v>21</v>
      </c>
      <c r="G549" s="25">
        <v>24</v>
      </c>
      <c r="H549" s="44">
        <f t="shared" si="8"/>
        <v>0.1515</v>
      </c>
    </row>
    <row r="550" spans="1:8" ht="14" x14ac:dyDescent="0.3">
      <c r="A550" s="24">
        <v>549</v>
      </c>
      <c r="B550" s="24">
        <v>0.13639999999999999</v>
      </c>
      <c r="C550" s="24">
        <v>0.69</v>
      </c>
      <c r="D550" s="24">
        <v>0.28360000000000002</v>
      </c>
      <c r="E550" s="24">
        <v>3</v>
      </c>
      <c r="F550" s="24">
        <v>6</v>
      </c>
      <c r="G550" s="25">
        <v>9</v>
      </c>
      <c r="H550" s="44">
        <f t="shared" si="8"/>
        <v>0.13639999999999999</v>
      </c>
    </row>
    <row r="551" spans="1:8" ht="14" x14ac:dyDescent="0.3">
      <c r="A551" s="24">
        <v>550</v>
      </c>
      <c r="B551" s="24">
        <v>0.16669999999999999</v>
      </c>
      <c r="C551" s="24">
        <v>0.69</v>
      </c>
      <c r="D551" s="24">
        <v>0.16420000000000001</v>
      </c>
      <c r="E551" s="24">
        <v>0</v>
      </c>
      <c r="F551" s="24">
        <v>5</v>
      </c>
      <c r="G551" s="25">
        <v>5</v>
      </c>
      <c r="H551" s="44">
        <f t="shared" si="8"/>
        <v>0.16669999999999999</v>
      </c>
    </row>
    <row r="552" spans="1:8" ht="14" x14ac:dyDescent="0.3">
      <c r="A552" s="24">
        <v>551</v>
      </c>
      <c r="B552" s="24">
        <v>0.1515</v>
      </c>
      <c r="C552" s="24">
        <v>0.69</v>
      </c>
      <c r="D552" s="24">
        <v>0.22389999999999999</v>
      </c>
      <c r="E552" s="24">
        <v>0</v>
      </c>
      <c r="F552" s="24">
        <v>2</v>
      </c>
      <c r="G552" s="25">
        <v>2</v>
      </c>
      <c r="H552" s="44">
        <f t="shared" si="8"/>
        <v>0.1515</v>
      </c>
    </row>
    <row r="553" spans="1:8" ht="14" x14ac:dyDescent="0.3">
      <c r="A553" s="24">
        <v>552</v>
      </c>
      <c r="B553" s="24">
        <v>0.16669999999999999</v>
      </c>
      <c r="C553" s="24">
        <v>0.74</v>
      </c>
      <c r="D553" s="24">
        <v>0.1045</v>
      </c>
      <c r="E553" s="24">
        <v>0</v>
      </c>
      <c r="F553" s="24">
        <v>1</v>
      </c>
      <c r="G553" s="25">
        <v>1</v>
      </c>
      <c r="H553" s="44">
        <f t="shared" si="8"/>
        <v>0.16669999999999999</v>
      </c>
    </row>
    <row r="554" spans="1:8" ht="14" x14ac:dyDescent="0.3">
      <c r="A554" s="24">
        <v>553</v>
      </c>
      <c r="B554" s="24">
        <v>0.13639999999999999</v>
      </c>
      <c r="C554" s="24">
        <v>0.74</v>
      </c>
      <c r="D554" s="24">
        <v>0.22389999999999999</v>
      </c>
      <c r="E554" s="24">
        <v>0</v>
      </c>
      <c r="F554" s="24">
        <v>9</v>
      </c>
      <c r="G554" s="25">
        <v>9</v>
      </c>
      <c r="H554" s="44">
        <f t="shared" si="8"/>
        <v>0.13639999999999999</v>
      </c>
    </row>
    <row r="555" spans="1:8" ht="14" x14ac:dyDescent="0.3">
      <c r="A555" s="24">
        <v>554</v>
      </c>
      <c r="B555" s="24">
        <v>0.18179999999999999</v>
      </c>
      <c r="C555" s="24">
        <v>0.74</v>
      </c>
      <c r="D555" s="24">
        <v>0.1045</v>
      </c>
      <c r="E555" s="24">
        <v>1</v>
      </c>
      <c r="F555" s="24">
        <v>35</v>
      </c>
      <c r="G555" s="25">
        <v>36</v>
      </c>
      <c r="H555" s="44">
        <f t="shared" si="8"/>
        <v>0.18179999999999999</v>
      </c>
    </row>
    <row r="556" spans="1:8" ht="14" x14ac:dyDescent="0.3">
      <c r="A556" s="24">
        <v>555</v>
      </c>
      <c r="B556" s="24">
        <v>0.1515</v>
      </c>
      <c r="C556" s="24">
        <v>0.74</v>
      </c>
      <c r="D556" s="24">
        <v>0.22389999999999999</v>
      </c>
      <c r="E556" s="24">
        <v>5</v>
      </c>
      <c r="F556" s="24">
        <v>103</v>
      </c>
      <c r="G556" s="25">
        <v>108</v>
      </c>
      <c r="H556" s="44">
        <f t="shared" si="8"/>
        <v>0.1515</v>
      </c>
    </row>
    <row r="557" spans="1:8" ht="14" x14ac:dyDescent="0.3">
      <c r="A557" s="24">
        <v>556</v>
      </c>
      <c r="B557" s="24">
        <v>0.18179999999999999</v>
      </c>
      <c r="C557" s="24">
        <v>0.74</v>
      </c>
      <c r="D557" s="24">
        <v>0.1343</v>
      </c>
      <c r="E557" s="24">
        <v>5</v>
      </c>
      <c r="F557" s="24">
        <v>233</v>
      </c>
      <c r="G557" s="25">
        <v>238</v>
      </c>
      <c r="H557" s="44">
        <f t="shared" si="8"/>
        <v>0.18179999999999999</v>
      </c>
    </row>
    <row r="558" spans="1:8" ht="14" x14ac:dyDescent="0.3">
      <c r="A558" s="24">
        <v>557</v>
      </c>
      <c r="B558" s="24">
        <v>0.2273</v>
      </c>
      <c r="C558" s="24">
        <v>0.64</v>
      </c>
      <c r="D558" s="24">
        <v>8.9599999999999999E-2</v>
      </c>
      <c r="E558" s="24">
        <v>10</v>
      </c>
      <c r="F558" s="24">
        <v>134</v>
      </c>
      <c r="G558" s="25">
        <v>144</v>
      </c>
      <c r="H558" s="44">
        <f t="shared" si="8"/>
        <v>0.2273</v>
      </c>
    </row>
    <row r="559" spans="1:8" ht="14" x14ac:dyDescent="0.3">
      <c r="A559" s="24">
        <v>558</v>
      </c>
      <c r="B559" s="24">
        <v>0.2424</v>
      </c>
      <c r="C559" s="24">
        <v>0.6</v>
      </c>
      <c r="D559" s="24">
        <v>0.1045</v>
      </c>
      <c r="E559" s="24">
        <v>6</v>
      </c>
      <c r="F559" s="24">
        <v>49</v>
      </c>
      <c r="G559" s="25">
        <v>55</v>
      </c>
      <c r="H559" s="44">
        <f t="shared" si="8"/>
        <v>0.2424</v>
      </c>
    </row>
    <row r="560" spans="1:8" ht="14" x14ac:dyDescent="0.3">
      <c r="A560" s="24">
        <v>559</v>
      </c>
      <c r="B560" s="24">
        <v>0.2424</v>
      </c>
      <c r="C560" s="24">
        <v>0.6</v>
      </c>
      <c r="D560" s="24">
        <v>0.1343</v>
      </c>
      <c r="E560" s="24">
        <v>6</v>
      </c>
      <c r="F560" s="24">
        <v>55</v>
      </c>
      <c r="G560" s="25">
        <v>61</v>
      </c>
      <c r="H560" s="44">
        <f t="shared" si="8"/>
        <v>0.2424</v>
      </c>
    </row>
    <row r="561" spans="1:8" ht="14" x14ac:dyDescent="0.3">
      <c r="A561" s="24">
        <v>560</v>
      </c>
      <c r="B561" s="24">
        <v>0.28789999999999999</v>
      </c>
      <c r="C561" s="24">
        <v>0.56000000000000005</v>
      </c>
      <c r="D561" s="24">
        <v>8.9599999999999999E-2</v>
      </c>
      <c r="E561" s="24">
        <v>21</v>
      </c>
      <c r="F561" s="24">
        <v>85</v>
      </c>
      <c r="G561" s="25">
        <v>106</v>
      </c>
      <c r="H561" s="44">
        <f t="shared" si="8"/>
        <v>0.28789999999999999</v>
      </c>
    </row>
    <row r="562" spans="1:8" ht="14" x14ac:dyDescent="0.3">
      <c r="A562" s="24">
        <v>561</v>
      </c>
      <c r="B562" s="24">
        <v>0.2727</v>
      </c>
      <c r="C562" s="24">
        <v>0.56000000000000005</v>
      </c>
      <c r="D562" s="24">
        <v>0.1343</v>
      </c>
      <c r="E562" s="24">
        <v>21</v>
      </c>
      <c r="F562" s="24">
        <v>72</v>
      </c>
      <c r="G562" s="25">
        <v>93</v>
      </c>
      <c r="H562" s="44">
        <f t="shared" si="8"/>
        <v>0.2727</v>
      </c>
    </row>
    <row r="563" spans="1:8" ht="14" x14ac:dyDescent="0.3">
      <c r="A563" s="24">
        <v>562</v>
      </c>
      <c r="B563" s="24">
        <v>0.33329999999999999</v>
      </c>
      <c r="C563" s="24">
        <v>0.45</v>
      </c>
      <c r="D563" s="24">
        <v>0</v>
      </c>
      <c r="E563" s="24">
        <v>11</v>
      </c>
      <c r="F563" s="24">
        <v>57</v>
      </c>
      <c r="G563" s="25">
        <v>68</v>
      </c>
      <c r="H563" s="44">
        <f t="shared" si="8"/>
        <v>0.33329999999999999</v>
      </c>
    </row>
    <row r="564" spans="1:8" ht="14" x14ac:dyDescent="0.3">
      <c r="A564" s="24">
        <v>563</v>
      </c>
      <c r="B564" s="24">
        <v>0.34849999999999998</v>
      </c>
      <c r="C564" s="24">
        <v>0.42</v>
      </c>
      <c r="D564" s="24">
        <v>0</v>
      </c>
      <c r="E564" s="24">
        <v>21</v>
      </c>
      <c r="F564" s="24">
        <v>63</v>
      </c>
      <c r="G564" s="25">
        <v>84</v>
      </c>
      <c r="H564" s="44">
        <f t="shared" si="8"/>
        <v>0.34849999999999998</v>
      </c>
    </row>
    <row r="565" spans="1:8" ht="14" x14ac:dyDescent="0.3">
      <c r="A565" s="24">
        <v>564</v>
      </c>
      <c r="B565" s="24">
        <v>0.34849999999999998</v>
      </c>
      <c r="C565" s="24">
        <v>0.42</v>
      </c>
      <c r="D565" s="24">
        <v>0</v>
      </c>
      <c r="E565" s="24">
        <v>14</v>
      </c>
      <c r="F565" s="24">
        <v>102</v>
      </c>
      <c r="G565" s="25">
        <v>116</v>
      </c>
      <c r="H565" s="44">
        <f t="shared" si="8"/>
        <v>0.34849999999999998</v>
      </c>
    </row>
    <row r="566" spans="1:8" ht="14" x14ac:dyDescent="0.3">
      <c r="A566" s="24">
        <v>565</v>
      </c>
      <c r="B566" s="24">
        <v>0.33329999999999999</v>
      </c>
      <c r="C566" s="24">
        <v>0.45</v>
      </c>
      <c r="D566" s="24">
        <v>0</v>
      </c>
      <c r="E566" s="24">
        <v>14</v>
      </c>
      <c r="F566" s="24">
        <v>208</v>
      </c>
      <c r="G566" s="25">
        <v>222</v>
      </c>
      <c r="H566" s="44">
        <f t="shared" si="8"/>
        <v>0.33329999999999999</v>
      </c>
    </row>
    <row r="567" spans="1:8" ht="14" x14ac:dyDescent="0.3">
      <c r="A567" s="24">
        <v>566</v>
      </c>
      <c r="B567" s="24">
        <v>0.31819999999999998</v>
      </c>
      <c r="C567" s="24">
        <v>0.49</v>
      </c>
      <c r="D567" s="24">
        <v>8.9599999999999999E-2</v>
      </c>
      <c r="E567" s="24">
        <v>7</v>
      </c>
      <c r="F567" s="24">
        <v>218</v>
      </c>
      <c r="G567" s="25">
        <v>225</v>
      </c>
      <c r="H567" s="44">
        <f t="shared" si="8"/>
        <v>0.31819999999999998</v>
      </c>
    </row>
    <row r="568" spans="1:8" ht="14" x14ac:dyDescent="0.3">
      <c r="A568" s="24">
        <v>567</v>
      </c>
      <c r="B568" s="24">
        <v>0.2576</v>
      </c>
      <c r="C568" s="24">
        <v>0.65</v>
      </c>
      <c r="D568" s="24">
        <v>0.16420000000000001</v>
      </c>
      <c r="E568" s="24">
        <v>13</v>
      </c>
      <c r="F568" s="24">
        <v>133</v>
      </c>
      <c r="G568" s="25">
        <v>146</v>
      </c>
      <c r="H568" s="44">
        <f t="shared" si="8"/>
        <v>0.2576</v>
      </c>
    </row>
    <row r="569" spans="1:8" ht="14" x14ac:dyDescent="0.3">
      <c r="A569" s="24">
        <v>568</v>
      </c>
      <c r="B569" s="24">
        <v>0.2273</v>
      </c>
      <c r="C569" s="24">
        <v>0.65</v>
      </c>
      <c r="D569" s="24">
        <v>0.19400000000000001</v>
      </c>
      <c r="E569" s="24">
        <v>16</v>
      </c>
      <c r="F569" s="24">
        <v>103</v>
      </c>
      <c r="G569" s="25">
        <v>119</v>
      </c>
      <c r="H569" s="44">
        <f t="shared" si="8"/>
        <v>0.2273</v>
      </c>
    </row>
    <row r="570" spans="1:8" ht="14" x14ac:dyDescent="0.3">
      <c r="A570" s="24">
        <v>569</v>
      </c>
      <c r="B570" s="24">
        <v>0.2273</v>
      </c>
      <c r="C570" s="24">
        <v>0.65</v>
      </c>
      <c r="D570" s="24">
        <v>0.19400000000000001</v>
      </c>
      <c r="E570" s="24">
        <v>5</v>
      </c>
      <c r="F570" s="24">
        <v>40</v>
      </c>
      <c r="G570" s="25">
        <v>45</v>
      </c>
      <c r="H570" s="44">
        <f t="shared" si="8"/>
        <v>0.2273</v>
      </c>
    </row>
    <row r="571" spans="1:8" ht="14" x14ac:dyDescent="0.3">
      <c r="A571" s="24">
        <v>570</v>
      </c>
      <c r="B571" s="24">
        <v>0.2273</v>
      </c>
      <c r="C571" s="24">
        <v>0.64</v>
      </c>
      <c r="D571" s="24">
        <v>0.16420000000000001</v>
      </c>
      <c r="E571" s="24">
        <v>4</v>
      </c>
      <c r="F571" s="24">
        <v>49</v>
      </c>
      <c r="G571" s="25">
        <v>53</v>
      </c>
      <c r="H571" s="44">
        <f t="shared" si="8"/>
        <v>0.2273</v>
      </c>
    </row>
    <row r="572" spans="1:8" ht="14" x14ac:dyDescent="0.3">
      <c r="A572" s="24">
        <v>571</v>
      </c>
      <c r="B572" s="24">
        <v>0.2273</v>
      </c>
      <c r="C572" s="24">
        <v>0.64</v>
      </c>
      <c r="D572" s="24">
        <v>0.16420000000000001</v>
      </c>
      <c r="E572" s="24">
        <v>3</v>
      </c>
      <c r="F572" s="24">
        <v>37</v>
      </c>
      <c r="G572" s="25">
        <v>40</v>
      </c>
      <c r="H572" s="44">
        <f t="shared" si="8"/>
        <v>0.2273</v>
      </c>
    </row>
    <row r="573" spans="1:8" ht="14" x14ac:dyDescent="0.3">
      <c r="A573" s="24">
        <v>572</v>
      </c>
      <c r="B573" s="24">
        <v>0.2273</v>
      </c>
      <c r="C573" s="24">
        <v>0.69</v>
      </c>
      <c r="D573" s="24">
        <v>0.1343</v>
      </c>
      <c r="E573" s="24">
        <v>3</v>
      </c>
      <c r="F573" s="24">
        <v>14</v>
      </c>
      <c r="G573" s="25">
        <v>17</v>
      </c>
      <c r="H573" s="44">
        <f t="shared" si="8"/>
        <v>0.2273</v>
      </c>
    </row>
    <row r="574" spans="1:8" ht="14" x14ac:dyDescent="0.3">
      <c r="A574" s="24">
        <v>573</v>
      </c>
      <c r="B574" s="24">
        <v>0.2424</v>
      </c>
      <c r="C574" s="24">
        <v>0.65</v>
      </c>
      <c r="D574" s="24">
        <v>0.1343</v>
      </c>
      <c r="E574" s="24">
        <v>0</v>
      </c>
      <c r="F574" s="24">
        <v>5</v>
      </c>
      <c r="G574" s="25">
        <v>5</v>
      </c>
      <c r="H574" s="44">
        <f t="shared" si="8"/>
        <v>0.2424</v>
      </c>
    </row>
    <row r="575" spans="1:8" ht="14" x14ac:dyDescent="0.3">
      <c r="A575" s="24">
        <v>574</v>
      </c>
      <c r="B575" s="24">
        <v>0.2273</v>
      </c>
      <c r="C575" s="24">
        <v>0.69</v>
      </c>
      <c r="D575" s="24">
        <v>0.19400000000000001</v>
      </c>
      <c r="E575" s="24">
        <v>3</v>
      </c>
      <c r="F575" s="24">
        <v>7</v>
      </c>
      <c r="G575" s="25">
        <v>10</v>
      </c>
      <c r="H575" s="44">
        <f t="shared" si="8"/>
        <v>0.2273</v>
      </c>
    </row>
    <row r="576" spans="1:8" ht="14" x14ac:dyDescent="0.3">
      <c r="A576" s="24">
        <v>575</v>
      </c>
      <c r="B576" s="24">
        <v>0.18179999999999999</v>
      </c>
      <c r="C576" s="24">
        <v>0.86</v>
      </c>
      <c r="D576" s="24">
        <v>0.28360000000000002</v>
      </c>
      <c r="E576" s="24">
        <v>0</v>
      </c>
      <c r="F576" s="24">
        <v>1</v>
      </c>
      <c r="G576" s="25">
        <v>1</v>
      </c>
      <c r="H576" s="44">
        <f t="shared" si="8"/>
        <v>0.18179999999999999</v>
      </c>
    </row>
    <row r="577" spans="1:8" ht="14" x14ac:dyDescent="0.3">
      <c r="A577" s="24">
        <v>576</v>
      </c>
      <c r="B577" s="24">
        <v>0.18179999999999999</v>
      </c>
      <c r="C577" s="24">
        <v>0.86</v>
      </c>
      <c r="D577" s="24">
        <v>0.28360000000000002</v>
      </c>
      <c r="E577" s="24">
        <v>0</v>
      </c>
      <c r="F577" s="24">
        <v>8</v>
      </c>
      <c r="G577" s="25">
        <v>8</v>
      </c>
      <c r="H577" s="44">
        <f t="shared" si="8"/>
        <v>0.18179999999999999</v>
      </c>
    </row>
    <row r="578" spans="1:8" ht="14" x14ac:dyDescent="0.3">
      <c r="A578" s="24">
        <v>577</v>
      </c>
      <c r="B578" s="24">
        <v>0.21210000000000001</v>
      </c>
      <c r="C578" s="24">
        <v>0.87</v>
      </c>
      <c r="D578" s="24">
        <v>0.29849999999999999</v>
      </c>
      <c r="E578" s="24">
        <v>1</v>
      </c>
      <c r="F578" s="24">
        <v>29</v>
      </c>
      <c r="G578" s="25">
        <v>30</v>
      </c>
      <c r="H578" s="44">
        <f t="shared" ref="H578:H611" si="9">IF(ISBLANK(B578),0.197,B578)</f>
        <v>0.21210000000000001</v>
      </c>
    </row>
    <row r="579" spans="1:8" ht="14" x14ac:dyDescent="0.3">
      <c r="A579" s="24">
        <v>578</v>
      </c>
      <c r="B579" s="24">
        <v>0.21210000000000001</v>
      </c>
      <c r="C579" s="24">
        <v>0.87</v>
      </c>
      <c r="D579" s="24">
        <v>0.29849999999999999</v>
      </c>
      <c r="E579" s="24">
        <v>3</v>
      </c>
      <c r="F579" s="24">
        <v>69</v>
      </c>
      <c r="G579" s="25">
        <v>72</v>
      </c>
      <c r="H579" s="44">
        <f t="shared" si="9"/>
        <v>0.21210000000000001</v>
      </c>
    </row>
    <row r="580" spans="1:8" ht="14" x14ac:dyDescent="0.3">
      <c r="A580" s="24">
        <v>579</v>
      </c>
      <c r="B580" s="24">
        <v>0.21210000000000001</v>
      </c>
      <c r="C580" s="24">
        <v>0.87</v>
      </c>
      <c r="D580" s="24">
        <v>0.29849999999999999</v>
      </c>
      <c r="E580" s="24">
        <v>3</v>
      </c>
      <c r="F580" s="24">
        <v>55</v>
      </c>
      <c r="G580" s="25">
        <v>58</v>
      </c>
      <c r="H580" s="44">
        <f t="shared" si="9"/>
        <v>0.21210000000000001</v>
      </c>
    </row>
    <row r="581" spans="1:8" ht="14" x14ac:dyDescent="0.3">
      <c r="A581" s="24">
        <v>580</v>
      </c>
      <c r="B581" s="24">
        <v>0.21210000000000001</v>
      </c>
      <c r="C581" s="24">
        <v>0.93</v>
      </c>
      <c r="D581" s="24">
        <v>0.28360000000000002</v>
      </c>
      <c r="E581" s="24">
        <v>2</v>
      </c>
      <c r="F581" s="24">
        <v>26</v>
      </c>
      <c r="G581" s="25">
        <v>28</v>
      </c>
      <c r="H581" s="44">
        <f t="shared" si="9"/>
        <v>0.21210000000000001</v>
      </c>
    </row>
    <row r="582" spans="1:8" ht="14" x14ac:dyDescent="0.3">
      <c r="A582" s="24">
        <v>581</v>
      </c>
      <c r="B582" s="24">
        <v>0.19700000000000001</v>
      </c>
      <c r="C582" s="24">
        <v>0.93</v>
      </c>
      <c r="D582" s="24">
        <v>0.32840000000000003</v>
      </c>
      <c r="E582" s="24">
        <v>6</v>
      </c>
      <c r="F582" s="24">
        <v>35</v>
      </c>
      <c r="G582" s="25">
        <v>41</v>
      </c>
      <c r="H582" s="44">
        <f t="shared" si="9"/>
        <v>0.19700000000000001</v>
      </c>
    </row>
    <row r="583" spans="1:8" ht="14" x14ac:dyDescent="0.3">
      <c r="A583" s="24">
        <v>582</v>
      </c>
      <c r="B583" s="24">
        <v>0.19700000000000001</v>
      </c>
      <c r="C583" s="24">
        <v>0.93</v>
      </c>
      <c r="D583" s="24">
        <v>0.32840000000000003</v>
      </c>
      <c r="E583" s="24">
        <v>7</v>
      </c>
      <c r="F583" s="24">
        <v>41</v>
      </c>
      <c r="G583" s="25">
        <v>48</v>
      </c>
      <c r="H583" s="44">
        <f t="shared" si="9"/>
        <v>0.19700000000000001</v>
      </c>
    </row>
    <row r="584" spans="1:8" ht="14" x14ac:dyDescent="0.3">
      <c r="A584" s="24">
        <v>583</v>
      </c>
      <c r="B584" s="24">
        <v>0.19700000000000001</v>
      </c>
      <c r="C584" s="24">
        <v>0.93</v>
      </c>
      <c r="D584" s="24">
        <v>0.32840000000000003</v>
      </c>
      <c r="E584" s="24">
        <v>4</v>
      </c>
      <c r="F584" s="24">
        <v>43</v>
      </c>
      <c r="G584" s="25">
        <v>47</v>
      </c>
      <c r="H584" s="44">
        <f t="shared" si="9"/>
        <v>0.19700000000000001</v>
      </c>
    </row>
    <row r="585" spans="1:8" ht="14" x14ac:dyDescent="0.3">
      <c r="A585" s="24">
        <v>584</v>
      </c>
      <c r="B585" s="24">
        <v>0.19700000000000001</v>
      </c>
      <c r="C585" s="24">
        <v>0.93</v>
      </c>
      <c r="D585" s="24">
        <v>0.35820000000000002</v>
      </c>
      <c r="E585" s="24">
        <v>0</v>
      </c>
      <c r="F585" s="24">
        <v>36</v>
      </c>
      <c r="G585" s="25">
        <v>36</v>
      </c>
      <c r="H585" s="44">
        <f t="shared" si="9"/>
        <v>0.19700000000000001</v>
      </c>
    </row>
    <row r="586" spans="1:8" ht="14" x14ac:dyDescent="0.3">
      <c r="A586" s="24">
        <v>585</v>
      </c>
      <c r="B586" s="24">
        <v>0.18179999999999999</v>
      </c>
      <c r="C586" s="24">
        <v>0.93</v>
      </c>
      <c r="D586" s="24">
        <v>0.4627</v>
      </c>
      <c r="E586" s="24">
        <v>1</v>
      </c>
      <c r="F586" s="24">
        <v>42</v>
      </c>
      <c r="G586" s="25">
        <v>43</v>
      </c>
      <c r="H586" s="44">
        <f t="shared" si="9"/>
        <v>0.18179999999999999</v>
      </c>
    </row>
    <row r="587" spans="1:8" ht="14" x14ac:dyDescent="0.3">
      <c r="A587" s="24">
        <v>586</v>
      </c>
      <c r="B587" s="24">
        <v>0.19700000000000001</v>
      </c>
      <c r="C587" s="24">
        <v>0.93</v>
      </c>
      <c r="D587" s="24">
        <v>0.32840000000000003</v>
      </c>
      <c r="E587" s="24">
        <v>1</v>
      </c>
      <c r="F587" s="24">
        <v>35</v>
      </c>
      <c r="G587" s="25">
        <v>36</v>
      </c>
      <c r="H587" s="44">
        <f t="shared" si="9"/>
        <v>0.19700000000000001</v>
      </c>
    </row>
    <row r="588" spans="1:8" ht="14" x14ac:dyDescent="0.3">
      <c r="A588" s="24">
        <v>587</v>
      </c>
      <c r="B588" s="24">
        <v>0.18179999999999999</v>
      </c>
      <c r="C588" s="24">
        <v>0.93</v>
      </c>
      <c r="D588" s="24">
        <v>0.35820000000000002</v>
      </c>
      <c r="E588" s="24">
        <v>0</v>
      </c>
      <c r="F588" s="24">
        <v>26</v>
      </c>
      <c r="G588" s="25">
        <v>26</v>
      </c>
      <c r="H588" s="44">
        <f t="shared" si="9"/>
        <v>0.18179999999999999</v>
      </c>
    </row>
    <row r="589" spans="1:8" ht="14" x14ac:dyDescent="0.3">
      <c r="A589" s="24">
        <v>588</v>
      </c>
      <c r="B589" s="24">
        <v>0.2273</v>
      </c>
      <c r="C589" s="24">
        <v>0.55000000000000004</v>
      </c>
      <c r="D589" s="24">
        <v>0.19400000000000001</v>
      </c>
      <c r="E589" s="24">
        <v>1</v>
      </c>
      <c r="F589" s="24">
        <v>23</v>
      </c>
      <c r="G589" s="25">
        <v>24</v>
      </c>
      <c r="H589" s="44">
        <f t="shared" si="9"/>
        <v>0.2273</v>
      </c>
    </row>
    <row r="590" spans="1:8" ht="14" x14ac:dyDescent="0.3">
      <c r="A590" s="24">
        <v>589</v>
      </c>
      <c r="B590" s="24">
        <v>0.2424</v>
      </c>
      <c r="C590" s="24">
        <v>0.55000000000000004</v>
      </c>
      <c r="D590" s="24">
        <v>0.1045</v>
      </c>
      <c r="E590" s="24">
        <v>2</v>
      </c>
      <c r="F590" s="24">
        <v>82</v>
      </c>
      <c r="G590" s="25">
        <v>84</v>
      </c>
      <c r="H590" s="44">
        <f t="shared" si="9"/>
        <v>0.2424</v>
      </c>
    </row>
    <row r="591" spans="1:8" ht="14" x14ac:dyDescent="0.3">
      <c r="A591" s="24">
        <v>590</v>
      </c>
      <c r="B591" s="24">
        <v>0.2273</v>
      </c>
      <c r="C591" s="24">
        <v>0.69</v>
      </c>
      <c r="D591" s="24">
        <v>8.9599999999999999E-2</v>
      </c>
      <c r="E591" s="24">
        <v>3</v>
      </c>
      <c r="F591" s="24">
        <v>101</v>
      </c>
      <c r="G591" s="25">
        <v>104</v>
      </c>
      <c r="H591" s="44">
        <f t="shared" si="9"/>
        <v>0.2273</v>
      </c>
    </row>
    <row r="592" spans="1:8" ht="14" x14ac:dyDescent="0.3">
      <c r="A592" s="24">
        <v>591</v>
      </c>
      <c r="B592" s="24">
        <v>0.2273</v>
      </c>
      <c r="C592" s="24">
        <v>0.69</v>
      </c>
      <c r="D592" s="24">
        <v>8.9599999999999999E-2</v>
      </c>
      <c r="E592" s="24">
        <v>3</v>
      </c>
      <c r="F592" s="24">
        <v>76</v>
      </c>
      <c r="G592" s="25">
        <v>79</v>
      </c>
      <c r="H592" s="44">
        <f t="shared" si="9"/>
        <v>0.2273</v>
      </c>
    </row>
    <row r="593" spans="1:8" ht="14" x14ac:dyDescent="0.3">
      <c r="A593" s="24">
        <v>592</v>
      </c>
      <c r="B593" s="24">
        <v>0.21210000000000001</v>
      </c>
      <c r="C593" s="24">
        <v>0.74</v>
      </c>
      <c r="D593" s="24">
        <v>8.9599999999999999E-2</v>
      </c>
      <c r="E593" s="24">
        <v>4</v>
      </c>
      <c r="F593" s="24">
        <v>55</v>
      </c>
      <c r="G593" s="25">
        <v>59</v>
      </c>
      <c r="H593" s="44">
        <f t="shared" si="9"/>
        <v>0.21210000000000001</v>
      </c>
    </row>
    <row r="594" spans="1:8" ht="14" x14ac:dyDescent="0.3">
      <c r="A594" s="24">
        <v>593</v>
      </c>
      <c r="B594" s="24">
        <v>0.21210000000000001</v>
      </c>
      <c r="C594" s="24">
        <v>0.74</v>
      </c>
      <c r="D594" s="24">
        <v>8.9599999999999999E-2</v>
      </c>
      <c r="E594" s="24">
        <v>2</v>
      </c>
      <c r="F594" s="24">
        <v>36</v>
      </c>
      <c r="G594" s="25">
        <v>38</v>
      </c>
      <c r="H594" s="44">
        <f t="shared" si="9"/>
        <v>0.21210000000000001</v>
      </c>
    </row>
    <row r="595" spans="1:8" ht="14" x14ac:dyDescent="0.3">
      <c r="A595" s="24">
        <v>594</v>
      </c>
      <c r="B595" s="24">
        <v>0.21210000000000001</v>
      </c>
      <c r="C595" s="24">
        <v>0.74</v>
      </c>
      <c r="D595" s="24">
        <v>8.9599999999999999E-2</v>
      </c>
      <c r="E595" s="24">
        <v>0</v>
      </c>
      <c r="F595" s="24">
        <v>27</v>
      </c>
      <c r="G595" s="25">
        <v>27</v>
      </c>
      <c r="H595" s="44">
        <f t="shared" si="9"/>
        <v>0.21210000000000001</v>
      </c>
    </row>
    <row r="596" spans="1:8" ht="14" x14ac:dyDescent="0.3">
      <c r="A596" s="24">
        <v>595</v>
      </c>
      <c r="B596" s="24">
        <v>0.19700000000000001</v>
      </c>
      <c r="C596" s="24">
        <v>0.8</v>
      </c>
      <c r="D596" s="24">
        <v>0.16420000000000001</v>
      </c>
      <c r="E596" s="24">
        <v>0</v>
      </c>
      <c r="F596" s="24">
        <v>16</v>
      </c>
      <c r="G596" s="25">
        <v>16</v>
      </c>
      <c r="H596" s="44">
        <f t="shared" si="9"/>
        <v>0.19700000000000001</v>
      </c>
    </row>
    <row r="597" spans="1:8" ht="14" x14ac:dyDescent="0.3">
      <c r="A597" s="24">
        <v>596</v>
      </c>
      <c r="B597" s="24">
        <v>0.21210000000000001</v>
      </c>
      <c r="C597" s="24">
        <v>0.75</v>
      </c>
      <c r="D597" s="24">
        <v>0.1343</v>
      </c>
      <c r="E597" s="24">
        <v>0</v>
      </c>
      <c r="F597" s="24">
        <v>9</v>
      </c>
      <c r="G597" s="25">
        <v>9</v>
      </c>
      <c r="H597" s="44">
        <f t="shared" si="9"/>
        <v>0.21210000000000001</v>
      </c>
    </row>
    <row r="598" spans="1:8" ht="14" x14ac:dyDescent="0.3">
      <c r="A598" s="24">
        <v>597</v>
      </c>
      <c r="B598" s="24">
        <v>0.21210000000000001</v>
      </c>
      <c r="C598" s="24">
        <v>0.75</v>
      </c>
      <c r="D598" s="24">
        <v>0.1343</v>
      </c>
      <c r="E598" s="24">
        <v>1</v>
      </c>
      <c r="F598" s="24">
        <v>2</v>
      </c>
      <c r="G598" s="25">
        <v>3</v>
      </c>
      <c r="H598" s="44">
        <f t="shared" si="9"/>
        <v>0.21210000000000001</v>
      </c>
    </row>
    <row r="599" spans="1:8" ht="14" x14ac:dyDescent="0.3">
      <c r="A599" s="24">
        <v>598</v>
      </c>
      <c r="B599" s="24">
        <v>0.21210000000000001</v>
      </c>
      <c r="C599" s="24">
        <v>0.75</v>
      </c>
      <c r="D599" s="24">
        <v>0.16420000000000001</v>
      </c>
      <c r="E599" s="24">
        <v>0</v>
      </c>
      <c r="F599" s="24">
        <v>2</v>
      </c>
      <c r="G599" s="25">
        <v>2</v>
      </c>
      <c r="H599" s="44">
        <f t="shared" si="9"/>
        <v>0.21210000000000001</v>
      </c>
    </row>
    <row r="600" spans="1:8" ht="14" x14ac:dyDescent="0.3">
      <c r="A600" s="24">
        <v>599</v>
      </c>
      <c r="B600" s="24">
        <v>0.2273</v>
      </c>
      <c r="C600" s="24">
        <v>0.75</v>
      </c>
      <c r="D600" s="24">
        <v>0.1045</v>
      </c>
      <c r="E600" s="24">
        <v>1</v>
      </c>
      <c r="F600" s="24">
        <v>0</v>
      </c>
      <c r="G600" s="25">
        <v>1</v>
      </c>
      <c r="H600" s="44">
        <f t="shared" si="9"/>
        <v>0.2273</v>
      </c>
    </row>
    <row r="601" spans="1:8" ht="14" x14ac:dyDescent="0.3">
      <c r="A601" s="24">
        <v>600</v>
      </c>
      <c r="B601" s="24">
        <v>0.21210000000000001</v>
      </c>
      <c r="C601" s="24">
        <v>0.8</v>
      </c>
      <c r="D601" s="24">
        <v>0.1045</v>
      </c>
      <c r="E601" s="24">
        <v>0</v>
      </c>
      <c r="F601" s="24">
        <v>4</v>
      </c>
      <c r="G601" s="25">
        <v>4</v>
      </c>
      <c r="H601" s="44">
        <f t="shared" si="9"/>
        <v>0.21210000000000001</v>
      </c>
    </row>
    <row r="602" spans="1:8" ht="14" x14ac:dyDescent="0.3">
      <c r="A602" s="24">
        <v>601</v>
      </c>
      <c r="B602" s="24">
        <v>0.19700000000000001</v>
      </c>
      <c r="C602" s="24">
        <v>0.8</v>
      </c>
      <c r="D602" s="24">
        <v>0.1343</v>
      </c>
      <c r="E602" s="24">
        <v>0</v>
      </c>
      <c r="F602" s="24">
        <v>16</v>
      </c>
      <c r="G602" s="25">
        <v>16</v>
      </c>
      <c r="H602" s="44">
        <f t="shared" si="9"/>
        <v>0.19700000000000001</v>
      </c>
    </row>
    <row r="603" spans="1:8" ht="14" x14ac:dyDescent="0.3">
      <c r="A603" s="24">
        <v>602</v>
      </c>
      <c r="B603" s="24">
        <v>0.19700000000000001</v>
      </c>
      <c r="C603" s="24">
        <v>0.86</v>
      </c>
      <c r="D603" s="24">
        <v>8.9599999999999999E-2</v>
      </c>
      <c r="E603" s="24">
        <v>2</v>
      </c>
      <c r="F603" s="24">
        <v>58</v>
      </c>
      <c r="G603" s="25">
        <v>60</v>
      </c>
      <c r="H603" s="44">
        <f t="shared" si="9"/>
        <v>0.19700000000000001</v>
      </c>
    </row>
    <row r="604" spans="1:8" ht="14" x14ac:dyDescent="0.3">
      <c r="A604" s="24">
        <v>603</v>
      </c>
      <c r="B604" s="24">
        <v>0.19700000000000001</v>
      </c>
      <c r="C604" s="24">
        <v>0.86</v>
      </c>
      <c r="D604" s="24">
        <v>8.9599999999999999E-2</v>
      </c>
      <c r="E604" s="24">
        <v>2</v>
      </c>
      <c r="F604" s="24">
        <v>155</v>
      </c>
      <c r="G604" s="25">
        <v>157</v>
      </c>
      <c r="H604" s="44">
        <f t="shared" si="9"/>
        <v>0.19700000000000001</v>
      </c>
    </row>
    <row r="605" spans="1:8" ht="14" x14ac:dyDescent="0.3">
      <c r="A605" s="24">
        <v>604</v>
      </c>
      <c r="B605" s="24">
        <v>0.21210000000000001</v>
      </c>
      <c r="C605" s="24">
        <v>0.86</v>
      </c>
      <c r="D605" s="24">
        <v>8.9599999999999999E-2</v>
      </c>
      <c r="E605" s="24">
        <v>6</v>
      </c>
      <c r="F605" s="24">
        <v>95</v>
      </c>
      <c r="G605" s="25">
        <v>101</v>
      </c>
      <c r="H605" s="44">
        <f t="shared" si="9"/>
        <v>0.21210000000000001</v>
      </c>
    </row>
    <row r="606" spans="1:8" ht="14" x14ac:dyDescent="0.3">
      <c r="A606" s="24">
        <v>605</v>
      </c>
      <c r="B606" s="24">
        <v>0.21210000000000001</v>
      </c>
      <c r="C606" s="24">
        <v>0.86</v>
      </c>
      <c r="D606" s="24">
        <v>0.1045</v>
      </c>
      <c r="E606" s="24">
        <v>0</v>
      </c>
      <c r="F606" s="24">
        <v>49</v>
      </c>
      <c r="G606" s="25">
        <v>49</v>
      </c>
      <c r="H606" s="44">
        <f t="shared" si="9"/>
        <v>0.21210000000000001</v>
      </c>
    </row>
    <row r="607" spans="1:8" ht="14" x14ac:dyDescent="0.3">
      <c r="A607" s="24">
        <v>606</v>
      </c>
      <c r="B607" s="24">
        <v>0.21210000000000001</v>
      </c>
      <c r="C607" s="24">
        <v>0.93</v>
      </c>
      <c r="D607" s="24">
        <v>0.1045</v>
      </c>
      <c r="E607" s="24">
        <v>0</v>
      </c>
      <c r="F607" s="24">
        <v>30</v>
      </c>
      <c r="G607" s="25">
        <v>30</v>
      </c>
      <c r="H607" s="44">
        <f t="shared" si="9"/>
        <v>0.21210000000000001</v>
      </c>
    </row>
    <row r="608" spans="1:8" ht="14" x14ac:dyDescent="0.3">
      <c r="A608" s="24">
        <v>607</v>
      </c>
      <c r="B608" s="24">
        <v>0.21210000000000001</v>
      </c>
      <c r="C608" s="24">
        <v>0.93</v>
      </c>
      <c r="D608" s="24">
        <v>0.1045</v>
      </c>
      <c r="E608" s="24">
        <v>1</v>
      </c>
      <c r="F608" s="24">
        <v>28</v>
      </c>
      <c r="G608" s="25">
        <v>29</v>
      </c>
      <c r="H608" s="44">
        <f t="shared" si="9"/>
        <v>0.21210000000000001</v>
      </c>
    </row>
    <row r="609" spans="1:8" ht="14" x14ac:dyDescent="0.3">
      <c r="A609" s="24">
        <v>608</v>
      </c>
      <c r="B609" s="24">
        <v>0.21210000000000001</v>
      </c>
      <c r="C609" s="24">
        <v>0.93</v>
      </c>
      <c r="D609" s="24">
        <v>0.1045</v>
      </c>
      <c r="E609" s="24">
        <v>0</v>
      </c>
      <c r="F609" s="24">
        <v>31</v>
      </c>
      <c r="G609" s="25">
        <v>31</v>
      </c>
      <c r="H609" s="44">
        <f t="shared" si="9"/>
        <v>0.21210000000000001</v>
      </c>
    </row>
    <row r="610" spans="1:8" ht="14" x14ac:dyDescent="0.3">
      <c r="A610" s="24">
        <v>609</v>
      </c>
      <c r="B610" s="24">
        <v>0.2727</v>
      </c>
      <c r="C610" s="24">
        <v>0.8</v>
      </c>
      <c r="D610" s="24">
        <v>0</v>
      </c>
      <c r="E610" s="24">
        <v>2</v>
      </c>
      <c r="F610" s="24">
        <v>36</v>
      </c>
      <c r="G610" s="25">
        <v>38</v>
      </c>
      <c r="H610" s="44">
        <f t="shared" si="9"/>
        <v>0.2727</v>
      </c>
    </row>
    <row r="611" spans="1:8" ht="14" x14ac:dyDescent="0.3">
      <c r="A611" s="27">
        <v>610</v>
      </c>
      <c r="B611" s="27">
        <v>0.2576</v>
      </c>
      <c r="C611" s="27">
        <v>0.86</v>
      </c>
      <c r="D611" s="27">
        <v>0</v>
      </c>
      <c r="E611" s="27">
        <v>1</v>
      </c>
      <c r="F611" s="27">
        <v>40</v>
      </c>
      <c r="G611" s="28">
        <v>41</v>
      </c>
      <c r="H611" s="46">
        <f t="shared" si="9"/>
        <v>0.2576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E097A-DDBA-4562-B3B8-36A47D9B6DD5}">
  <dimension ref="A1:P391"/>
  <sheetViews>
    <sheetView workbookViewId="0">
      <pane ySplit="1" topLeftCell="A2" activePane="bottomLeft" state="frozen"/>
      <selection pane="bottomLeft" activeCell="Q11" sqref="Q11"/>
    </sheetView>
  </sheetViews>
  <sheetFormatPr defaultRowHeight="12.5" x14ac:dyDescent="0.25"/>
  <cols>
    <col min="2" max="2" width="10.08984375" bestFit="1" customWidth="1"/>
    <col min="3" max="3" width="9" customWidth="1"/>
    <col min="7" max="7" width="9" customWidth="1"/>
    <col min="8" max="8" width="10.26953125" customWidth="1"/>
    <col min="9" max="9" width="11.7265625" customWidth="1"/>
    <col min="13" max="13" width="12" customWidth="1"/>
    <col min="15" max="15" width="11.54296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8">
        <v>620</v>
      </c>
      <c r="B2" s="17">
        <v>40572</v>
      </c>
      <c r="C2" s="18">
        <v>1</v>
      </c>
      <c r="D2" s="18">
        <v>0</v>
      </c>
      <c r="E2" s="18">
        <v>1</v>
      </c>
      <c r="F2" s="18">
        <v>1</v>
      </c>
      <c r="G2" s="18" t="b">
        <v>0</v>
      </c>
      <c r="H2" s="18">
        <v>6</v>
      </c>
      <c r="I2" s="18">
        <v>1</v>
      </c>
      <c r="J2" s="18">
        <v>0.22</v>
      </c>
      <c r="K2" s="18">
        <v>0.2273</v>
      </c>
      <c r="L2" s="18">
        <v>0.64</v>
      </c>
      <c r="M2" s="18">
        <v>0.19400000000000001</v>
      </c>
      <c r="N2" s="18">
        <v>0</v>
      </c>
      <c r="O2" s="18">
        <v>20</v>
      </c>
      <c r="P2" s="18">
        <v>20</v>
      </c>
    </row>
    <row r="3" spans="1:16" x14ac:dyDescent="0.25">
      <c r="A3" s="18">
        <v>621</v>
      </c>
      <c r="B3" s="17">
        <v>40572</v>
      </c>
      <c r="C3" s="18">
        <v>1</v>
      </c>
      <c r="D3" s="18">
        <v>0</v>
      </c>
      <c r="E3" s="18">
        <v>1</v>
      </c>
      <c r="F3" s="18">
        <v>2</v>
      </c>
      <c r="G3" s="18" t="b">
        <v>0</v>
      </c>
      <c r="H3" s="18">
        <v>6</v>
      </c>
      <c r="I3" s="18">
        <v>1</v>
      </c>
      <c r="J3" s="18">
        <v>0.22</v>
      </c>
      <c r="K3" s="18">
        <v>0.2273</v>
      </c>
      <c r="L3" s="18">
        <v>0.64</v>
      </c>
      <c r="M3" s="18">
        <v>0.16420000000000001</v>
      </c>
      <c r="N3" s="18">
        <v>0</v>
      </c>
      <c r="O3" s="18">
        <v>15</v>
      </c>
      <c r="P3" s="18">
        <v>15</v>
      </c>
    </row>
    <row r="4" spans="1:16" x14ac:dyDescent="0.25">
      <c r="A4" s="18">
        <v>622</v>
      </c>
      <c r="B4" s="17">
        <v>40572</v>
      </c>
      <c r="C4" s="18">
        <v>1</v>
      </c>
      <c r="D4" s="18">
        <v>0</v>
      </c>
      <c r="E4" s="18">
        <v>1</v>
      </c>
      <c r="F4" s="18">
        <v>3</v>
      </c>
      <c r="G4" s="18" t="b">
        <v>0</v>
      </c>
      <c r="H4" s="18">
        <v>6</v>
      </c>
      <c r="I4" s="18">
        <v>1</v>
      </c>
      <c r="J4" s="18">
        <v>0.2</v>
      </c>
      <c r="K4" s="18">
        <v>0.21210000000000001</v>
      </c>
      <c r="L4" s="18">
        <v>0.64</v>
      </c>
      <c r="M4" s="18">
        <v>0.1343</v>
      </c>
      <c r="N4" s="18">
        <v>3</v>
      </c>
      <c r="O4" s="18">
        <v>5</v>
      </c>
      <c r="P4" s="18">
        <v>8</v>
      </c>
    </row>
    <row r="5" spans="1:16" x14ac:dyDescent="0.25">
      <c r="A5" s="18">
        <v>623</v>
      </c>
      <c r="B5" s="17">
        <v>40572</v>
      </c>
      <c r="C5" s="18">
        <v>1</v>
      </c>
      <c r="D5" s="18">
        <v>0</v>
      </c>
      <c r="E5" s="18">
        <v>1</v>
      </c>
      <c r="F5" s="18">
        <v>4</v>
      </c>
      <c r="G5" s="18" t="b">
        <v>0</v>
      </c>
      <c r="H5" s="18">
        <v>6</v>
      </c>
      <c r="I5" s="18">
        <v>1</v>
      </c>
      <c r="J5" s="18">
        <v>0.16</v>
      </c>
      <c r="K5" s="18">
        <v>0.18179999999999999</v>
      </c>
      <c r="L5" s="18">
        <v>0.69</v>
      </c>
      <c r="M5" s="18">
        <v>0.1045</v>
      </c>
      <c r="N5" s="18">
        <v>1</v>
      </c>
      <c r="O5" s="18">
        <v>2</v>
      </c>
      <c r="P5" s="18">
        <v>3</v>
      </c>
    </row>
    <row r="6" spans="1:16" x14ac:dyDescent="0.25">
      <c r="A6" s="18">
        <v>624</v>
      </c>
      <c r="B6" s="17">
        <v>40572</v>
      </c>
      <c r="C6" s="18">
        <v>1</v>
      </c>
      <c r="D6" s="18">
        <v>0</v>
      </c>
      <c r="E6" s="18">
        <v>1</v>
      </c>
      <c r="F6" s="18">
        <v>6</v>
      </c>
      <c r="G6" s="18" t="b">
        <v>0</v>
      </c>
      <c r="H6" s="18">
        <v>6</v>
      </c>
      <c r="I6" s="18">
        <v>1</v>
      </c>
      <c r="J6" s="18">
        <v>0.16</v>
      </c>
      <c r="K6" s="18">
        <v>0.18179999999999999</v>
      </c>
      <c r="L6" s="18">
        <v>0.64</v>
      </c>
      <c r="M6" s="18">
        <v>0.1343</v>
      </c>
      <c r="N6" s="18">
        <v>0</v>
      </c>
      <c r="O6" s="18">
        <v>2</v>
      </c>
      <c r="P6" s="18">
        <v>2</v>
      </c>
    </row>
    <row r="7" spans="1:16" x14ac:dyDescent="0.25">
      <c r="A7" s="18">
        <v>625</v>
      </c>
      <c r="B7" s="17">
        <v>40572</v>
      </c>
      <c r="C7" s="18">
        <v>1</v>
      </c>
      <c r="D7" s="18">
        <v>0</v>
      </c>
      <c r="E7" s="18">
        <v>1</v>
      </c>
      <c r="F7" s="18">
        <v>7</v>
      </c>
      <c r="G7" s="18" t="b">
        <v>0</v>
      </c>
      <c r="H7" s="18">
        <v>6</v>
      </c>
      <c r="I7" s="18">
        <v>1</v>
      </c>
      <c r="J7" s="18">
        <v>0.16</v>
      </c>
      <c r="K7" s="18">
        <v>0.18179999999999999</v>
      </c>
      <c r="L7" s="18">
        <v>0.59</v>
      </c>
      <c r="M7" s="18">
        <v>0.1045</v>
      </c>
      <c r="N7" s="18">
        <v>1</v>
      </c>
      <c r="O7" s="18">
        <v>4</v>
      </c>
      <c r="P7" s="18">
        <v>5</v>
      </c>
    </row>
    <row r="8" spans="1:16" x14ac:dyDescent="0.25">
      <c r="A8" s="18">
        <v>626</v>
      </c>
      <c r="B8" s="17">
        <v>40572</v>
      </c>
      <c r="C8" s="18">
        <v>1</v>
      </c>
      <c r="D8" s="18">
        <v>0</v>
      </c>
      <c r="E8" s="18">
        <v>1</v>
      </c>
      <c r="F8" s="18">
        <v>8</v>
      </c>
      <c r="G8" s="18" t="b">
        <v>0</v>
      </c>
      <c r="H8" s="18">
        <v>6</v>
      </c>
      <c r="I8" s="18">
        <v>1</v>
      </c>
      <c r="J8" s="18">
        <v>0.18</v>
      </c>
      <c r="K8" s="18">
        <v>0.19700000000000001</v>
      </c>
      <c r="L8" s="18">
        <v>0.55000000000000004</v>
      </c>
      <c r="M8" s="18">
        <v>0.16420000000000001</v>
      </c>
      <c r="N8" s="18">
        <v>3</v>
      </c>
      <c r="O8" s="18">
        <v>31</v>
      </c>
      <c r="P8" s="18">
        <v>34</v>
      </c>
    </row>
    <row r="9" spans="1:16" x14ac:dyDescent="0.25">
      <c r="A9" s="18">
        <v>627</v>
      </c>
      <c r="B9" s="17">
        <v>40572</v>
      </c>
      <c r="C9" s="18">
        <v>1</v>
      </c>
      <c r="D9" s="18">
        <v>0</v>
      </c>
      <c r="E9" s="18">
        <v>1</v>
      </c>
      <c r="F9" s="18">
        <v>9</v>
      </c>
      <c r="G9" s="18" t="b">
        <v>0</v>
      </c>
      <c r="H9" s="18">
        <v>6</v>
      </c>
      <c r="I9" s="18">
        <v>1</v>
      </c>
      <c r="J9" s="18">
        <v>0.18</v>
      </c>
      <c r="K9" s="18">
        <v>0.21210000000000001</v>
      </c>
      <c r="L9" s="18">
        <v>0.59</v>
      </c>
      <c r="M9" s="18">
        <v>8.9599999999999999E-2</v>
      </c>
      <c r="N9" s="18">
        <v>0</v>
      </c>
      <c r="O9" s="18">
        <v>34</v>
      </c>
      <c r="P9" s="18">
        <v>34</v>
      </c>
    </row>
    <row r="10" spans="1:16" x14ac:dyDescent="0.25">
      <c r="A10" s="18">
        <v>628</v>
      </c>
      <c r="B10" s="17">
        <v>40572</v>
      </c>
      <c r="C10" s="18">
        <v>1</v>
      </c>
      <c r="D10" s="18">
        <v>0</v>
      </c>
      <c r="E10" s="18">
        <v>1</v>
      </c>
      <c r="F10" s="18">
        <v>10</v>
      </c>
      <c r="G10" s="18" t="b">
        <v>0</v>
      </c>
      <c r="H10" s="18">
        <v>6</v>
      </c>
      <c r="I10" s="18">
        <v>2</v>
      </c>
      <c r="J10" s="18">
        <v>0.18</v>
      </c>
      <c r="K10" s="18">
        <v>0.21210000000000001</v>
      </c>
      <c r="L10" s="18">
        <v>0.64</v>
      </c>
      <c r="M10" s="18">
        <v>0.1045</v>
      </c>
      <c r="N10" s="18">
        <v>4</v>
      </c>
      <c r="O10" s="18">
        <v>51</v>
      </c>
      <c r="P10" s="18">
        <v>55</v>
      </c>
    </row>
    <row r="11" spans="1:16" x14ac:dyDescent="0.25">
      <c r="A11" s="18">
        <v>629</v>
      </c>
      <c r="B11" s="17">
        <v>40572</v>
      </c>
      <c r="C11" s="18">
        <v>1</v>
      </c>
      <c r="D11" s="18">
        <v>0</v>
      </c>
      <c r="E11" s="18">
        <v>1</v>
      </c>
      <c r="F11" s="18">
        <v>11</v>
      </c>
      <c r="G11" s="18" t="b">
        <v>0</v>
      </c>
      <c r="H11" s="18">
        <v>6</v>
      </c>
      <c r="I11" s="18">
        <v>2</v>
      </c>
      <c r="J11" s="18">
        <v>0.18</v>
      </c>
      <c r="K11" s="18">
        <v>0.19700000000000001</v>
      </c>
      <c r="L11" s="18">
        <v>0.64</v>
      </c>
      <c r="M11" s="18">
        <v>0.1343</v>
      </c>
      <c r="N11" s="18">
        <v>4</v>
      </c>
      <c r="O11" s="18">
        <v>60</v>
      </c>
      <c r="P11" s="18">
        <v>64</v>
      </c>
    </row>
    <row r="12" spans="1:16" x14ac:dyDescent="0.25">
      <c r="A12" s="18">
        <v>630</v>
      </c>
      <c r="B12" s="17">
        <v>40572</v>
      </c>
      <c r="C12" s="18">
        <v>1</v>
      </c>
      <c r="D12" s="18">
        <v>0</v>
      </c>
      <c r="E12" s="18">
        <v>1</v>
      </c>
      <c r="F12" s="18">
        <v>12</v>
      </c>
      <c r="G12" s="18" t="b">
        <v>0</v>
      </c>
      <c r="H12" s="18">
        <v>6</v>
      </c>
      <c r="I12" s="18">
        <v>2</v>
      </c>
      <c r="J12" s="18">
        <v>0.2</v>
      </c>
      <c r="K12" s="18">
        <v>0.19700000000000001</v>
      </c>
      <c r="L12" s="18">
        <v>0.59</v>
      </c>
      <c r="M12" s="18">
        <v>0.19400000000000001</v>
      </c>
      <c r="N12" s="18">
        <v>12</v>
      </c>
      <c r="O12" s="18">
        <v>66</v>
      </c>
      <c r="P12" s="18">
        <v>78</v>
      </c>
    </row>
    <row r="13" spans="1:16" x14ac:dyDescent="0.25">
      <c r="A13" s="18">
        <v>631</v>
      </c>
      <c r="B13" s="17">
        <v>40572</v>
      </c>
      <c r="C13" s="18">
        <v>1</v>
      </c>
      <c r="D13" s="18">
        <v>0</v>
      </c>
      <c r="E13" s="18">
        <v>1</v>
      </c>
      <c r="F13" s="18">
        <v>13</v>
      </c>
      <c r="G13" s="18" t="b">
        <v>0</v>
      </c>
      <c r="H13" s="18">
        <v>6</v>
      </c>
      <c r="I13" s="18">
        <v>2</v>
      </c>
      <c r="J13" s="18">
        <v>0.22</v>
      </c>
      <c r="K13" s="18">
        <v>0.2273</v>
      </c>
      <c r="L13" s="18">
        <v>0.55000000000000004</v>
      </c>
      <c r="M13" s="18">
        <v>0.16420000000000001</v>
      </c>
      <c r="N13" s="18">
        <v>9</v>
      </c>
      <c r="O13" s="18">
        <v>56</v>
      </c>
      <c r="P13" s="18">
        <v>65</v>
      </c>
    </row>
    <row r="14" spans="1:16" x14ac:dyDescent="0.25">
      <c r="A14" s="18">
        <v>632</v>
      </c>
      <c r="B14" s="17">
        <v>40572</v>
      </c>
      <c r="C14" s="18">
        <v>1</v>
      </c>
      <c r="D14" s="18">
        <v>0</v>
      </c>
      <c r="E14" s="18">
        <v>1</v>
      </c>
      <c r="F14" s="18">
        <v>14</v>
      </c>
      <c r="G14" s="18" t="b">
        <v>0</v>
      </c>
      <c r="H14" s="18">
        <v>6</v>
      </c>
      <c r="I14" s="18">
        <v>2</v>
      </c>
      <c r="J14" s="18">
        <v>0.22</v>
      </c>
      <c r="K14" s="18">
        <v>0.2273</v>
      </c>
      <c r="L14" s="18">
        <v>0.6</v>
      </c>
      <c r="M14" s="18">
        <v>0.1343</v>
      </c>
      <c r="N14" s="18">
        <v>10</v>
      </c>
      <c r="O14" s="18">
        <v>89</v>
      </c>
      <c r="P14" s="18">
        <v>99</v>
      </c>
    </row>
    <row r="15" spans="1:16" x14ac:dyDescent="0.25">
      <c r="A15" s="18">
        <v>633</v>
      </c>
      <c r="B15" s="17">
        <v>40572</v>
      </c>
      <c r="C15" s="18">
        <v>1</v>
      </c>
      <c r="D15" s="18">
        <v>0</v>
      </c>
      <c r="E15" s="18">
        <v>1</v>
      </c>
      <c r="F15" s="18">
        <v>15</v>
      </c>
      <c r="G15" s="18" t="b">
        <v>0</v>
      </c>
      <c r="H15" s="18">
        <v>6</v>
      </c>
      <c r="I15" s="18">
        <v>1</v>
      </c>
      <c r="J15" s="18">
        <v>0.22</v>
      </c>
      <c r="K15" s="18">
        <v>0.21210000000000001</v>
      </c>
      <c r="L15" s="18">
        <v>0.69</v>
      </c>
      <c r="M15" s="18">
        <v>0.25369999999999998</v>
      </c>
      <c r="N15" s="18">
        <v>22</v>
      </c>
      <c r="O15" s="18">
        <v>98</v>
      </c>
      <c r="P15" s="18">
        <v>120</v>
      </c>
    </row>
    <row r="16" spans="1:16" x14ac:dyDescent="0.25">
      <c r="A16" s="18">
        <v>634</v>
      </c>
      <c r="B16" s="17">
        <v>40572</v>
      </c>
      <c r="C16" s="18">
        <v>1</v>
      </c>
      <c r="D16" s="18">
        <v>0</v>
      </c>
      <c r="E16" s="18">
        <v>1</v>
      </c>
      <c r="F16" s="18">
        <v>16</v>
      </c>
      <c r="G16" s="18" t="b">
        <v>0</v>
      </c>
      <c r="H16" s="18">
        <v>6</v>
      </c>
      <c r="I16" s="18">
        <v>1</v>
      </c>
      <c r="J16" s="18">
        <v>0.24</v>
      </c>
      <c r="K16" s="18">
        <v>0.2424</v>
      </c>
      <c r="L16" s="18">
        <v>0.6</v>
      </c>
      <c r="M16" s="18">
        <v>0.16420000000000001</v>
      </c>
      <c r="N16" s="18">
        <v>19</v>
      </c>
      <c r="O16" s="18">
        <v>88</v>
      </c>
      <c r="P16" s="18">
        <v>107</v>
      </c>
    </row>
    <row r="17" spans="1:16" x14ac:dyDescent="0.25">
      <c r="A17" s="18">
        <v>635</v>
      </c>
      <c r="B17" s="17">
        <v>40572</v>
      </c>
      <c r="C17" s="18">
        <v>1</v>
      </c>
      <c r="D17" s="18">
        <v>0</v>
      </c>
      <c r="E17" s="18">
        <v>1</v>
      </c>
      <c r="F17" s="18">
        <v>17</v>
      </c>
      <c r="G17" s="18" t="b">
        <v>0</v>
      </c>
      <c r="H17" s="18">
        <v>6</v>
      </c>
      <c r="I17" s="18">
        <v>1</v>
      </c>
      <c r="J17" s="18">
        <v>0.24</v>
      </c>
      <c r="K17" s="18">
        <v>0.28789999999999999</v>
      </c>
      <c r="L17" s="18">
        <v>0.6</v>
      </c>
      <c r="M17" s="18">
        <v>0</v>
      </c>
      <c r="N17" s="18">
        <v>9</v>
      </c>
      <c r="O17" s="18">
        <v>82</v>
      </c>
      <c r="P17" s="18">
        <v>91</v>
      </c>
    </row>
    <row r="18" spans="1:16" x14ac:dyDescent="0.25">
      <c r="A18" s="18">
        <v>636</v>
      </c>
      <c r="B18" s="17">
        <v>40572</v>
      </c>
      <c r="C18" s="18">
        <v>1</v>
      </c>
      <c r="D18" s="18">
        <v>0</v>
      </c>
      <c r="E18" s="18">
        <v>1</v>
      </c>
      <c r="F18" s="18">
        <v>18</v>
      </c>
      <c r="G18" s="18" t="b">
        <v>0</v>
      </c>
      <c r="H18" s="18">
        <v>6</v>
      </c>
      <c r="I18" s="18">
        <v>1</v>
      </c>
      <c r="J18" s="18">
        <v>0.22</v>
      </c>
      <c r="K18" s="18">
        <v>0.2273</v>
      </c>
      <c r="L18" s="18">
        <v>0.69</v>
      </c>
      <c r="M18" s="18">
        <v>0.1343</v>
      </c>
      <c r="N18" s="18">
        <v>9</v>
      </c>
      <c r="O18" s="18">
        <v>59</v>
      </c>
      <c r="P18" s="18">
        <v>68</v>
      </c>
    </row>
    <row r="19" spans="1:16" x14ac:dyDescent="0.25">
      <c r="A19" s="18">
        <v>637</v>
      </c>
      <c r="B19" s="17">
        <v>40572</v>
      </c>
      <c r="C19" s="18">
        <v>1</v>
      </c>
      <c r="D19" s="18">
        <v>0</v>
      </c>
      <c r="E19" s="18">
        <v>1</v>
      </c>
      <c r="F19" s="18">
        <v>19</v>
      </c>
      <c r="G19" s="18" t="b">
        <v>0</v>
      </c>
      <c r="H19" s="18">
        <v>6</v>
      </c>
      <c r="I19" s="18">
        <v>2</v>
      </c>
      <c r="J19" s="18">
        <v>0.22</v>
      </c>
      <c r="K19" s="18">
        <v>0.21210000000000001</v>
      </c>
      <c r="L19" s="18">
        <v>0.69</v>
      </c>
      <c r="M19" s="18">
        <v>0.25369999999999998</v>
      </c>
      <c r="N19" s="18">
        <v>6</v>
      </c>
      <c r="O19" s="18">
        <v>52</v>
      </c>
      <c r="P19" s="18">
        <v>58</v>
      </c>
    </row>
    <row r="20" spans="1:16" x14ac:dyDescent="0.25">
      <c r="A20" s="18">
        <v>638</v>
      </c>
      <c r="B20" s="17">
        <v>40572</v>
      </c>
      <c r="C20" s="18">
        <v>1</v>
      </c>
      <c r="D20" s="18">
        <v>0</v>
      </c>
      <c r="E20" s="18">
        <v>1</v>
      </c>
      <c r="F20" s="18">
        <v>20</v>
      </c>
      <c r="G20" s="18" t="b">
        <v>0</v>
      </c>
      <c r="H20" s="18">
        <v>6</v>
      </c>
      <c r="I20" s="18">
        <v>1</v>
      </c>
      <c r="J20" s="18">
        <v>0.18</v>
      </c>
      <c r="K20" s="18">
        <v>0.21210000000000001</v>
      </c>
      <c r="L20" s="18">
        <v>0.74</v>
      </c>
      <c r="M20" s="18">
        <v>8.9599999999999999E-2</v>
      </c>
      <c r="N20" s="18">
        <v>1</v>
      </c>
      <c r="O20" s="18">
        <v>42</v>
      </c>
      <c r="P20" s="18">
        <v>43</v>
      </c>
    </row>
    <row r="21" spans="1:16" x14ac:dyDescent="0.25">
      <c r="A21" s="18">
        <v>639</v>
      </c>
      <c r="B21" s="17">
        <v>40572</v>
      </c>
      <c r="C21" s="18">
        <v>1</v>
      </c>
      <c r="D21" s="18">
        <v>0</v>
      </c>
      <c r="E21" s="18">
        <v>1</v>
      </c>
      <c r="F21" s="18">
        <v>21</v>
      </c>
      <c r="G21" s="18" t="b">
        <v>0</v>
      </c>
      <c r="H21" s="18">
        <v>6</v>
      </c>
      <c r="I21" s="18">
        <v>1</v>
      </c>
      <c r="J21" s="18">
        <v>0.18</v>
      </c>
      <c r="K21" s="18">
        <v>0.21210000000000001</v>
      </c>
      <c r="L21" s="18">
        <v>0.74</v>
      </c>
      <c r="M21" s="18">
        <v>8.9599999999999999E-2</v>
      </c>
      <c r="N21" s="18">
        <v>1</v>
      </c>
      <c r="O21" s="18">
        <v>35</v>
      </c>
      <c r="P21" s="18">
        <v>36</v>
      </c>
    </row>
    <row r="22" spans="1:16" x14ac:dyDescent="0.25">
      <c r="A22" s="18">
        <v>640</v>
      </c>
      <c r="B22" s="17">
        <v>40572</v>
      </c>
      <c r="C22" s="18">
        <v>1</v>
      </c>
      <c r="D22" s="18">
        <v>0</v>
      </c>
      <c r="E22" s="18">
        <v>1</v>
      </c>
      <c r="F22" s="18">
        <v>22</v>
      </c>
      <c r="G22" s="18" t="b">
        <v>0</v>
      </c>
      <c r="H22" s="18">
        <v>6</v>
      </c>
      <c r="I22" s="18">
        <v>1</v>
      </c>
      <c r="J22" s="18">
        <v>0.16</v>
      </c>
      <c r="K22" s="18">
        <v>0.19700000000000001</v>
      </c>
      <c r="L22" s="18">
        <v>0.8</v>
      </c>
      <c r="M22" s="18">
        <v>8.9599999999999999E-2</v>
      </c>
      <c r="N22" s="18">
        <v>4</v>
      </c>
      <c r="O22" s="18">
        <v>28</v>
      </c>
      <c r="P22" s="18">
        <v>32</v>
      </c>
    </row>
    <row r="23" spans="1:16" x14ac:dyDescent="0.25">
      <c r="A23" s="18">
        <v>641</v>
      </c>
      <c r="B23" s="17">
        <v>40572</v>
      </c>
      <c r="C23" s="18">
        <v>1</v>
      </c>
      <c r="D23" s="18">
        <v>0</v>
      </c>
      <c r="E23" s="18">
        <v>1</v>
      </c>
      <c r="F23" s="18">
        <v>23</v>
      </c>
      <c r="G23" s="18" t="b">
        <v>0</v>
      </c>
      <c r="H23" s="18">
        <v>6</v>
      </c>
      <c r="I23" s="18">
        <v>1</v>
      </c>
      <c r="J23" s="18">
        <v>0.16</v>
      </c>
      <c r="K23" s="18">
        <v>0.19700000000000001</v>
      </c>
      <c r="L23" s="18">
        <v>0.8</v>
      </c>
      <c r="M23" s="18">
        <v>8.9599999999999999E-2</v>
      </c>
      <c r="N23" s="18">
        <v>3</v>
      </c>
      <c r="O23" s="18">
        <v>30</v>
      </c>
      <c r="P23" s="18">
        <v>33</v>
      </c>
    </row>
    <row r="24" spans="1:16" x14ac:dyDescent="0.25">
      <c r="A24" s="18">
        <v>642</v>
      </c>
      <c r="B24" s="17">
        <v>40573</v>
      </c>
      <c r="C24" s="18">
        <v>1</v>
      </c>
      <c r="D24" s="18">
        <v>0</v>
      </c>
      <c r="E24" s="18">
        <v>1</v>
      </c>
      <c r="F24" s="18">
        <v>0</v>
      </c>
      <c r="G24" s="18" t="b">
        <v>0</v>
      </c>
      <c r="H24" s="18">
        <v>0</v>
      </c>
      <c r="I24" s="18">
        <v>1</v>
      </c>
      <c r="J24" s="18">
        <v>0.16</v>
      </c>
      <c r="K24" s="18">
        <v>0.18179999999999999</v>
      </c>
      <c r="L24" s="18">
        <v>0.8</v>
      </c>
      <c r="M24" s="18">
        <v>0.1045</v>
      </c>
      <c r="N24" s="18">
        <v>0</v>
      </c>
      <c r="O24" s="18">
        <v>33</v>
      </c>
      <c r="P24" s="18">
        <v>33</v>
      </c>
    </row>
    <row r="25" spans="1:16" x14ac:dyDescent="0.25">
      <c r="A25" s="18">
        <v>643</v>
      </c>
      <c r="B25" s="17">
        <v>40573</v>
      </c>
      <c r="C25" s="18">
        <v>1</v>
      </c>
      <c r="D25" s="18">
        <v>0</v>
      </c>
      <c r="E25" s="18">
        <v>1</v>
      </c>
      <c r="F25" s="18">
        <v>1</v>
      </c>
      <c r="G25" s="18" t="b">
        <v>0</v>
      </c>
      <c r="H25" s="18">
        <v>0</v>
      </c>
      <c r="I25" s="18">
        <v>1</v>
      </c>
      <c r="J25" s="18">
        <v>0.14000000000000001</v>
      </c>
      <c r="K25" s="18">
        <v>0.21210000000000001</v>
      </c>
      <c r="L25" s="18">
        <v>0.8</v>
      </c>
      <c r="M25" s="18">
        <v>0</v>
      </c>
      <c r="N25" s="18">
        <v>7</v>
      </c>
      <c r="O25" s="18">
        <v>22</v>
      </c>
      <c r="P25" s="18">
        <v>29</v>
      </c>
    </row>
    <row r="26" spans="1:16" x14ac:dyDescent="0.25">
      <c r="A26" s="18">
        <v>644</v>
      </c>
      <c r="B26" s="17">
        <v>40573</v>
      </c>
      <c r="C26" s="18">
        <v>1</v>
      </c>
      <c r="D26" s="18">
        <v>0</v>
      </c>
      <c r="E26" s="18">
        <v>1</v>
      </c>
      <c r="F26" s="18">
        <v>2</v>
      </c>
      <c r="G26" s="18" t="b">
        <v>0</v>
      </c>
      <c r="H26" s="18">
        <v>0</v>
      </c>
      <c r="I26" s="18">
        <v>1</v>
      </c>
      <c r="J26" s="18">
        <v>0.16</v>
      </c>
      <c r="K26" s="18">
        <v>0.2273</v>
      </c>
      <c r="L26" s="18">
        <v>0.8</v>
      </c>
      <c r="M26" s="18">
        <v>0</v>
      </c>
      <c r="N26" s="18">
        <v>1</v>
      </c>
      <c r="O26" s="18">
        <v>10</v>
      </c>
      <c r="P26" s="18">
        <v>11</v>
      </c>
    </row>
    <row r="27" spans="1:16" x14ac:dyDescent="0.25">
      <c r="A27" s="18">
        <v>645</v>
      </c>
      <c r="B27" s="17">
        <v>40573</v>
      </c>
      <c r="C27" s="18">
        <v>1</v>
      </c>
      <c r="D27" s="18">
        <v>0</v>
      </c>
      <c r="E27" s="18">
        <v>1</v>
      </c>
      <c r="F27" s="18">
        <v>3</v>
      </c>
      <c r="G27" s="18" t="b">
        <v>0</v>
      </c>
      <c r="H27" s="18">
        <v>0</v>
      </c>
      <c r="I27" s="18">
        <v>1</v>
      </c>
      <c r="J27" s="18">
        <v>0.14000000000000001</v>
      </c>
      <c r="K27" s="18">
        <v>0.21210000000000001</v>
      </c>
      <c r="L27" s="18">
        <v>0.93</v>
      </c>
      <c r="M27" s="18">
        <v>0</v>
      </c>
      <c r="N27" s="18">
        <v>1</v>
      </c>
      <c r="O27" s="18">
        <v>7</v>
      </c>
      <c r="P27" s="18">
        <v>8</v>
      </c>
    </row>
    <row r="28" spans="1:16" x14ac:dyDescent="0.25">
      <c r="A28" s="18">
        <v>646</v>
      </c>
      <c r="B28" s="17">
        <v>40573</v>
      </c>
      <c r="C28" s="18">
        <v>1</v>
      </c>
      <c r="D28" s="18">
        <v>0</v>
      </c>
      <c r="E28" s="18">
        <v>1</v>
      </c>
      <c r="F28" s="18">
        <v>4</v>
      </c>
      <c r="G28" s="18" t="b">
        <v>0</v>
      </c>
      <c r="H28" s="18">
        <v>0</v>
      </c>
      <c r="I28" s="18">
        <v>1</v>
      </c>
      <c r="J28" s="18">
        <v>0.14000000000000001</v>
      </c>
      <c r="K28" s="18">
        <v>0.21210000000000001</v>
      </c>
      <c r="L28" s="18">
        <v>0.93</v>
      </c>
      <c r="M28" s="18">
        <v>0</v>
      </c>
      <c r="N28" s="18">
        <v>0</v>
      </c>
      <c r="O28" s="18">
        <v>1</v>
      </c>
      <c r="P28" s="18">
        <v>1</v>
      </c>
    </row>
    <row r="29" spans="1:16" x14ac:dyDescent="0.25">
      <c r="A29" s="18">
        <v>647</v>
      </c>
      <c r="B29" s="17">
        <v>40573</v>
      </c>
      <c r="C29" s="18">
        <v>1</v>
      </c>
      <c r="D29" s="18">
        <v>0</v>
      </c>
      <c r="E29" s="18">
        <v>1</v>
      </c>
      <c r="F29" s="18">
        <v>5</v>
      </c>
      <c r="G29" s="18" t="b">
        <v>0</v>
      </c>
      <c r="H29" s="18">
        <v>0</v>
      </c>
      <c r="I29" s="18">
        <v>1</v>
      </c>
      <c r="J29" s="18">
        <v>0.14000000000000001</v>
      </c>
      <c r="K29" s="18">
        <v>0.21210000000000001</v>
      </c>
      <c r="L29" s="18">
        <v>0.86</v>
      </c>
      <c r="M29" s="18">
        <v>0</v>
      </c>
      <c r="N29" s="18">
        <v>0</v>
      </c>
      <c r="O29" s="18">
        <v>3</v>
      </c>
      <c r="P29" s="18">
        <v>3</v>
      </c>
    </row>
    <row r="30" spans="1:16" x14ac:dyDescent="0.25">
      <c r="A30" s="18">
        <v>648</v>
      </c>
      <c r="B30" s="17">
        <v>40573</v>
      </c>
      <c r="C30" s="18">
        <v>1</v>
      </c>
      <c r="D30" s="18">
        <v>0</v>
      </c>
      <c r="E30" s="18">
        <v>1</v>
      </c>
      <c r="F30" s="18">
        <v>7</v>
      </c>
      <c r="G30" s="18" t="b">
        <v>0</v>
      </c>
      <c r="H30" s="18">
        <v>0</v>
      </c>
      <c r="I30" s="18">
        <v>1</v>
      </c>
      <c r="J30" s="18">
        <v>0.14000000000000001</v>
      </c>
      <c r="K30" s="18">
        <v>0.21210000000000001</v>
      </c>
      <c r="L30" s="18">
        <v>0.86</v>
      </c>
      <c r="M30" s="18">
        <v>0</v>
      </c>
      <c r="N30" s="18">
        <v>0</v>
      </c>
      <c r="O30" s="18">
        <v>3</v>
      </c>
      <c r="P30" s="18">
        <v>3</v>
      </c>
    </row>
    <row r="31" spans="1:16" x14ac:dyDescent="0.25">
      <c r="A31" s="18">
        <v>649</v>
      </c>
      <c r="B31" s="17">
        <v>40573</v>
      </c>
      <c r="C31" s="18">
        <v>1</v>
      </c>
      <c r="D31" s="18">
        <v>0</v>
      </c>
      <c r="E31" s="18">
        <v>1</v>
      </c>
      <c r="F31" s="18">
        <v>8</v>
      </c>
      <c r="G31" s="18" t="b">
        <v>0</v>
      </c>
      <c r="H31" s="18">
        <v>0</v>
      </c>
      <c r="I31" s="18">
        <v>2</v>
      </c>
      <c r="J31" s="18">
        <v>0.14000000000000001</v>
      </c>
      <c r="K31" s="18">
        <v>0.21210000000000001</v>
      </c>
      <c r="L31" s="18">
        <v>0.86</v>
      </c>
      <c r="M31" s="18">
        <v>0</v>
      </c>
      <c r="N31" s="18">
        <v>1</v>
      </c>
      <c r="O31" s="18">
        <v>11</v>
      </c>
      <c r="P31" s="18">
        <v>12</v>
      </c>
    </row>
    <row r="32" spans="1:16" x14ac:dyDescent="0.25">
      <c r="A32" s="18">
        <v>650</v>
      </c>
      <c r="B32" s="17">
        <v>40573</v>
      </c>
      <c r="C32" s="18">
        <v>1</v>
      </c>
      <c r="D32" s="18">
        <v>0</v>
      </c>
      <c r="E32" s="18">
        <v>1</v>
      </c>
      <c r="F32" s="18">
        <v>9</v>
      </c>
      <c r="G32" s="18" t="b">
        <v>0</v>
      </c>
      <c r="H32" s="18">
        <v>0</v>
      </c>
      <c r="I32" s="18">
        <v>2</v>
      </c>
      <c r="J32" s="18">
        <v>0.16</v>
      </c>
      <c r="K32" s="18">
        <v>0.2273</v>
      </c>
      <c r="L32" s="18">
        <v>0.8</v>
      </c>
      <c r="M32" s="18">
        <v>0</v>
      </c>
      <c r="N32" s="18">
        <v>4</v>
      </c>
      <c r="O32" s="18">
        <v>34</v>
      </c>
      <c r="P32" s="18">
        <v>38</v>
      </c>
    </row>
    <row r="33" spans="1:16" x14ac:dyDescent="0.25">
      <c r="A33" s="18">
        <v>651</v>
      </c>
      <c r="B33" s="17">
        <v>40573</v>
      </c>
      <c r="C33" s="18">
        <v>1</v>
      </c>
      <c r="D33" s="18">
        <v>0</v>
      </c>
      <c r="E33" s="18">
        <v>1</v>
      </c>
      <c r="F33" s="18">
        <v>10</v>
      </c>
      <c r="G33" s="18" t="b">
        <v>0</v>
      </c>
      <c r="H33" s="18">
        <v>0</v>
      </c>
      <c r="I33" s="18">
        <v>2</v>
      </c>
      <c r="J33" s="18">
        <v>0.18</v>
      </c>
      <c r="K33" s="18">
        <v>0.2424</v>
      </c>
      <c r="L33" s="18">
        <v>0.8</v>
      </c>
      <c r="M33" s="18">
        <v>0</v>
      </c>
      <c r="N33" s="18">
        <v>7</v>
      </c>
      <c r="O33" s="18">
        <v>57</v>
      </c>
      <c r="P33" s="18">
        <v>64</v>
      </c>
    </row>
    <row r="34" spans="1:16" x14ac:dyDescent="0.25">
      <c r="A34" s="18">
        <v>652</v>
      </c>
      <c r="B34" s="17">
        <v>40573</v>
      </c>
      <c r="C34" s="18">
        <v>1</v>
      </c>
      <c r="D34" s="18">
        <v>0</v>
      </c>
      <c r="E34" s="18">
        <v>1</v>
      </c>
      <c r="F34" s="18">
        <v>11</v>
      </c>
      <c r="G34" s="18" t="b">
        <v>0</v>
      </c>
      <c r="H34" s="18">
        <v>0</v>
      </c>
      <c r="I34" s="18">
        <v>1</v>
      </c>
      <c r="J34" s="18">
        <v>0.22</v>
      </c>
      <c r="K34" s="18">
        <v>0.2727</v>
      </c>
      <c r="L34" s="18">
        <v>0.75</v>
      </c>
      <c r="M34" s="18">
        <v>0</v>
      </c>
      <c r="N34" s="18">
        <v>9</v>
      </c>
      <c r="O34" s="18">
        <v>50</v>
      </c>
      <c r="P34" s="18">
        <v>59</v>
      </c>
    </row>
    <row r="35" spans="1:16" x14ac:dyDescent="0.25">
      <c r="A35" s="18">
        <v>653</v>
      </c>
      <c r="B35" s="17">
        <v>40573</v>
      </c>
      <c r="C35" s="18">
        <v>1</v>
      </c>
      <c r="D35" s="18">
        <v>0</v>
      </c>
      <c r="E35" s="18">
        <v>1</v>
      </c>
      <c r="F35" s="18">
        <v>12</v>
      </c>
      <c r="G35" s="18" t="b">
        <v>0</v>
      </c>
      <c r="H35" s="18">
        <v>0</v>
      </c>
      <c r="I35" s="18">
        <v>1</v>
      </c>
      <c r="J35" s="18">
        <v>0.3</v>
      </c>
      <c r="K35" s="18">
        <v>0.31819999999999998</v>
      </c>
      <c r="L35" s="18">
        <v>0.52</v>
      </c>
      <c r="M35" s="18">
        <v>0.1045</v>
      </c>
      <c r="N35" s="18">
        <v>10</v>
      </c>
      <c r="O35" s="18">
        <v>87</v>
      </c>
      <c r="P35" s="18">
        <v>97</v>
      </c>
    </row>
    <row r="36" spans="1:16" x14ac:dyDescent="0.25">
      <c r="A36" s="18">
        <v>654</v>
      </c>
      <c r="B36" s="17">
        <v>40573</v>
      </c>
      <c r="C36" s="18">
        <v>1</v>
      </c>
      <c r="D36" s="18">
        <v>0</v>
      </c>
      <c r="E36" s="18">
        <v>1</v>
      </c>
      <c r="F36" s="18">
        <v>13</v>
      </c>
      <c r="G36" s="18" t="b">
        <v>0</v>
      </c>
      <c r="H36" s="18">
        <v>0</v>
      </c>
      <c r="I36" s="18">
        <v>1</v>
      </c>
      <c r="J36" s="18">
        <v>0.28000000000000003</v>
      </c>
      <c r="K36" s="18">
        <v>0.28789999999999999</v>
      </c>
      <c r="L36" s="18">
        <v>0.61</v>
      </c>
      <c r="M36" s="18">
        <v>0.1045</v>
      </c>
      <c r="N36" s="18">
        <v>13</v>
      </c>
      <c r="O36" s="18">
        <v>71</v>
      </c>
      <c r="P36" s="18">
        <v>84</v>
      </c>
    </row>
    <row r="37" spans="1:16" x14ac:dyDescent="0.25">
      <c r="A37" s="18">
        <v>655</v>
      </c>
      <c r="B37" s="17">
        <v>40573</v>
      </c>
      <c r="C37" s="18">
        <v>1</v>
      </c>
      <c r="D37" s="18">
        <v>0</v>
      </c>
      <c r="E37" s="18">
        <v>1</v>
      </c>
      <c r="F37" s="18">
        <v>14</v>
      </c>
      <c r="G37" s="18" t="b">
        <v>0</v>
      </c>
      <c r="H37" s="18">
        <v>0</v>
      </c>
      <c r="I37" s="18">
        <v>1</v>
      </c>
      <c r="J37" s="18">
        <v>0.28000000000000003</v>
      </c>
      <c r="K37" s="18">
        <v>0.30299999999999999</v>
      </c>
      <c r="L37" s="18">
        <v>0.61</v>
      </c>
      <c r="M37" s="18">
        <v>8.9599999999999999E-2</v>
      </c>
      <c r="N37" s="18">
        <v>18</v>
      </c>
      <c r="O37" s="18">
        <v>104</v>
      </c>
      <c r="P37" s="18">
        <v>122</v>
      </c>
    </row>
    <row r="38" spans="1:16" x14ac:dyDescent="0.25">
      <c r="A38" s="18">
        <v>656</v>
      </c>
      <c r="B38" s="17">
        <v>40573</v>
      </c>
      <c r="C38" s="18">
        <v>1</v>
      </c>
      <c r="D38" s="18">
        <v>0</v>
      </c>
      <c r="E38" s="18">
        <v>1</v>
      </c>
      <c r="F38" s="18">
        <v>15</v>
      </c>
      <c r="G38" s="18" t="b">
        <v>0</v>
      </c>
      <c r="H38" s="18">
        <v>0</v>
      </c>
      <c r="I38" s="18">
        <v>1</v>
      </c>
      <c r="J38" s="18">
        <v>0.3</v>
      </c>
      <c r="K38" s="18">
        <v>0.33329999999999999</v>
      </c>
      <c r="L38" s="18">
        <v>0.56000000000000005</v>
      </c>
      <c r="M38" s="18">
        <v>0</v>
      </c>
      <c r="N38" s="18">
        <v>14</v>
      </c>
      <c r="O38" s="18">
        <v>95</v>
      </c>
      <c r="P38" s="18">
        <v>109</v>
      </c>
    </row>
    <row r="39" spans="1:16" x14ac:dyDescent="0.25">
      <c r="A39" s="18">
        <v>657</v>
      </c>
      <c r="B39" s="17">
        <v>40573</v>
      </c>
      <c r="C39" s="18">
        <v>1</v>
      </c>
      <c r="D39" s="18">
        <v>0</v>
      </c>
      <c r="E39" s="18">
        <v>1</v>
      </c>
      <c r="F39" s="18">
        <v>16</v>
      </c>
      <c r="G39" s="18" t="b">
        <v>0</v>
      </c>
      <c r="H39" s="18">
        <v>0</v>
      </c>
      <c r="I39" s="18">
        <v>1</v>
      </c>
      <c r="J39" s="18">
        <v>0.3</v>
      </c>
      <c r="K39" s="18">
        <v>0.33329999999999999</v>
      </c>
      <c r="L39" s="18">
        <v>0.56000000000000005</v>
      </c>
      <c r="M39" s="18">
        <v>0</v>
      </c>
      <c r="N39" s="18">
        <v>19</v>
      </c>
      <c r="O39" s="18">
        <v>104</v>
      </c>
      <c r="P39" s="18">
        <v>123</v>
      </c>
    </row>
    <row r="40" spans="1:16" x14ac:dyDescent="0.25">
      <c r="A40" s="18">
        <v>658</v>
      </c>
      <c r="B40" s="17">
        <v>40573</v>
      </c>
      <c r="C40" s="18">
        <v>1</v>
      </c>
      <c r="D40" s="18">
        <v>0</v>
      </c>
      <c r="E40" s="18">
        <v>1</v>
      </c>
      <c r="F40" s="18">
        <v>17</v>
      </c>
      <c r="G40" s="18" t="b">
        <v>0</v>
      </c>
      <c r="H40" s="18">
        <v>0</v>
      </c>
      <c r="I40" s="18">
        <v>1</v>
      </c>
      <c r="J40" s="18">
        <v>0.3</v>
      </c>
      <c r="K40" s="18">
        <v>0.28789999999999999</v>
      </c>
      <c r="L40" s="18">
        <v>0.56000000000000005</v>
      </c>
      <c r="M40" s="18">
        <v>0.19400000000000001</v>
      </c>
      <c r="N40" s="18">
        <v>6</v>
      </c>
      <c r="O40" s="18">
        <v>71</v>
      </c>
      <c r="P40" s="18">
        <v>77</v>
      </c>
    </row>
    <row r="41" spans="1:16" x14ac:dyDescent="0.25">
      <c r="A41" s="18">
        <v>659</v>
      </c>
      <c r="B41" s="17">
        <v>40573</v>
      </c>
      <c r="C41" s="18">
        <v>1</v>
      </c>
      <c r="D41" s="18">
        <v>0</v>
      </c>
      <c r="E41" s="18">
        <v>1</v>
      </c>
      <c r="F41" s="18">
        <v>18</v>
      </c>
      <c r="G41" s="18" t="b">
        <v>0</v>
      </c>
      <c r="H41" s="18">
        <v>0</v>
      </c>
      <c r="I41" s="18">
        <v>1</v>
      </c>
      <c r="J41" s="18">
        <v>0.26</v>
      </c>
      <c r="K41" s="18">
        <v>0.2576</v>
      </c>
      <c r="L41" s="18">
        <v>0.65</v>
      </c>
      <c r="M41" s="18">
        <v>0.16420000000000001</v>
      </c>
      <c r="N41" s="18">
        <v>8</v>
      </c>
      <c r="O41" s="18">
        <v>57</v>
      </c>
      <c r="P41" s="18">
        <v>65</v>
      </c>
    </row>
    <row r="42" spans="1:16" x14ac:dyDescent="0.25">
      <c r="A42" s="18">
        <v>660</v>
      </c>
      <c r="B42" s="17">
        <v>40573</v>
      </c>
      <c r="C42" s="18">
        <v>1</v>
      </c>
      <c r="D42" s="18">
        <v>0</v>
      </c>
      <c r="E42" s="18">
        <v>1</v>
      </c>
      <c r="F42" s="18">
        <v>19</v>
      </c>
      <c r="G42" s="18" t="b">
        <v>0</v>
      </c>
      <c r="H42" s="18">
        <v>0</v>
      </c>
      <c r="I42" s="18">
        <v>1</v>
      </c>
      <c r="J42" s="18">
        <v>0.26</v>
      </c>
      <c r="K42" s="18">
        <v>0.2576</v>
      </c>
      <c r="L42" s="18">
        <v>0.65</v>
      </c>
      <c r="M42" s="18">
        <v>0.19400000000000001</v>
      </c>
      <c r="N42" s="18">
        <v>9</v>
      </c>
      <c r="O42" s="18">
        <v>46</v>
      </c>
      <c r="P42" s="18">
        <v>55</v>
      </c>
    </row>
    <row r="43" spans="1:16" x14ac:dyDescent="0.25">
      <c r="A43" s="18">
        <v>661</v>
      </c>
      <c r="B43" s="17">
        <v>40573</v>
      </c>
      <c r="C43" s="18">
        <v>1</v>
      </c>
      <c r="D43" s="18">
        <v>0</v>
      </c>
      <c r="E43" s="18">
        <v>1</v>
      </c>
      <c r="F43" s="18">
        <v>20</v>
      </c>
      <c r="G43" s="18" t="b">
        <v>0</v>
      </c>
      <c r="H43" s="18">
        <v>0</v>
      </c>
      <c r="I43" s="18">
        <v>2</v>
      </c>
      <c r="J43" s="18">
        <v>0.26</v>
      </c>
      <c r="K43" s="18">
        <v>0.2727</v>
      </c>
      <c r="L43" s="18">
        <v>0.65</v>
      </c>
      <c r="M43" s="18">
        <v>0.1045</v>
      </c>
      <c r="N43" s="18">
        <v>3</v>
      </c>
      <c r="O43" s="18">
        <v>30</v>
      </c>
      <c r="P43" s="18">
        <v>33</v>
      </c>
    </row>
    <row r="44" spans="1:16" x14ac:dyDescent="0.25">
      <c r="A44" s="18">
        <v>662</v>
      </c>
      <c r="B44" s="17">
        <v>40573</v>
      </c>
      <c r="C44" s="18">
        <v>1</v>
      </c>
      <c r="D44" s="18">
        <v>0</v>
      </c>
      <c r="E44" s="18">
        <v>1</v>
      </c>
      <c r="F44" s="18">
        <v>21</v>
      </c>
      <c r="G44" s="18" t="b">
        <v>0</v>
      </c>
      <c r="H44" s="18">
        <v>0</v>
      </c>
      <c r="I44" s="18">
        <v>2</v>
      </c>
      <c r="J44" s="18">
        <v>0.24</v>
      </c>
      <c r="K44" s="18">
        <v>0.2424</v>
      </c>
      <c r="L44" s="18">
        <v>0.7</v>
      </c>
      <c r="M44" s="18">
        <v>0.16420000000000001</v>
      </c>
      <c r="N44" s="18">
        <v>3</v>
      </c>
      <c r="O44" s="18">
        <v>25</v>
      </c>
      <c r="P44" s="18">
        <v>28</v>
      </c>
    </row>
    <row r="45" spans="1:16" x14ac:dyDescent="0.25">
      <c r="A45" s="18">
        <v>663</v>
      </c>
      <c r="B45" s="17">
        <v>40573</v>
      </c>
      <c r="C45" s="18">
        <v>1</v>
      </c>
      <c r="D45" s="18">
        <v>0</v>
      </c>
      <c r="E45" s="18">
        <v>1</v>
      </c>
      <c r="F45" s="18">
        <v>22</v>
      </c>
      <c r="G45" s="18" t="b">
        <v>0</v>
      </c>
      <c r="H45" s="18">
        <v>0</v>
      </c>
      <c r="I45" s="18">
        <v>2</v>
      </c>
      <c r="J45" s="18">
        <v>0.24</v>
      </c>
      <c r="K45" s="18">
        <v>0.2273</v>
      </c>
      <c r="L45" s="18">
        <v>0.7</v>
      </c>
      <c r="M45" s="18">
        <v>0.19400000000000001</v>
      </c>
      <c r="N45" s="18">
        <v>2</v>
      </c>
      <c r="O45" s="18">
        <v>19</v>
      </c>
      <c r="P45" s="18">
        <v>21</v>
      </c>
    </row>
    <row r="46" spans="1:16" x14ac:dyDescent="0.25">
      <c r="A46" s="18">
        <v>664</v>
      </c>
      <c r="B46" s="17">
        <v>40573</v>
      </c>
      <c r="C46" s="18">
        <v>1</v>
      </c>
      <c r="D46" s="18">
        <v>0</v>
      </c>
      <c r="E46" s="18">
        <v>1</v>
      </c>
      <c r="F46" s="18">
        <v>23</v>
      </c>
      <c r="G46" s="18" t="b">
        <v>0</v>
      </c>
      <c r="H46" s="18">
        <v>0</v>
      </c>
      <c r="I46" s="18">
        <v>2</v>
      </c>
      <c r="J46" s="18">
        <v>0.24</v>
      </c>
      <c r="K46" s="18">
        <v>0.21210000000000001</v>
      </c>
      <c r="L46" s="18">
        <v>0.65</v>
      </c>
      <c r="M46" s="18">
        <v>0.28360000000000002</v>
      </c>
      <c r="N46" s="18">
        <v>5</v>
      </c>
      <c r="O46" s="18">
        <v>16</v>
      </c>
      <c r="P46" s="18">
        <v>21</v>
      </c>
    </row>
    <row r="47" spans="1:16" x14ac:dyDescent="0.25">
      <c r="A47" s="18">
        <v>665</v>
      </c>
      <c r="B47" s="17">
        <v>40574</v>
      </c>
      <c r="C47" s="18">
        <v>1</v>
      </c>
      <c r="D47" s="18">
        <v>0</v>
      </c>
      <c r="E47" s="18">
        <v>1</v>
      </c>
      <c r="F47" s="18">
        <v>0</v>
      </c>
      <c r="G47" s="18" t="b">
        <v>0</v>
      </c>
      <c r="H47" s="18">
        <v>1</v>
      </c>
      <c r="I47" s="18">
        <v>2</v>
      </c>
      <c r="J47" s="18">
        <v>0.24</v>
      </c>
      <c r="K47" s="18">
        <v>0.2273</v>
      </c>
      <c r="L47" s="18">
        <v>0.65</v>
      </c>
      <c r="M47" s="18">
        <v>0.22389999999999999</v>
      </c>
      <c r="N47" s="18">
        <v>1</v>
      </c>
      <c r="O47" s="18">
        <v>6</v>
      </c>
      <c r="P47" s="18">
        <v>7</v>
      </c>
    </row>
    <row r="48" spans="1:16" x14ac:dyDescent="0.25">
      <c r="A48" s="18">
        <v>666</v>
      </c>
      <c r="B48" s="17">
        <v>40574</v>
      </c>
      <c r="C48" s="18">
        <v>1</v>
      </c>
      <c r="D48" s="18">
        <v>0</v>
      </c>
      <c r="E48" s="18">
        <v>1</v>
      </c>
      <c r="F48" s="18">
        <v>1</v>
      </c>
      <c r="G48" s="18" t="b">
        <v>0</v>
      </c>
      <c r="H48" s="18">
        <v>1</v>
      </c>
      <c r="I48" s="18">
        <v>1</v>
      </c>
      <c r="J48" s="18">
        <v>0.22</v>
      </c>
      <c r="K48" s="18">
        <v>0.21210000000000001</v>
      </c>
      <c r="L48" s="18">
        <v>0.64</v>
      </c>
      <c r="M48" s="18">
        <v>0.25369999999999998</v>
      </c>
      <c r="N48" s="18">
        <v>2</v>
      </c>
      <c r="O48" s="18">
        <v>5</v>
      </c>
      <c r="P48" s="18">
        <v>7</v>
      </c>
    </row>
    <row r="49" spans="1:16" x14ac:dyDescent="0.25">
      <c r="A49" s="18">
        <v>667</v>
      </c>
      <c r="B49" s="17">
        <v>40574</v>
      </c>
      <c r="C49" s="18">
        <v>1</v>
      </c>
      <c r="D49" s="18">
        <v>0</v>
      </c>
      <c r="E49" s="18">
        <v>1</v>
      </c>
      <c r="F49" s="18">
        <v>2</v>
      </c>
      <c r="G49" s="18" t="b">
        <v>0</v>
      </c>
      <c r="H49" s="18">
        <v>1</v>
      </c>
      <c r="I49" s="18">
        <v>1</v>
      </c>
      <c r="J49" s="18">
        <v>0.22</v>
      </c>
      <c r="K49" s="18">
        <v>0.2273</v>
      </c>
      <c r="L49" s="18">
        <v>0.64</v>
      </c>
      <c r="M49" s="18">
        <v>0.19400000000000001</v>
      </c>
      <c r="N49" s="18">
        <v>0</v>
      </c>
      <c r="O49" s="18">
        <v>1</v>
      </c>
      <c r="P49" s="18">
        <v>1</v>
      </c>
    </row>
    <row r="50" spans="1:16" x14ac:dyDescent="0.25">
      <c r="A50" s="18">
        <v>668</v>
      </c>
      <c r="B50" s="17">
        <v>40574</v>
      </c>
      <c r="C50" s="18">
        <v>1</v>
      </c>
      <c r="D50" s="18">
        <v>0</v>
      </c>
      <c r="E50" s="18">
        <v>1</v>
      </c>
      <c r="F50" s="18">
        <v>3</v>
      </c>
      <c r="G50" s="18" t="b">
        <v>0</v>
      </c>
      <c r="H50" s="18">
        <v>1</v>
      </c>
      <c r="I50" s="18">
        <v>1</v>
      </c>
      <c r="J50" s="18">
        <v>0.22</v>
      </c>
      <c r="K50" s="18">
        <v>0.2273</v>
      </c>
      <c r="L50" s="18">
        <v>0.64</v>
      </c>
      <c r="M50" s="18">
        <v>0.19400000000000001</v>
      </c>
      <c r="N50" s="18">
        <v>0</v>
      </c>
      <c r="O50" s="18">
        <v>2</v>
      </c>
      <c r="P50" s="18">
        <v>2</v>
      </c>
    </row>
    <row r="51" spans="1:16" x14ac:dyDescent="0.25">
      <c r="A51" s="18">
        <v>669</v>
      </c>
      <c r="B51" s="17">
        <v>40574</v>
      </c>
      <c r="C51" s="18">
        <v>1</v>
      </c>
      <c r="D51" s="18">
        <v>0</v>
      </c>
      <c r="E51" s="18">
        <v>1</v>
      </c>
      <c r="F51" s="18">
        <v>4</v>
      </c>
      <c r="G51" s="18" t="b">
        <v>0</v>
      </c>
      <c r="H51" s="18">
        <v>1</v>
      </c>
      <c r="I51" s="18">
        <v>1</v>
      </c>
      <c r="J51" s="18">
        <v>0.2</v>
      </c>
      <c r="K51" s="18">
        <v>0.19700000000000001</v>
      </c>
      <c r="L51" s="18">
        <v>0.59</v>
      </c>
      <c r="M51" s="18">
        <v>0.22389999999999999</v>
      </c>
      <c r="N51" s="18">
        <v>0</v>
      </c>
      <c r="O51" s="18">
        <v>2</v>
      </c>
      <c r="P51" s="18">
        <v>2</v>
      </c>
    </row>
    <row r="52" spans="1:16" x14ac:dyDescent="0.25">
      <c r="A52" s="18">
        <v>670</v>
      </c>
      <c r="B52" s="17">
        <v>40574</v>
      </c>
      <c r="C52" s="18">
        <v>1</v>
      </c>
      <c r="D52" s="18">
        <v>0</v>
      </c>
      <c r="E52" s="18">
        <v>1</v>
      </c>
      <c r="F52" s="18">
        <v>5</v>
      </c>
      <c r="G52" s="18" t="b">
        <v>0</v>
      </c>
      <c r="H52" s="18">
        <v>1</v>
      </c>
      <c r="I52" s="18">
        <v>1</v>
      </c>
      <c r="J52" s="18">
        <v>0.18</v>
      </c>
      <c r="K52" s="18">
        <v>0.16669999999999999</v>
      </c>
      <c r="L52" s="18">
        <v>0.64</v>
      </c>
      <c r="M52" s="18">
        <v>0.28360000000000002</v>
      </c>
      <c r="N52" s="18">
        <v>0</v>
      </c>
      <c r="O52" s="18">
        <v>8</v>
      </c>
      <c r="P52" s="18">
        <v>8</v>
      </c>
    </row>
    <row r="53" spans="1:16" x14ac:dyDescent="0.25">
      <c r="A53" s="18">
        <v>671</v>
      </c>
      <c r="B53" s="17">
        <v>40574</v>
      </c>
      <c r="C53" s="18">
        <v>1</v>
      </c>
      <c r="D53" s="18">
        <v>0</v>
      </c>
      <c r="E53" s="18">
        <v>1</v>
      </c>
      <c r="F53" s="18">
        <v>6</v>
      </c>
      <c r="G53" s="18" t="b">
        <v>0</v>
      </c>
      <c r="H53" s="18">
        <v>1</v>
      </c>
      <c r="I53" s="18">
        <v>1</v>
      </c>
      <c r="J53" s="18">
        <v>0.16</v>
      </c>
      <c r="K53" s="18">
        <v>0.13639999999999999</v>
      </c>
      <c r="L53" s="18">
        <v>0.69</v>
      </c>
      <c r="M53" s="18">
        <v>0.32840000000000003</v>
      </c>
      <c r="N53" s="18">
        <v>0</v>
      </c>
      <c r="O53" s="18">
        <v>37</v>
      </c>
      <c r="P53" s="18">
        <v>37</v>
      </c>
    </row>
    <row r="54" spans="1:16" x14ac:dyDescent="0.25">
      <c r="A54" s="18">
        <v>672</v>
      </c>
      <c r="B54" s="17">
        <v>40574</v>
      </c>
      <c r="C54" s="18">
        <v>1</v>
      </c>
      <c r="D54" s="18">
        <v>0</v>
      </c>
      <c r="E54" s="18">
        <v>1</v>
      </c>
      <c r="F54" s="18">
        <v>7</v>
      </c>
      <c r="G54" s="18" t="b">
        <v>0</v>
      </c>
      <c r="H54" s="18">
        <v>1</v>
      </c>
      <c r="I54" s="18">
        <v>2</v>
      </c>
      <c r="J54" s="18">
        <v>0.16</v>
      </c>
      <c r="K54" s="18">
        <v>0.13639999999999999</v>
      </c>
      <c r="L54" s="18">
        <v>0.64</v>
      </c>
      <c r="M54" s="18">
        <v>0.28360000000000002</v>
      </c>
      <c r="N54" s="18">
        <v>1</v>
      </c>
      <c r="O54" s="18">
        <v>71</v>
      </c>
      <c r="P54" s="18">
        <v>72</v>
      </c>
    </row>
    <row r="55" spans="1:16" x14ac:dyDescent="0.25">
      <c r="A55" s="18">
        <v>673</v>
      </c>
      <c r="B55" s="17">
        <v>40574</v>
      </c>
      <c r="C55" s="18">
        <v>1</v>
      </c>
      <c r="D55" s="18">
        <v>0</v>
      </c>
      <c r="E55" s="18">
        <v>1</v>
      </c>
      <c r="F55" s="18">
        <v>8</v>
      </c>
      <c r="G55" s="18" t="b">
        <v>0</v>
      </c>
      <c r="H55" s="18">
        <v>1</v>
      </c>
      <c r="I55" s="18">
        <v>2</v>
      </c>
      <c r="J55" s="18">
        <v>0.16</v>
      </c>
      <c r="K55" s="18">
        <v>0.13639999999999999</v>
      </c>
      <c r="L55" s="18">
        <v>0.59</v>
      </c>
      <c r="M55" s="18">
        <v>0.28360000000000002</v>
      </c>
      <c r="N55" s="18">
        <v>3</v>
      </c>
      <c r="O55" s="18">
        <v>182</v>
      </c>
      <c r="P55" s="18">
        <v>185</v>
      </c>
    </row>
    <row r="56" spans="1:16" x14ac:dyDescent="0.25">
      <c r="A56" s="18">
        <v>674</v>
      </c>
      <c r="B56" s="17">
        <v>40574</v>
      </c>
      <c r="C56" s="18">
        <v>1</v>
      </c>
      <c r="D56" s="18">
        <v>0</v>
      </c>
      <c r="E56" s="18">
        <v>1</v>
      </c>
      <c r="F56" s="18">
        <v>9</v>
      </c>
      <c r="G56" s="18" t="b">
        <v>0</v>
      </c>
      <c r="H56" s="18">
        <v>1</v>
      </c>
      <c r="I56" s="18">
        <v>2</v>
      </c>
      <c r="J56" s="18">
        <v>0.16</v>
      </c>
      <c r="K56" s="18">
        <v>0.13639999999999999</v>
      </c>
      <c r="L56" s="18">
        <v>0.59</v>
      </c>
      <c r="M56" s="18">
        <v>0.29849999999999999</v>
      </c>
      <c r="N56" s="18">
        <v>0</v>
      </c>
      <c r="O56" s="18">
        <v>112</v>
      </c>
      <c r="P56" s="18">
        <v>112</v>
      </c>
    </row>
    <row r="57" spans="1:16" x14ac:dyDescent="0.25">
      <c r="A57" s="18">
        <v>675</v>
      </c>
      <c r="B57" s="17">
        <v>40574</v>
      </c>
      <c r="C57" s="18">
        <v>1</v>
      </c>
      <c r="D57" s="18">
        <v>0</v>
      </c>
      <c r="E57" s="18">
        <v>1</v>
      </c>
      <c r="F57" s="18">
        <v>10</v>
      </c>
      <c r="G57" s="18" t="b">
        <v>0</v>
      </c>
      <c r="H57" s="18">
        <v>1</v>
      </c>
      <c r="I57" s="18">
        <v>2</v>
      </c>
      <c r="J57" s="18">
        <v>0.16</v>
      </c>
      <c r="K57" s="18">
        <v>0.1515</v>
      </c>
      <c r="L57" s="18">
        <v>0.59</v>
      </c>
      <c r="M57" s="18">
        <v>0.19400000000000001</v>
      </c>
      <c r="N57" s="18">
        <v>1</v>
      </c>
      <c r="O57" s="18">
        <v>68</v>
      </c>
      <c r="P57" s="18">
        <v>69</v>
      </c>
    </row>
    <row r="58" spans="1:16" x14ac:dyDescent="0.25">
      <c r="A58" s="18">
        <v>676</v>
      </c>
      <c r="B58" s="17">
        <v>40574</v>
      </c>
      <c r="C58" s="18">
        <v>1</v>
      </c>
      <c r="D58" s="18">
        <v>0</v>
      </c>
      <c r="E58" s="18">
        <v>1</v>
      </c>
      <c r="F58" s="18">
        <v>11</v>
      </c>
      <c r="G58" s="18" t="b">
        <v>0</v>
      </c>
      <c r="H58" s="18">
        <v>1</v>
      </c>
      <c r="I58" s="18">
        <v>2</v>
      </c>
      <c r="J58" s="18">
        <v>0.16</v>
      </c>
      <c r="K58" s="18">
        <v>0.1515</v>
      </c>
      <c r="L58" s="18">
        <v>0.59</v>
      </c>
      <c r="M58" s="18">
        <v>0.19400000000000001</v>
      </c>
      <c r="N58" s="18">
        <v>2</v>
      </c>
      <c r="O58" s="18">
        <v>46</v>
      </c>
      <c r="P58" s="18">
        <v>48</v>
      </c>
    </row>
    <row r="59" spans="1:16" x14ac:dyDescent="0.25">
      <c r="A59" s="18">
        <v>677</v>
      </c>
      <c r="B59" s="17">
        <v>40574</v>
      </c>
      <c r="C59" s="18">
        <v>1</v>
      </c>
      <c r="D59" s="18">
        <v>0</v>
      </c>
      <c r="E59" s="18">
        <v>1</v>
      </c>
      <c r="F59" s="18">
        <v>12</v>
      </c>
      <c r="G59" s="18" t="b">
        <v>0</v>
      </c>
      <c r="H59" s="18">
        <v>1</v>
      </c>
      <c r="I59" s="18">
        <v>2</v>
      </c>
      <c r="J59" s="18">
        <v>0.18</v>
      </c>
      <c r="K59" s="18">
        <v>0.21210000000000001</v>
      </c>
      <c r="L59" s="18">
        <v>0.55000000000000004</v>
      </c>
      <c r="M59" s="18">
        <v>0.1045</v>
      </c>
      <c r="N59" s="18">
        <v>6</v>
      </c>
      <c r="O59" s="18">
        <v>62</v>
      </c>
      <c r="P59" s="18">
        <v>68</v>
      </c>
    </row>
    <row r="60" spans="1:16" x14ac:dyDescent="0.25">
      <c r="A60" s="18">
        <v>678</v>
      </c>
      <c r="B60" s="17">
        <v>40574</v>
      </c>
      <c r="C60" s="18">
        <v>1</v>
      </c>
      <c r="D60" s="18">
        <v>0</v>
      </c>
      <c r="E60" s="18">
        <v>1</v>
      </c>
      <c r="F60" s="18">
        <v>13</v>
      </c>
      <c r="G60" s="18" t="b">
        <v>0</v>
      </c>
      <c r="H60" s="18">
        <v>1</v>
      </c>
      <c r="I60" s="18">
        <v>2</v>
      </c>
      <c r="J60" s="18">
        <v>0.16</v>
      </c>
      <c r="K60" s="18">
        <v>0.2273</v>
      </c>
      <c r="L60" s="18">
        <v>0.59</v>
      </c>
      <c r="M60" s="18">
        <v>0</v>
      </c>
      <c r="N60" s="18">
        <v>2</v>
      </c>
      <c r="O60" s="18">
        <v>52</v>
      </c>
      <c r="P60" s="18">
        <v>54</v>
      </c>
    </row>
    <row r="61" spans="1:16" x14ac:dyDescent="0.25">
      <c r="A61" s="18">
        <v>679</v>
      </c>
      <c r="B61" s="17">
        <v>40574</v>
      </c>
      <c r="C61" s="18">
        <v>1</v>
      </c>
      <c r="D61" s="18">
        <v>0</v>
      </c>
      <c r="E61" s="18">
        <v>1</v>
      </c>
      <c r="F61" s="18">
        <v>14</v>
      </c>
      <c r="G61" s="18" t="b">
        <v>0</v>
      </c>
      <c r="H61" s="18">
        <v>1</v>
      </c>
      <c r="I61" s="18">
        <v>2</v>
      </c>
      <c r="J61" s="18">
        <v>0.18</v>
      </c>
      <c r="K61" s="18">
        <v>0.19700000000000001</v>
      </c>
      <c r="L61" s="18">
        <v>0.55000000000000004</v>
      </c>
      <c r="M61" s="18">
        <v>0.1343</v>
      </c>
      <c r="N61" s="18">
        <v>1</v>
      </c>
      <c r="O61" s="18">
        <v>85</v>
      </c>
      <c r="P61" s="18">
        <v>86</v>
      </c>
    </row>
    <row r="62" spans="1:16" x14ac:dyDescent="0.25">
      <c r="A62" s="18">
        <v>680</v>
      </c>
      <c r="B62" s="17">
        <v>40574</v>
      </c>
      <c r="C62" s="18">
        <v>1</v>
      </c>
      <c r="D62" s="18">
        <v>0</v>
      </c>
      <c r="E62" s="18">
        <v>1</v>
      </c>
      <c r="F62" s="18">
        <v>15</v>
      </c>
      <c r="G62" s="18" t="b">
        <v>0</v>
      </c>
      <c r="H62" s="18">
        <v>1</v>
      </c>
      <c r="I62" s="18">
        <v>2</v>
      </c>
      <c r="J62" s="18">
        <v>0.16</v>
      </c>
      <c r="K62" s="18">
        <v>0.18179999999999999</v>
      </c>
      <c r="L62" s="18">
        <v>0.59</v>
      </c>
      <c r="M62" s="18">
        <v>0.1343</v>
      </c>
      <c r="N62" s="18">
        <v>3</v>
      </c>
      <c r="O62" s="18">
        <v>41</v>
      </c>
      <c r="P62" s="18">
        <v>44</v>
      </c>
    </row>
    <row r="63" spans="1:16" x14ac:dyDescent="0.25">
      <c r="A63" s="18">
        <v>681</v>
      </c>
      <c r="B63" s="17">
        <v>40574</v>
      </c>
      <c r="C63" s="18">
        <v>1</v>
      </c>
      <c r="D63" s="18">
        <v>0</v>
      </c>
      <c r="E63" s="18">
        <v>1</v>
      </c>
      <c r="F63" s="18">
        <v>16</v>
      </c>
      <c r="G63" s="18" t="b">
        <v>0</v>
      </c>
      <c r="H63" s="18">
        <v>1</v>
      </c>
      <c r="I63" s="18">
        <v>2</v>
      </c>
      <c r="J63" s="18">
        <v>0.16</v>
      </c>
      <c r="K63" s="18">
        <v>0.18179999999999999</v>
      </c>
      <c r="L63" s="18">
        <v>0.56000000000000005</v>
      </c>
      <c r="M63" s="18">
        <v>0.19400000000000001</v>
      </c>
      <c r="N63" s="18">
        <v>3</v>
      </c>
      <c r="O63" s="18">
        <v>83</v>
      </c>
      <c r="P63" s="18">
        <v>86</v>
      </c>
    </row>
    <row r="64" spans="1:16" x14ac:dyDescent="0.25">
      <c r="A64" s="18">
        <v>682</v>
      </c>
      <c r="B64" s="17">
        <v>40574</v>
      </c>
      <c r="C64" s="18">
        <v>1</v>
      </c>
      <c r="D64" s="18">
        <v>0</v>
      </c>
      <c r="E64" s="18">
        <v>1</v>
      </c>
      <c r="F64" s="18">
        <v>17</v>
      </c>
      <c r="G64" s="18" t="b">
        <v>0</v>
      </c>
      <c r="H64" s="18">
        <v>1</v>
      </c>
      <c r="I64" s="18">
        <v>2</v>
      </c>
      <c r="J64" s="18">
        <v>0.16</v>
      </c>
      <c r="K64" s="18">
        <v>0.1515</v>
      </c>
      <c r="L64" s="18">
        <v>0.59</v>
      </c>
      <c r="M64" s="18">
        <v>0.19400000000000001</v>
      </c>
      <c r="N64" s="18">
        <v>6</v>
      </c>
      <c r="O64" s="18">
        <v>155</v>
      </c>
      <c r="P64" s="18">
        <v>161</v>
      </c>
    </row>
    <row r="65" spans="1:16" x14ac:dyDescent="0.25">
      <c r="A65" s="18">
        <v>683</v>
      </c>
      <c r="B65" s="17">
        <v>40574</v>
      </c>
      <c r="C65" s="18">
        <v>1</v>
      </c>
      <c r="D65" s="18">
        <v>0</v>
      </c>
      <c r="E65" s="18">
        <v>1</v>
      </c>
      <c r="F65" s="18">
        <v>18</v>
      </c>
      <c r="G65" s="18" t="b">
        <v>0</v>
      </c>
      <c r="H65" s="18">
        <v>1</v>
      </c>
      <c r="I65" s="18">
        <v>2</v>
      </c>
      <c r="J65" s="18">
        <v>0.16</v>
      </c>
      <c r="K65" s="18">
        <v>0.1515</v>
      </c>
      <c r="L65" s="18">
        <v>0.55000000000000004</v>
      </c>
      <c r="M65" s="18">
        <v>0.22389999999999999</v>
      </c>
      <c r="N65" s="18">
        <v>3</v>
      </c>
      <c r="O65" s="18">
        <v>153</v>
      </c>
      <c r="P65" s="18">
        <v>156</v>
      </c>
    </row>
    <row r="66" spans="1:16" x14ac:dyDescent="0.25">
      <c r="A66" s="18">
        <v>684</v>
      </c>
      <c r="B66" s="17">
        <v>40574</v>
      </c>
      <c r="C66" s="18">
        <v>1</v>
      </c>
      <c r="D66" s="18">
        <v>0</v>
      </c>
      <c r="E66" s="18">
        <v>1</v>
      </c>
      <c r="F66" s="18">
        <v>19</v>
      </c>
      <c r="G66" s="18" t="b">
        <v>0</v>
      </c>
      <c r="H66" s="18">
        <v>1</v>
      </c>
      <c r="I66" s="18">
        <v>1</v>
      </c>
      <c r="J66" s="18">
        <v>0.3</v>
      </c>
      <c r="K66" s="18">
        <v>0.31819999999999998</v>
      </c>
      <c r="L66" s="18">
        <v>0.61</v>
      </c>
      <c r="M66" s="18">
        <v>0.1045</v>
      </c>
      <c r="N66" s="18">
        <v>3</v>
      </c>
      <c r="O66" s="18">
        <v>108</v>
      </c>
      <c r="P66" s="18">
        <v>111</v>
      </c>
    </row>
    <row r="67" spans="1:16" x14ac:dyDescent="0.25">
      <c r="A67" s="18">
        <v>685</v>
      </c>
      <c r="B67" s="17">
        <v>40574</v>
      </c>
      <c r="C67" s="18">
        <v>1</v>
      </c>
      <c r="D67" s="18">
        <v>0</v>
      </c>
      <c r="E67" s="18">
        <v>1</v>
      </c>
      <c r="F67" s="18">
        <v>20</v>
      </c>
      <c r="G67" s="18" t="b">
        <v>0</v>
      </c>
      <c r="H67" s="18">
        <v>1</v>
      </c>
      <c r="I67" s="18">
        <v>3</v>
      </c>
      <c r="J67" s="18">
        <v>0.16</v>
      </c>
      <c r="K67" s="18">
        <v>0.16669999999999999</v>
      </c>
      <c r="L67" s="18">
        <v>0.59</v>
      </c>
      <c r="M67" s="18">
        <v>0.16420000000000001</v>
      </c>
      <c r="N67" s="18">
        <v>0</v>
      </c>
      <c r="O67" s="18">
        <v>78</v>
      </c>
      <c r="P67" s="18">
        <v>78</v>
      </c>
    </row>
    <row r="68" spans="1:16" x14ac:dyDescent="0.25">
      <c r="A68" s="18">
        <v>686</v>
      </c>
      <c r="B68" s="17">
        <v>40574</v>
      </c>
      <c r="C68" s="18">
        <v>1</v>
      </c>
      <c r="D68" s="18">
        <v>0</v>
      </c>
      <c r="E68" s="18">
        <v>1</v>
      </c>
      <c r="F68" s="18">
        <v>21</v>
      </c>
      <c r="G68" s="18" t="b">
        <v>0</v>
      </c>
      <c r="H68" s="18">
        <v>1</v>
      </c>
      <c r="I68" s="18">
        <v>3</v>
      </c>
      <c r="J68" s="18">
        <v>0.16</v>
      </c>
      <c r="K68" s="18">
        <v>0.19700000000000001</v>
      </c>
      <c r="L68" s="18">
        <v>0.59</v>
      </c>
      <c r="M68" s="18">
        <v>8.9599999999999999E-2</v>
      </c>
      <c r="N68" s="18">
        <v>3</v>
      </c>
      <c r="O68" s="18">
        <v>53</v>
      </c>
      <c r="P68" s="18">
        <v>56</v>
      </c>
    </row>
    <row r="69" spans="1:16" x14ac:dyDescent="0.25">
      <c r="A69" s="18">
        <v>687</v>
      </c>
      <c r="B69" s="17">
        <v>40574</v>
      </c>
      <c r="C69" s="18">
        <v>1</v>
      </c>
      <c r="D69" s="18">
        <v>0</v>
      </c>
      <c r="E69" s="18">
        <v>1</v>
      </c>
      <c r="F69" s="18">
        <v>22</v>
      </c>
      <c r="G69" s="18" t="b">
        <v>0</v>
      </c>
      <c r="H69" s="18">
        <v>1</v>
      </c>
      <c r="I69" s="18">
        <v>2</v>
      </c>
      <c r="J69" s="18">
        <v>0.16</v>
      </c>
      <c r="K69" s="18">
        <v>0.18179999999999999</v>
      </c>
      <c r="L69" s="18">
        <v>0.59</v>
      </c>
      <c r="M69" s="18">
        <v>0.1045</v>
      </c>
      <c r="N69" s="18">
        <v>0</v>
      </c>
      <c r="O69" s="18">
        <v>34</v>
      </c>
      <c r="P69" s="18">
        <v>34</v>
      </c>
    </row>
    <row r="70" spans="1:16" x14ac:dyDescent="0.25">
      <c r="A70" s="18">
        <v>688</v>
      </c>
      <c r="B70" s="17">
        <v>40574</v>
      </c>
      <c r="C70" s="18">
        <v>1</v>
      </c>
      <c r="D70" s="18">
        <v>0</v>
      </c>
      <c r="E70" s="18">
        <v>1</v>
      </c>
      <c r="F70" s="18">
        <v>23</v>
      </c>
      <c r="G70" s="18" t="b">
        <v>0</v>
      </c>
      <c r="H70" s="18">
        <v>1</v>
      </c>
      <c r="I70" s="18">
        <v>2</v>
      </c>
      <c r="J70" s="18">
        <v>0.16</v>
      </c>
      <c r="K70" s="18">
        <v>0.19700000000000001</v>
      </c>
      <c r="L70" s="18">
        <v>0.64</v>
      </c>
      <c r="M70" s="18">
        <v>8.9599999999999999E-2</v>
      </c>
      <c r="N70" s="18">
        <v>2</v>
      </c>
      <c r="O70" s="18">
        <v>15</v>
      </c>
      <c r="P70" s="18">
        <v>17</v>
      </c>
    </row>
    <row r="71" spans="1:16" x14ac:dyDescent="0.25">
      <c r="A71" s="18">
        <v>689</v>
      </c>
      <c r="B71" s="17">
        <v>40575</v>
      </c>
      <c r="C71" s="18">
        <v>1</v>
      </c>
      <c r="D71" s="18">
        <v>0</v>
      </c>
      <c r="E71" s="18">
        <v>2</v>
      </c>
      <c r="F71" s="18">
        <v>0</v>
      </c>
      <c r="G71" s="18" t="b">
        <v>0</v>
      </c>
      <c r="H71" s="18">
        <v>2</v>
      </c>
      <c r="I71" s="18">
        <v>2</v>
      </c>
      <c r="J71" s="18">
        <v>0.16</v>
      </c>
      <c r="K71" s="18">
        <v>0.18179999999999999</v>
      </c>
      <c r="L71" s="18">
        <v>0.64</v>
      </c>
      <c r="M71" s="18">
        <v>0.1045</v>
      </c>
      <c r="N71" s="18">
        <v>2</v>
      </c>
      <c r="O71" s="18">
        <v>6</v>
      </c>
      <c r="P71" s="18">
        <v>8</v>
      </c>
    </row>
    <row r="72" spans="1:16" x14ac:dyDescent="0.25">
      <c r="A72" s="18">
        <v>690</v>
      </c>
      <c r="B72" s="17">
        <v>40575</v>
      </c>
      <c r="C72" s="18">
        <v>1</v>
      </c>
      <c r="D72" s="18">
        <v>0</v>
      </c>
      <c r="E72" s="18">
        <v>2</v>
      </c>
      <c r="F72" s="18">
        <v>1</v>
      </c>
      <c r="G72" s="18" t="b">
        <v>0</v>
      </c>
      <c r="H72" s="18">
        <v>2</v>
      </c>
      <c r="I72" s="18">
        <v>2</v>
      </c>
      <c r="J72" s="18">
        <v>0.16</v>
      </c>
      <c r="K72" s="18">
        <v>0.18179999999999999</v>
      </c>
      <c r="L72" s="18">
        <v>0.69</v>
      </c>
      <c r="M72" s="18">
        <v>0.1045</v>
      </c>
      <c r="N72" s="18">
        <v>0</v>
      </c>
      <c r="O72" s="18">
        <v>3</v>
      </c>
      <c r="P72" s="18">
        <v>3</v>
      </c>
    </row>
    <row r="73" spans="1:16" x14ac:dyDescent="0.25">
      <c r="A73" s="18">
        <v>691</v>
      </c>
      <c r="B73" s="17">
        <v>40575</v>
      </c>
      <c r="C73" s="18">
        <v>1</v>
      </c>
      <c r="D73" s="18">
        <v>0</v>
      </c>
      <c r="E73" s="18">
        <v>2</v>
      </c>
      <c r="F73" s="18">
        <v>2</v>
      </c>
      <c r="G73" s="18" t="b">
        <v>0</v>
      </c>
      <c r="H73" s="18">
        <v>2</v>
      </c>
      <c r="I73" s="18">
        <v>2</v>
      </c>
      <c r="J73" s="18">
        <v>0.16</v>
      </c>
      <c r="K73" s="18">
        <v>0.2273</v>
      </c>
      <c r="L73" s="18">
        <v>0.69</v>
      </c>
      <c r="M73" s="18">
        <v>0</v>
      </c>
      <c r="N73" s="18">
        <v>0</v>
      </c>
      <c r="O73" s="18">
        <v>2</v>
      </c>
      <c r="P73" s="18">
        <v>2</v>
      </c>
    </row>
    <row r="74" spans="1:16" x14ac:dyDescent="0.25">
      <c r="A74" s="18">
        <v>692</v>
      </c>
      <c r="B74" s="17">
        <v>40575</v>
      </c>
      <c r="C74" s="18">
        <v>1</v>
      </c>
      <c r="D74" s="18">
        <v>0</v>
      </c>
      <c r="E74" s="18">
        <v>2</v>
      </c>
      <c r="F74" s="18">
        <v>3</v>
      </c>
      <c r="G74" s="18" t="b">
        <v>0</v>
      </c>
      <c r="H74" s="18">
        <v>2</v>
      </c>
      <c r="I74" s="18">
        <v>2</v>
      </c>
      <c r="J74" s="18">
        <v>0.16</v>
      </c>
      <c r="K74" s="18">
        <v>0.2273</v>
      </c>
      <c r="L74" s="18">
        <v>0.69</v>
      </c>
      <c r="M74" s="18">
        <v>0</v>
      </c>
      <c r="N74" s="18">
        <v>0</v>
      </c>
      <c r="O74" s="18">
        <v>2</v>
      </c>
      <c r="P74" s="18">
        <v>2</v>
      </c>
    </row>
    <row r="75" spans="1:16" x14ac:dyDescent="0.25">
      <c r="A75" s="18">
        <v>693</v>
      </c>
      <c r="B75" s="17">
        <v>40575</v>
      </c>
      <c r="C75" s="18">
        <v>1</v>
      </c>
      <c r="D75" s="18">
        <v>0</v>
      </c>
      <c r="E75" s="18">
        <v>2</v>
      </c>
      <c r="F75" s="18">
        <v>5</v>
      </c>
      <c r="G75" s="18" t="b">
        <v>0</v>
      </c>
      <c r="H75" s="18">
        <v>2</v>
      </c>
      <c r="I75" s="18">
        <v>3</v>
      </c>
      <c r="J75" s="18">
        <v>0.14000000000000001</v>
      </c>
      <c r="K75" s="18">
        <v>0.21210000000000001</v>
      </c>
      <c r="L75" s="18">
        <v>0.93</v>
      </c>
      <c r="M75" s="18">
        <v>0</v>
      </c>
      <c r="N75" s="18">
        <v>0</v>
      </c>
      <c r="O75" s="18">
        <v>3</v>
      </c>
      <c r="P75" s="18">
        <v>3</v>
      </c>
    </row>
    <row r="76" spans="1:16" x14ac:dyDescent="0.25">
      <c r="A76" s="18">
        <v>694</v>
      </c>
      <c r="B76" s="17">
        <v>40575</v>
      </c>
      <c r="C76" s="18">
        <v>1</v>
      </c>
      <c r="D76" s="18">
        <v>0</v>
      </c>
      <c r="E76" s="18">
        <v>2</v>
      </c>
      <c r="F76" s="18">
        <v>6</v>
      </c>
      <c r="G76" s="18" t="b">
        <v>0</v>
      </c>
      <c r="H76" s="18">
        <v>2</v>
      </c>
      <c r="I76" s="18">
        <v>3</v>
      </c>
      <c r="J76" s="18">
        <v>0.14000000000000001</v>
      </c>
      <c r="K76" s="18">
        <v>0.21210000000000001</v>
      </c>
      <c r="L76" s="18">
        <v>0.93</v>
      </c>
      <c r="M76" s="18">
        <v>0</v>
      </c>
      <c r="N76" s="18">
        <v>0</v>
      </c>
      <c r="O76" s="18">
        <v>22</v>
      </c>
      <c r="P76" s="18">
        <v>22</v>
      </c>
    </row>
    <row r="77" spans="1:16" x14ac:dyDescent="0.25">
      <c r="A77" s="18">
        <v>695</v>
      </c>
      <c r="B77" s="17">
        <v>40575</v>
      </c>
      <c r="C77" s="18">
        <v>1</v>
      </c>
      <c r="D77" s="18">
        <v>0</v>
      </c>
      <c r="E77" s="18">
        <v>2</v>
      </c>
      <c r="F77" s="18">
        <v>7</v>
      </c>
      <c r="G77" s="18" t="b">
        <v>0</v>
      </c>
      <c r="H77" s="18">
        <v>2</v>
      </c>
      <c r="I77" s="18">
        <v>3</v>
      </c>
      <c r="J77" s="18">
        <v>0.16</v>
      </c>
      <c r="K77" s="18">
        <v>0.2273</v>
      </c>
      <c r="L77" s="18">
        <v>0.93</v>
      </c>
      <c r="M77" s="18">
        <v>0</v>
      </c>
      <c r="N77" s="18">
        <v>0</v>
      </c>
      <c r="O77" s="18">
        <v>52</v>
      </c>
      <c r="P77" s="18">
        <v>52</v>
      </c>
    </row>
    <row r="78" spans="1:16" x14ac:dyDescent="0.25">
      <c r="A78" s="18">
        <v>696</v>
      </c>
      <c r="B78" s="17">
        <v>40575</v>
      </c>
      <c r="C78" s="18">
        <v>1</v>
      </c>
      <c r="D78" s="18">
        <v>0</v>
      </c>
      <c r="E78" s="18">
        <v>2</v>
      </c>
      <c r="F78" s="18">
        <v>8</v>
      </c>
      <c r="G78" s="18" t="b">
        <v>0</v>
      </c>
      <c r="H78" s="18">
        <v>2</v>
      </c>
      <c r="I78" s="18">
        <v>3</v>
      </c>
      <c r="J78" s="18">
        <v>0.16</v>
      </c>
      <c r="K78" s="18">
        <v>0.2273</v>
      </c>
      <c r="L78" s="18">
        <v>0.93</v>
      </c>
      <c r="M78" s="18">
        <v>0</v>
      </c>
      <c r="N78" s="18">
        <v>3</v>
      </c>
      <c r="O78" s="18">
        <v>132</v>
      </c>
      <c r="P78" s="18">
        <v>135</v>
      </c>
    </row>
    <row r="79" spans="1:16" x14ac:dyDescent="0.25">
      <c r="A79" s="18">
        <v>697</v>
      </c>
      <c r="B79" s="17">
        <v>40575</v>
      </c>
      <c r="C79" s="18">
        <v>1</v>
      </c>
      <c r="D79" s="18">
        <v>0</v>
      </c>
      <c r="E79" s="18">
        <v>2</v>
      </c>
      <c r="F79" s="18">
        <v>9</v>
      </c>
      <c r="G79" s="18" t="b">
        <v>0</v>
      </c>
      <c r="H79" s="18">
        <v>2</v>
      </c>
      <c r="I79" s="18">
        <v>2</v>
      </c>
      <c r="J79" s="18">
        <v>0.16</v>
      </c>
      <c r="K79" s="18">
        <v>0.2273</v>
      </c>
      <c r="L79" s="18">
        <v>0.93</v>
      </c>
      <c r="M79" s="18">
        <v>0</v>
      </c>
      <c r="N79" s="18">
        <v>2</v>
      </c>
      <c r="O79" s="18">
        <v>114</v>
      </c>
      <c r="P79" s="18">
        <v>116</v>
      </c>
    </row>
    <row r="80" spans="1:16" x14ac:dyDescent="0.25">
      <c r="A80" s="18">
        <v>698</v>
      </c>
      <c r="B80" s="17">
        <v>40575</v>
      </c>
      <c r="C80" s="18">
        <v>1</v>
      </c>
      <c r="D80" s="18">
        <v>0</v>
      </c>
      <c r="E80" s="18">
        <v>2</v>
      </c>
      <c r="F80" s="18">
        <v>10</v>
      </c>
      <c r="G80" s="18" t="b">
        <v>0</v>
      </c>
      <c r="H80" s="18">
        <v>2</v>
      </c>
      <c r="I80" s="18">
        <v>2</v>
      </c>
      <c r="J80" s="18">
        <v>0.16</v>
      </c>
      <c r="K80" s="18">
        <v>0.2273</v>
      </c>
      <c r="L80" s="18">
        <v>0.93</v>
      </c>
      <c r="M80" s="18">
        <v>0</v>
      </c>
      <c r="N80" s="18">
        <v>0</v>
      </c>
      <c r="O80" s="18">
        <v>47</v>
      </c>
      <c r="P80" s="18">
        <v>47</v>
      </c>
    </row>
    <row r="81" spans="1:16" x14ac:dyDescent="0.25">
      <c r="A81" s="18">
        <v>699</v>
      </c>
      <c r="B81" s="17">
        <v>40575</v>
      </c>
      <c r="C81" s="18">
        <v>1</v>
      </c>
      <c r="D81" s="18">
        <v>0</v>
      </c>
      <c r="E81" s="18">
        <v>2</v>
      </c>
      <c r="F81" s="18">
        <v>11</v>
      </c>
      <c r="G81" s="18" t="b">
        <v>0</v>
      </c>
      <c r="H81" s="18">
        <v>2</v>
      </c>
      <c r="I81" s="18">
        <v>2</v>
      </c>
      <c r="J81" s="18">
        <v>0.18</v>
      </c>
      <c r="K81" s="18">
        <v>0.2424</v>
      </c>
      <c r="L81" s="18">
        <v>0.86</v>
      </c>
      <c r="M81" s="18">
        <v>0</v>
      </c>
      <c r="N81" s="18">
        <v>2</v>
      </c>
      <c r="O81" s="18">
        <v>49</v>
      </c>
      <c r="P81" s="18">
        <v>51</v>
      </c>
    </row>
    <row r="82" spans="1:16" x14ac:dyDescent="0.25">
      <c r="A82" s="18">
        <v>700</v>
      </c>
      <c r="B82" s="17">
        <v>40575</v>
      </c>
      <c r="C82" s="18">
        <v>1</v>
      </c>
      <c r="D82" s="18">
        <v>0</v>
      </c>
      <c r="E82" s="18">
        <v>2</v>
      </c>
      <c r="F82" s="18">
        <v>12</v>
      </c>
      <c r="G82" s="18" t="b">
        <v>0</v>
      </c>
      <c r="H82" s="18">
        <v>2</v>
      </c>
      <c r="I82" s="18">
        <v>2</v>
      </c>
      <c r="J82" s="18">
        <v>0.2</v>
      </c>
      <c r="K82" s="18">
        <v>0.2576</v>
      </c>
      <c r="L82" s="18">
        <v>0.86</v>
      </c>
      <c r="M82" s="18">
        <v>0</v>
      </c>
      <c r="N82" s="18">
        <v>2</v>
      </c>
      <c r="O82" s="18">
        <v>53</v>
      </c>
      <c r="P82" s="18">
        <v>55</v>
      </c>
    </row>
    <row r="83" spans="1:16" x14ac:dyDescent="0.25">
      <c r="A83" s="18">
        <v>701</v>
      </c>
      <c r="B83" s="17">
        <v>40575</v>
      </c>
      <c r="C83" s="18">
        <v>1</v>
      </c>
      <c r="D83" s="18">
        <v>0</v>
      </c>
      <c r="E83" s="18">
        <v>2</v>
      </c>
      <c r="F83" s="18">
        <v>13</v>
      </c>
      <c r="G83" s="18" t="b">
        <v>0</v>
      </c>
      <c r="H83" s="18">
        <v>2</v>
      </c>
      <c r="I83" s="18">
        <v>2</v>
      </c>
      <c r="J83" s="18">
        <v>0.2</v>
      </c>
      <c r="K83" s="18">
        <v>0.2576</v>
      </c>
      <c r="L83" s="18">
        <v>0.86</v>
      </c>
      <c r="M83" s="18">
        <v>0</v>
      </c>
      <c r="N83" s="18">
        <v>3</v>
      </c>
      <c r="O83" s="18">
        <v>49</v>
      </c>
      <c r="P83" s="18">
        <v>52</v>
      </c>
    </row>
    <row r="84" spans="1:16" x14ac:dyDescent="0.25">
      <c r="A84" s="18">
        <v>702</v>
      </c>
      <c r="B84" s="17">
        <v>40575</v>
      </c>
      <c r="C84" s="18">
        <v>1</v>
      </c>
      <c r="D84" s="18">
        <v>0</v>
      </c>
      <c r="E84" s="18">
        <v>2</v>
      </c>
      <c r="F84" s="18">
        <v>14</v>
      </c>
      <c r="G84" s="18" t="b">
        <v>0</v>
      </c>
      <c r="H84" s="18">
        <v>2</v>
      </c>
      <c r="I84" s="18">
        <v>2</v>
      </c>
      <c r="J84" s="18">
        <v>0.22</v>
      </c>
      <c r="K84" s="18">
        <v>0.2576</v>
      </c>
      <c r="L84" s="18">
        <v>0.8</v>
      </c>
      <c r="M84" s="18">
        <v>8.9599999999999999E-2</v>
      </c>
      <c r="N84" s="18">
        <v>5</v>
      </c>
      <c r="O84" s="18">
        <v>49</v>
      </c>
      <c r="P84" s="18">
        <v>54</v>
      </c>
    </row>
    <row r="85" spans="1:16" x14ac:dyDescent="0.25">
      <c r="A85" s="18">
        <v>703</v>
      </c>
      <c r="B85" s="17">
        <v>40575</v>
      </c>
      <c r="C85" s="18">
        <v>1</v>
      </c>
      <c r="D85" s="18">
        <v>0</v>
      </c>
      <c r="E85" s="18">
        <v>2</v>
      </c>
      <c r="F85" s="18">
        <v>15</v>
      </c>
      <c r="G85" s="18" t="b">
        <v>0</v>
      </c>
      <c r="H85" s="18">
        <v>2</v>
      </c>
      <c r="I85" s="18">
        <v>2</v>
      </c>
      <c r="J85" s="18">
        <v>0.24</v>
      </c>
      <c r="K85" s="18">
        <v>0.28789999999999999</v>
      </c>
      <c r="L85" s="18">
        <v>0.75</v>
      </c>
      <c r="M85" s="18">
        <v>0</v>
      </c>
      <c r="N85" s="18">
        <v>7</v>
      </c>
      <c r="O85" s="18">
        <v>45</v>
      </c>
      <c r="P85" s="18">
        <v>52</v>
      </c>
    </row>
    <row r="86" spans="1:16" x14ac:dyDescent="0.25">
      <c r="A86" s="18">
        <v>704</v>
      </c>
      <c r="B86" s="17">
        <v>40575</v>
      </c>
      <c r="C86" s="18">
        <v>1</v>
      </c>
      <c r="D86" s="18">
        <v>0</v>
      </c>
      <c r="E86" s="18">
        <v>2</v>
      </c>
      <c r="F86" s="18">
        <v>16</v>
      </c>
      <c r="G86" s="18" t="b">
        <v>0</v>
      </c>
      <c r="H86" s="18">
        <v>2</v>
      </c>
      <c r="I86" s="18">
        <v>2</v>
      </c>
      <c r="J86" s="18">
        <v>0.24</v>
      </c>
      <c r="K86" s="18">
        <v>0.2424</v>
      </c>
      <c r="L86" s="18">
        <v>0.75</v>
      </c>
      <c r="M86" s="18">
        <v>0.1343</v>
      </c>
      <c r="N86" s="18">
        <v>3</v>
      </c>
      <c r="O86" s="18">
        <v>61</v>
      </c>
      <c r="P86" s="18">
        <v>64</v>
      </c>
    </row>
    <row r="87" spans="1:16" x14ac:dyDescent="0.25">
      <c r="A87" s="18">
        <v>705</v>
      </c>
      <c r="B87" s="17">
        <v>40575</v>
      </c>
      <c r="C87" s="18">
        <v>1</v>
      </c>
      <c r="D87" s="18">
        <v>0</v>
      </c>
      <c r="E87" s="18">
        <v>2</v>
      </c>
      <c r="F87" s="18">
        <v>17</v>
      </c>
      <c r="G87" s="18" t="b">
        <v>0</v>
      </c>
      <c r="H87" s="18">
        <v>2</v>
      </c>
      <c r="I87" s="18">
        <v>2</v>
      </c>
      <c r="J87" s="18">
        <v>0.24</v>
      </c>
      <c r="K87" s="18">
        <v>0.28789999999999999</v>
      </c>
      <c r="L87" s="18">
        <v>0.75</v>
      </c>
      <c r="M87" s="18">
        <v>0</v>
      </c>
      <c r="N87" s="18">
        <v>4</v>
      </c>
      <c r="O87" s="18">
        <v>172</v>
      </c>
      <c r="P87" s="18">
        <v>176</v>
      </c>
    </row>
    <row r="88" spans="1:16" x14ac:dyDescent="0.25">
      <c r="A88" s="18">
        <v>706</v>
      </c>
      <c r="B88" s="17">
        <v>40575</v>
      </c>
      <c r="C88" s="18">
        <v>1</v>
      </c>
      <c r="D88" s="18">
        <v>0</v>
      </c>
      <c r="E88" s="18">
        <v>2</v>
      </c>
      <c r="F88" s="18">
        <v>18</v>
      </c>
      <c r="G88" s="18" t="b">
        <v>0</v>
      </c>
      <c r="H88" s="18">
        <v>2</v>
      </c>
      <c r="I88" s="18">
        <v>2</v>
      </c>
      <c r="J88" s="18">
        <v>0.24</v>
      </c>
      <c r="K88" s="18">
        <v>0.2576</v>
      </c>
      <c r="L88" s="18">
        <v>0.81</v>
      </c>
      <c r="M88" s="18">
        <v>0.1045</v>
      </c>
      <c r="N88" s="18">
        <v>3</v>
      </c>
      <c r="O88" s="18">
        <v>165</v>
      </c>
      <c r="P88" s="18">
        <v>168</v>
      </c>
    </row>
    <row r="89" spans="1:16" x14ac:dyDescent="0.25">
      <c r="A89" s="18">
        <v>707</v>
      </c>
      <c r="B89" s="17">
        <v>40575</v>
      </c>
      <c r="C89" s="18">
        <v>1</v>
      </c>
      <c r="D89" s="18">
        <v>0</v>
      </c>
      <c r="E89" s="18">
        <v>2</v>
      </c>
      <c r="F89" s="18">
        <v>19</v>
      </c>
      <c r="G89" s="18" t="b">
        <v>0</v>
      </c>
      <c r="H89" s="18">
        <v>2</v>
      </c>
      <c r="I89" s="18">
        <v>2</v>
      </c>
      <c r="J89" s="18">
        <v>0.24</v>
      </c>
      <c r="K89" s="18">
        <v>0.2424</v>
      </c>
      <c r="L89" s="18">
        <v>0.81</v>
      </c>
      <c r="M89" s="18">
        <v>0.1343</v>
      </c>
      <c r="N89" s="18">
        <v>3</v>
      </c>
      <c r="O89" s="18">
        <v>105</v>
      </c>
      <c r="P89" s="18">
        <v>108</v>
      </c>
    </row>
    <row r="90" spans="1:16" x14ac:dyDescent="0.25">
      <c r="A90" s="18">
        <v>708</v>
      </c>
      <c r="B90" s="17">
        <v>40575</v>
      </c>
      <c r="C90" s="18">
        <v>1</v>
      </c>
      <c r="D90" s="18">
        <v>0</v>
      </c>
      <c r="E90" s="18">
        <v>2</v>
      </c>
      <c r="F90" s="18">
        <v>20</v>
      </c>
      <c r="G90" s="18" t="b">
        <v>0</v>
      </c>
      <c r="H90" s="18">
        <v>2</v>
      </c>
      <c r="I90" s="18">
        <v>2</v>
      </c>
      <c r="J90" s="18">
        <v>0.22</v>
      </c>
      <c r="K90" s="18">
        <v>0.2273</v>
      </c>
      <c r="L90" s="18">
        <v>0.87</v>
      </c>
      <c r="M90" s="18">
        <v>0.1343</v>
      </c>
      <c r="N90" s="18">
        <v>5</v>
      </c>
      <c r="O90" s="18">
        <v>69</v>
      </c>
      <c r="P90" s="18">
        <v>74</v>
      </c>
    </row>
    <row r="91" spans="1:16" x14ac:dyDescent="0.25">
      <c r="A91" s="18">
        <v>709</v>
      </c>
      <c r="B91" s="17">
        <v>40575</v>
      </c>
      <c r="C91" s="18">
        <v>1</v>
      </c>
      <c r="D91" s="18">
        <v>0</v>
      </c>
      <c r="E91" s="18">
        <v>2</v>
      </c>
      <c r="F91" s="18">
        <v>21</v>
      </c>
      <c r="G91" s="18" t="b">
        <v>0</v>
      </c>
      <c r="H91" s="18">
        <v>2</v>
      </c>
      <c r="I91" s="18">
        <v>2</v>
      </c>
      <c r="J91" s="18">
        <v>0.22</v>
      </c>
      <c r="K91" s="18">
        <v>0.2273</v>
      </c>
      <c r="L91" s="18">
        <v>0.87</v>
      </c>
      <c r="M91" s="18">
        <v>0.1343</v>
      </c>
      <c r="N91" s="18">
        <v>0</v>
      </c>
      <c r="O91" s="18">
        <v>64</v>
      </c>
      <c r="P91" s="18">
        <v>64</v>
      </c>
    </row>
    <row r="92" spans="1:16" x14ac:dyDescent="0.25">
      <c r="A92" s="18">
        <v>710</v>
      </c>
      <c r="B92" s="17">
        <v>40575</v>
      </c>
      <c r="C92" s="18">
        <v>1</v>
      </c>
      <c r="D92" s="18">
        <v>0</v>
      </c>
      <c r="E92" s="18">
        <v>2</v>
      </c>
      <c r="F92" s="18">
        <v>22</v>
      </c>
      <c r="G92" s="18" t="b">
        <v>0</v>
      </c>
      <c r="H92" s="18">
        <v>2</v>
      </c>
      <c r="I92" s="18">
        <v>2</v>
      </c>
      <c r="J92" s="18">
        <v>0.22</v>
      </c>
      <c r="K92" s="18">
        <v>0.2576</v>
      </c>
      <c r="L92" s="18">
        <v>0.87</v>
      </c>
      <c r="M92" s="18">
        <v>8.9599999999999999E-2</v>
      </c>
      <c r="N92" s="18">
        <v>2</v>
      </c>
      <c r="O92" s="18">
        <v>34</v>
      </c>
      <c r="P92" s="18">
        <v>36</v>
      </c>
    </row>
    <row r="93" spans="1:16" x14ac:dyDescent="0.25">
      <c r="A93" s="18">
        <v>711</v>
      </c>
      <c r="B93" s="17">
        <v>40575</v>
      </c>
      <c r="C93" s="18">
        <v>1</v>
      </c>
      <c r="D93" s="18">
        <v>0</v>
      </c>
      <c r="E93" s="18">
        <v>2</v>
      </c>
      <c r="F93" s="18">
        <v>23</v>
      </c>
      <c r="G93" s="18" t="b">
        <v>0</v>
      </c>
      <c r="H93" s="18">
        <v>2</v>
      </c>
      <c r="I93" s="18">
        <v>3</v>
      </c>
      <c r="J93" s="18">
        <v>0.2</v>
      </c>
      <c r="K93" s="18">
        <v>0.19700000000000001</v>
      </c>
      <c r="L93" s="18">
        <v>0.93</v>
      </c>
      <c r="M93" s="18">
        <v>0.19400000000000001</v>
      </c>
      <c r="N93" s="18">
        <v>1</v>
      </c>
      <c r="O93" s="18">
        <v>15</v>
      </c>
      <c r="P93" s="18">
        <v>16</v>
      </c>
    </row>
    <row r="94" spans="1:16" x14ac:dyDescent="0.25">
      <c r="A94" s="18">
        <v>712</v>
      </c>
      <c r="B94" s="17">
        <v>40576</v>
      </c>
      <c r="C94" s="18">
        <v>1</v>
      </c>
      <c r="D94" s="18">
        <v>0</v>
      </c>
      <c r="E94" s="18">
        <v>2</v>
      </c>
      <c r="F94" s="18">
        <v>0</v>
      </c>
      <c r="G94" s="18" t="b">
        <v>0</v>
      </c>
      <c r="H94" s="18">
        <v>3</v>
      </c>
      <c r="I94" s="18">
        <v>3</v>
      </c>
      <c r="J94" s="18">
        <v>0.22</v>
      </c>
      <c r="K94" s="18">
        <v>0.2424</v>
      </c>
      <c r="L94" s="18">
        <v>0.93</v>
      </c>
      <c r="M94" s="18">
        <v>0.1045</v>
      </c>
      <c r="N94" s="18">
        <v>0</v>
      </c>
      <c r="O94" s="18">
        <v>2</v>
      </c>
      <c r="P94" s="18">
        <v>2</v>
      </c>
    </row>
    <row r="95" spans="1:16" x14ac:dyDescent="0.25">
      <c r="A95" s="18">
        <v>713</v>
      </c>
      <c r="B95" s="17">
        <v>40576</v>
      </c>
      <c r="C95" s="18">
        <v>1</v>
      </c>
      <c r="D95" s="18">
        <v>0</v>
      </c>
      <c r="E95" s="18">
        <v>2</v>
      </c>
      <c r="F95" s="18">
        <v>1</v>
      </c>
      <c r="G95" s="18" t="b">
        <v>0</v>
      </c>
      <c r="H95" s="18">
        <v>3</v>
      </c>
      <c r="I95" s="18">
        <v>3</v>
      </c>
      <c r="J95" s="18">
        <v>0.22</v>
      </c>
      <c r="K95" s="18">
        <v>0.2273</v>
      </c>
      <c r="L95" s="18">
        <v>0.93</v>
      </c>
      <c r="M95" s="18">
        <v>0.19400000000000001</v>
      </c>
      <c r="N95" s="18">
        <v>0</v>
      </c>
      <c r="O95" s="18">
        <v>3</v>
      </c>
      <c r="P95" s="18">
        <v>3</v>
      </c>
    </row>
    <row r="96" spans="1:16" x14ac:dyDescent="0.25">
      <c r="A96" s="18">
        <v>714</v>
      </c>
      <c r="B96" s="17">
        <v>40576</v>
      </c>
      <c r="C96" s="18">
        <v>1</v>
      </c>
      <c r="D96" s="18">
        <v>0</v>
      </c>
      <c r="E96" s="18">
        <v>2</v>
      </c>
      <c r="F96" s="18">
        <v>2</v>
      </c>
      <c r="G96" s="18" t="b">
        <v>0</v>
      </c>
      <c r="H96" s="18">
        <v>3</v>
      </c>
      <c r="I96" s="18">
        <v>3</v>
      </c>
      <c r="J96" s="18">
        <v>0.22</v>
      </c>
      <c r="K96" s="18">
        <v>0.2273</v>
      </c>
      <c r="L96" s="18">
        <v>0.93</v>
      </c>
      <c r="M96" s="18">
        <v>0.1343</v>
      </c>
      <c r="N96" s="18">
        <v>4</v>
      </c>
      <c r="O96" s="18">
        <v>0</v>
      </c>
      <c r="P96" s="18">
        <v>4</v>
      </c>
    </row>
    <row r="97" spans="1:16" x14ac:dyDescent="0.25">
      <c r="A97" s="18">
        <v>715</v>
      </c>
      <c r="B97" s="17">
        <v>40576</v>
      </c>
      <c r="C97" s="18">
        <v>1</v>
      </c>
      <c r="D97" s="18">
        <v>0</v>
      </c>
      <c r="E97" s="18">
        <v>2</v>
      </c>
      <c r="F97" s="18">
        <v>3</v>
      </c>
      <c r="G97" s="18" t="b">
        <v>0</v>
      </c>
      <c r="H97" s="18">
        <v>3</v>
      </c>
      <c r="I97" s="18">
        <v>3</v>
      </c>
      <c r="J97" s="18">
        <v>0.22</v>
      </c>
      <c r="K97" s="18">
        <v>0.2273</v>
      </c>
      <c r="L97" s="18">
        <v>0.93</v>
      </c>
      <c r="M97" s="18">
        <v>0.1343</v>
      </c>
      <c r="N97" s="18">
        <v>0</v>
      </c>
      <c r="O97" s="18">
        <v>1</v>
      </c>
      <c r="P97" s="18">
        <v>1</v>
      </c>
    </row>
    <row r="98" spans="1:16" x14ac:dyDescent="0.25">
      <c r="A98" s="18">
        <v>716</v>
      </c>
      <c r="B98" s="17">
        <v>40576</v>
      </c>
      <c r="C98" s="18">
        <v>1</v>
      </c>
      <c r="D98" s="18">
        <v>0</v>
      </c>
      <c r="E98" s="18">
        <v>2</v>
      </c>
      <c r="F98" s="18">
        <v>4</v>
      </c>
      <c r="G98" s="18" t="b">
        <v>0</v>
      </c>
      <c r="H98" s="18">
        <v>3</v>
      </c>
      <c r="I98" s="18">
        <v>3</v>
      </c>
      <c r="J98" s="18">
        <v>0.22</v>
      </c>
      <c r="K98" s="18">
        <v>0.21210000000000001</v>
      </c>
      <c r="L98" s="18">
        <v>0.93</v>
      </c>
      <c r="M98" s="18">
        <v>0.28360000000000002</v>
      </c>
      <c r="N98" s="18">
        <v>0</v>
      </c>
      <c r="O98" s="18">
        <v>1</v>
      </c>
      <c r="P98" s="18">
        <v>1</v>
      </c>
    </row>
    <row r="99" spans="1:16" x14ac:dyDescent="0.25">
      <c r="A99" s="18">
        <v>717</v>
      </c>
      <c r="B99" s="17">
        <v>40576</v>
      </c>
      <c r="C99" s="18">
        <v>1</v>
      </c>
      <c r="D99" s="18">
        <v>0</v>
      </c>
      <c r="E99" s="18">
        <v>2</v>
      </c>
      <c r="F99" s="18">
        <v>5</v>
      </c>
      <c r="G99" s="18" t="b">
        <v>0</v>
      </c>
      <c r="H99" s="18">
        <v>3</v>
      </c>
      <c r="I99" s="18">
        <v>3</v>
      </c>
      <c r="J99" s="18">
        <v>0.22</v>
      </c>
      <c r="K99" s="18">
        <v>0.2424</v>
      </c>
      <c r="L99" s="18">
        <v>0.93</v>
      </c>
      <c r="M99" s="18">
        <v>0.1045</v>
      </c>
      <c r="N99" s="18">
        <v>0</v>
      </c>
      <c r="O99" s="18">
        <v>3</v>
      </c>
      <c r="P99" s="18">
        <v>3</v>
      </c>
    </row>
    <row r="100" spans="1:16" x14ac:dyDescent="0.25">
      <c r="A100" s="18">
        <v>718</v>
      </c>
      <c r="B100" s="17">
        <v>40576</v>
      </c>
      <c r="C100" s="18">
        <v>1</v>
      </c>
      <c r="D100" s="18">
        <v>0</v>
      </c>
      <c r="E100" s="18">
        <v>2</v>
      </c>
      <c r="F100" s="18">
        <v>6</v>
      </c>
      <c r="G100" s="18" t="b">
        <v>0</v>
      </c>
      <c r="H100" s="18">
        <v>3</v>
      </c>
      <c r="I100" s="18">
        <v>3</v>
      </c>
      <c r="J100" s="18">
        <v>0.22</v>
      </c>
      <c r="K100" s="18">
        <v>0.2424</v>
      </c>
      <c r="L100" s="18">
        <v>0.93</v>
      </c>
      <c r="M100" s="18">
        <v>0.1045</v>
      </c>
      <c r="N100" s="18">
        <v>1</v>
      </c>
      <c r="O100" s="18">
        <v>17</v>
      </c>
      <c r="P100" s="18">
        <v>18</v>
      </c>
    </row>
    <row r="101" spans="1:16" x14ac:dyDescent="0.25">
      <c r="A101" s="18">
        <v>719</v>
      </c>
      <c r="B101" s="17">
        <v>40576</v>
      </c>
      <c r="C101" s="18">
        <v>1</v>
      </c>
      <c r="D101" s="18">
        <v>0</v>
      </c>
      <c r="E101" s="18">
        <v>2</v>
      </c>
      <c r="F101" s="18">
        <v>7</v>
      </c>
      <c r="G101" s="18" t="b">
        <v>0</v>
      </c>
      <c r="H101" s="18">
        <v>3</v>
      </c>
      <c r="I101" s="18">
        <v>3</v>
      </c>
      <c r="J101" s="18">
        <v>0.22</v>
      </c>
      <c r="K101" s="18">
        <v>0.21210000000000001</v>
      </c>
      <c r="L101" s="18">
        <v>0.93</v>
      </c>
      <c r="M101" s="18">
        <v>0.22389999999999999</v>
      </c>
      <c r="N101" s="18">
        <v>1</v>
      </c>
      <c r="O101" s="18">
        <v>48</v>
      </c>
      <c r="P101" s="18">
        <v>49</v>
      </c>
    </row>
    <row r="102" spans="1:16" x14ac:dyDescent="0.25">
      <c r="A102" s="18">
        <v>720</v>
      </c>
      <c r="B102" s="17">
        <v>40576</v>
      </c>
      <c r="C102" s="18">
        <v>1</v>
      </c>
      <c r="D102" s="18">
        <v>0</v>
      </c>
      <c r="E102" s="18">
        <v>2</v>
      </c>
      <c r="F102" s="18">
        <v>8</v>
      </c>
      <c r="G102" s="18" t="b">
        <v>0</v>
      </c>
      <c r="H102" s="18">
        <v>3</v>
      </c>
      <c r="I102" s="18">
        <v>3</v>
      </c>
      <c r="J102" s="18">
        <v>0.22</v>
      </c>
      <c r="K102" s="18">
        <v>0.21210000000000001</v>
      </c>
      <c r="L102" s="18">
        <v>0.93</v>
      </c>
      <c r="M102" s="18">
        <v>0.22389999999999999</v>
      </c>
      <c r="N102" s="18">
        <v>1</v>
      </c>
      <c r="O102" s="18">
        <v>154</v>
      </c>
      <c r="P102" s="18">
        <v>155</v>
      </c>
    </row>
    <row r="103" spans="1:16" x14ac:dyDescent="0.25">
      <c r="A103" s="18">
        <v>721</v>
      </c>
      <c r="B103" s="17">
        <v>40576</v>
      </c>
      <c r="C103" s="18">
        <v>1</v>
      </c>
      <c r="D103" s="18">
        <v>0</v>
      </c>
      <c r="E103" s="18">
        <v>2</v>
      </c>
      <c r="F103" s="18">
        <v>9</v>
      </c>
      <c r="G103" s="18" t="b">
        <v>0</v>
      </c>
      <c r="H103" s="18">
        <v>3</v>
      </c>
      <c r="I103" s="18">
        <v>2</v>
      </c>
      <c r="J103" s="18">
        <v>0.24</v>
      </c>
      <c r="K103" s="18">
        <v>0.2576</v>
      </c>
      <c r="L103" s="18">
        <v>0.93</v>
      </c>
      <c r="M103" s="18">
        <v>8.9599999999999999E-2</v>
      </c>
      <c r="N103" s="18">
        <v>4</v>
      </c>
      <c r="O103" s="18">
        <v>119</v>
      </c>
      <c r="P103" s="18">
        <v>123</v>
      </c>
    </row>
    <row r="104" spans="1:16" x14ac:dyDescent="0.25">
      <c r="A104" s="18">
        <v>722</v>
      </c>
      <c r="B104" s="17">
        <v>40576</v>
      </c>
      <c r="C104" s="18">
        <v>1</v>
      </c>
      <c r="D104" s="18">
        <v>0</v>
      </c>
      <c r="E104" s="18">
        <v>2</v>
      </c>
      <c r="F104" s="18">
        <v>10</v>
      </c>
      <c r="G104" s="18" t="b">
        <v>0</v>
      </c>
      <c r="H104" s="18">
        <v>3</v>
      </c>
      <c r="I104" s="18">
        <v>2</v>
      </c>
      <c r="J104" s="18">
        <v>0.22</v>
      </c>
      <c r="K104" s="18">
        <v>0.2727</v>
      </c>
      <c r="L104" s="18">
        <v>1</v>
      </c>
      <c r="M104" s="18">
        <v>0</v>
      </c>
      <c r="N104" s="18">
        <v>2</v>
      </c>
      <c r="O104" s="18">
        <v>59</v>
      </c>
      <c r="P104" s="18">
        <v>61</v>
      </c>
    </row>
    <row r="105" spans="1:16" x14ac:dyDescent="0.25">
      <c r="A105" s="18">
        <v>723</v>
      </c>
      <c r="B105" s="17">
        <v>40576</v>
      </c>
      <c r="C105" s="18">
        <v>1</v>
      </c>
      <c r="D105" s="18">
        <v>0</v>
      </c>
      <c r="E105" s="18">
        <v>2</v>
      </c>
      <c r="F105" s="18">
        <v>11</v>
      </c>
      <c r="G105" s="18" t="b">
        <v>0</v>
      </c>
      <c r="H105" s="18">
        <v>3</v>
      </c>
      <c r="I105" s="18">
        <v>2</v>
      </c>
      <c r="J105" s="18">
        <v>0.24</v>
      </c>
      <c r="K105" s="18">
        <v>0.2273</v>
      </c>
      <c r="L105" s="18">
        <v>0.93</v>
      </c>
      <c r="M105" s="18">
        <v>0.19400000000000001</v>
      </c>
      <c r="N105" s="18">
        <v>5</v>
      </c>
      <c r="O105" s="18">
        <v>47</v>
      </c>
      <c r="P105" s="18">
        <v>52</v>
      </c>
    </row>
    <row r="106" spans="1:16" x14ac:dyDescent="0.25">
      <c r="A106" s="18">
        <v>724</v>
      </c>
      <c r="B106" s="17">
        <v>40576</v>
      </c>
      <c r="C106" s="18">
        <v>1</v>
      </c>
      <c r="D106" s="18">
        <v>0</v>
      </c>
      <c r="E106" s="18">
        <v>2</v>
      </c>
      <c r="F106" s="18">
        <v>12</v>
      </c>
      <c r="G106" s="18" t="b">
        <v>0</v>
      </c>
      <c r="H106" s="18">
        <v>3</v>
      </c>
      <c r="I106" s="18">
        <v>2</v>
      </c>
      <c r="J106" s="18">
        <v>0.24</v>
      </c>
      <c r="K106" s="18">
        <v>0.2273</v>
      </c>
      <c r="L106" s="18">
        <v>0.93</v>
      </c>
      <c r="M106" s="18">
        <v>0.22389999999999999</v>
      </c>
      <c r="N106" s="18">
        <v>3</v>
      </c>
      <c r="O106" s="18">
        <v>61</v>
      </c>
      <c r="P106" s="18">
        <v>64</v>
      </c>
    </row>
    <row r="107" spans="1:16" x14ac:dyDescent="0.25">
      <c r="A107" s="18">
        <v>725</v>
      </c>
      <c r="B107" s="17">
        <v>40576</v>
      </c>
      <c r="C107" s="18">
        <v>1</v>
      </c>
      <c r="D107" s="18">
        <v>0</v>
      </c>
      <c r="E107" s="18">
        <v>2</v>
      </c>
      <c r="F107" s="18">
        <v>13</v>
      </c>
      <c r="G107" s="18" t="b">
        <v>0</v>
      </c>
      <c r="H107" s="18">
        <v>3</v>
      </c>
      <c r="I107" s="18">
        <v>1</v>
      </c>
      <c r="J107" s="18">
        <v>0.34</v>
      </c>
      <c r="K107" s="18">
        <v>0.33329999999999999</v>
      </c>
      <c r="L107" s="18">
        <v>0.93</v>
      </c>
      <c r="M107" s="18">
        <v>0.16420000000000001</v>
      </c>
      <c r="N107" s="18">
        <v>1</v>
      </c>
      <c r="O107" s="18">
        <v>74</v>
      </c>
      <c r="P107" s="18">
        <v>75</v>
      </c>
    </row>
    <row r="108" spans="1:16" x14ac:dyDescent="0.25">
      <c r="A108" s="18">
        <v>726</v>
      </c>
      <c r="B108" s="17">
        <v>40576</v>
      </c>
      <c r="C108" s="18">
        <v>1</v>
      </c>
      <c r="D108" s="18">
        <v>0</v>
      </c>
      <c r="E108" s="18">
        <v>2</v>
      </c>
      <c r="F108" s="18">
        <v>14</v>
      </c>
      <c r="G108" s="18" t="b">
        <v>0</v>
      </c>
      <c r="H108" s="18">
        <v>3</v>
      </c>
      <c r="I108" s="18">
        <v>1</v>
      </c>
      <c r="J108" s="18">
        <v>0.38</v>
      </c>
      <c r="K108" s="18">
        <v>0.39389999999999997</v>
      </c>
      <c r="L108" s="18">
        <v>0.82</v>
      </c>
      <c r="M108" s="18">
        <v>0.3881</v>
      </c>
      <c r="N108" s="18">
        <v>2</v>
      </c>
      <c r="O108" s="18">
        <v>61</v>
      </c>
      <c r="P108" s="18">
        <v>63</v>
      </c>
    </row>
    <row r="109" spans="1:16" x14ac:dyDescent="0.25">
      <c r="A109" s="18">
        <v>727</v>
      </c>
      <c r="B109" s="17">
        <v>40576</v>
      </c>
      <c r="C109" s="18">
        <v>1</v>
      </c>
      <c r="D109" s="18">
        <v>0</v>
      </c>
      <c r="E109" s="18">
        <v>2</v>
      </c>
      <c r="F109" s="18">
        <v>15</v>
      </c>
      <c r="G109" s="18" t="b">
        <v>0</v>
      </c>
      <c r="H109" s="18">
        <v>3</v>
      </c>
      <c r="I109" s="18">
        <v>1</v>
      </c>
      <c r="J109" s="18">
        <v>0.38</v>
      </c>
      <c r="K109" s="18">
        <v>0.39389999999999997</v>
      </c>
      <c r="L109" s="18">
        <v>0.76</v>
      </c>
      <c r="M109" s="18">
        <v>0.32840000000000003</v>
      </c>
      <c r="N109" s="18">
        <v>10</v>
      </c>
      <c r="O109" s="18">
        <v>66</v>
      </c>
      <c r="P109" s="18">
        <v>76</v>
      </c>
    </row>
    <row r="110" spans="1:16" x14ac:dyDescent="0.25">
      <c r="A110" s="18">
        <v>728</v>
      </c>
      <c r="B110" s="17">
        <v>40576</v>
      </c>
      <c r="C110" s="18">
        <v>1</v>
      </c>
      <c r="D110" s="18">
        <v>0</v>
      </c>
      <c r="E110" s="18">
        <v>2</v>
      </c>
      <c r="F110" s="18">
        <v>16</v>
      </c>
      <c r="G110" s="18" t="b">
        <v>0</v>
      </c>
      <c r="H110" s="18">
        <v>3</v>
      </c>
      <c r="I110" s="18">
        <v>1</v>
      </c>
      <c r="J110" s="18">
        <v>0.36</v>
      </c>
      <c r="K110" s="18">
        <v>0.33329999999999999</v>
      </c>
      <c r="L110" s="18">
        <v>0.71</v>
      </c>
      <c r="M110" s="18">
        <v>0.29849999999999999</v>
      </c>
      <c r="N110" s="18">
        <v>8</v>
      </c>
      <c r="O110" s="18">
        <v>95</v>
      </c>
      <c r="P110" s="18">
        <v>103</v>
      </c>
    </row>
    <row r="111" spans="1:16" x14ac:dyDescent="0.25">
      <c r="A111" s="18">
        <v>729</v>
      </c>
      <c r="B111" s="17">
        <v>40576</v>
      </c>
      <c r="C111" s="18">
        <v>1</v>
      </c>
      <c r="D111" s="18">
        <v>0</v>
      </c>
      <c r="E111" s="18">
        <v>2</v>
      </c>
      <c r="F111" s="18">
        <v>17</v>
      </c>
      <c r="G111" s="18" t="b">
        <v>0</v>
      </c>
      <c r="H111" s="18">
        <v>3</v>
      </c>
      <c r="I111" s="18">
        <v>1</v>
      </c>
      <c r="J111" s="18">
        <v>0.36</v>
      </c>
      <c r="K111" s="18">
        <v>0.31819999999999998</v>
      </c>
      <c r="L111" s="18">
        <v>0.53</v>
      </c>
      <c r="M111" s="18">
        <v>0.52239999999999998</v>
      </c>
      <c r="N111" s="18">
        <v>7</v>
      </c>
      <c r="O111" s="18">
        <v>183</v>
      </c>
      <c r="P111" s="18">
        <v>190</v>
      </c>
    </row>
    <row r="112" spans="1:16" x14ac:dyDescent="0.25">
      <c r="A112" s="18">
        <v>730</v>
      </c>
      <c r="B112" s="17">
        <v>40576</v>
      </c>
      <c r="C112" s="18">
        <v>1</v>
      </c>
      <c r="D112" s="18">
        <v>0</v>
      </c>
      <c r="E112" s="18">
        <v>2</v>
      </c>
      <c r="F112" s="18">
        <v>18</v>
      </c>
      <c r="G112" s="18" t="b">
        <v>0</v>
      </c>
      <c r="H112" s="18">
        <v>3</v>
      </c>
      <c r="I112" s="18">
        <v>1</v>
      </c>
      <c r="J112" s="18">
        <v>0.34</v>
      </c>
      <c r="K112" s="18">
        <v>0.28789999999999999</v>
      </c>
      <c r="L112" s="18">
        <v>0.42</v>
      </c>
      <c r="M112" s="18">
        <v>0.55220000000000002</v>
      </c>
      <c r="N112" s="18">
        <v>7</v>
      </c>
      <c r="O112" s="18">
        <v>175</v>
      </c>
      <c r="P112" s="18">
        <v>182</v>
      </c>
    </row>
    <row r="113" spans="1:16" x14ac:dyDescent="0.25">
      <c r="A113" s="18">
        <v>731</v>
      </c>
      <c r="B113" s="17">
        <v>40576</v>
      </c>
      <c r="C113" s="18">
        <v>1</v>
      </c>
      <c r="D113" s="18">
        <v>0</v>
      </c>
      <c r="E113" s="18">
        <v>2</v>
      </c>
      <c r="F113" s="18">
        <v>19</v>
      </c>
      <c r="G113" s="18" t="b">
        <v>0</v>
      </c>
      <c r="H113" s="18">
        <v>3</v>
      </c>
      <c r="I113" s="18">
        <v>1</v>
      </c>
      <c r="J113" s="18">
        <v>0.28000000000000003</v>
      </c>
      <c r="K113" s="18">
        <v>0.2424</v>
      </c>
      <c r="L113" s="18">
        <v>0.45</v>
      </c>
      <c r="M113" s="18">
        <v>0.49249999999999999</v>
      </c>
      <c r="N113" s="18">
        <v>3</v>
      </c>
      <c r="O113" s="18">
        <v>88</v>
      </c>
      <c r="P113" s="18">
        <v>91</v>
      </c>
    </row>
    <row r="114" spans="1:16" x14ac:dyDescent="0.25">
      <c r="A114" s="18">
        <v>732</v>
      </c>
      <c r="B114" s="17">
        <v>40576</v>
      </c>
      <c r="C114" s="18">
        <v>1</v>
      </c>
      <c r="D114" s="18">
        <v>0</v>
      </c>
      <c r="E114" s="18">
        <v>2</v>
      </c>
      <c r="F114" s="18">
        <v>20</v>
      </c>
      <c r="G114" s="18" t="b">
        <v>0</v>
      </c>
      <c r="H114" s="18">
        <v>3</v>
      </c>
      <c r="I114" s="18">
        <v>1</v>
      </c>
      <c r="J114" s="18">
        <v>0.24</v>
      </c>
      <c r="K114" s="18">
        <v>0.19700000000000001</v>
      </c>
      <c r="L114" s="18">
        <v>0.48</v>
      </c>
      <c r="M114" s="18">
        <v>0.55220000000000002</v>
      </c>
      <c r="N114" s="18">
        <v>4</v>
      </c>
      <c r="O114" s="18">
        <v>71</v>
      </c>
      <c r="P114" s="18">
        <v>75</v>
      </c>
    </row>
    <row r="115" spans="1:16" x14ac:dyDescent="0.25">
      <c r="A115" s="18">
        <v>733</v>
      </c>
      <c r="B115" s="17">
        <v>40576</v>
      </c>
      <c r="C115" s="18">
        <v>1</v>
      </c>
      <c r="D115" s="18">
        <v>0</v>
      </c>
      <c r="E115" s="18">
        <v>2</v>
      </c>
      <c r="F115" s="18">
        <v>21</v>
      </c>
      <c r="G115" s="18" t="b">
        <v>0</v>
      </c>
      <c r="H115" s="18">
        <v>3</v>
      </c>
      <c r="I115" s="18">
        <v>1</v>
      </c>
      <c r="J115" s="18">
        <v>0.22</v>
      </c>
      <c r="K115" s="18">
        <v>0.19700000000000001</v>
      </c>
      <c r="L115" s="18">
        <v>0.47</v>
      </c>
      <c r="M115" s="18">
        <v>0.32840000000000003</v>
      </c>
      <c r="N115" s="18">
        <v>1</v>
      </c>
      <c r="O115" s="18">
        <v>62</v>
      </c>
      <c r="P115" s="18">
        <v>63</v>
      </c>
    </row>
    <row r="116" spans="1:16" x14ac:dyDescent="0.25">
      <c r="A116" s="18">
        <v>734</v>
      </c>
      <c r="B116" s="17">
        <v>40576</v>
      </c>
      <c r="C116" s="18">
        <v>1</v>
      </c>
      <c r="D116" s="18">
        <v>0</v>
      </c>
      <c r="E116" s="18">
        <v>2</v>
      </c>
      <c r="F116" s="18">
        <v>22</v>
      </c>
      <c r="G116" s="18" t="b">
        <v>0</v>
      </c>
      <c r="H116" s="18">
        <v>3</v>
      </c>
      <c r="I116" s="18">
        <v>1</v>
      </c>
      <c r="J116" s="18">
        <v>0.22</v>
      </c>
      <c r="K116" s="18">
        <v>0.21210000000000001</v>
      </c>
      <c r="L116" s="18">
        <v>0.44</v>
      </c>
      <c r="M116" s="18">
        <v>0.25369999999999998</v>
      </c>
      <c r="N116" s="18">
        <v>5</v>
      </c>
      <c r="O116" s="18">
        <v>35</v>
      </c>
      <c r="P116" s="18">
        <v>40</v>
      </c>
    </row>
    <row r="117" spans="1:16" x14ac:dyDescent="0.25">
      <c r="A117" s="18">
        <v>735</v>
      </c>
      <c r="B117" s="17">
        <v>40576</v>
      </c>
      <c r="C117" s="18">
        <v>1</v>
      </c>
      <c r="D117" s="18">
        <v>0</v>
      </c>
      <c r="E117" s="18">
        <v>2</v>
      </c>
      <c r="F117" s="18">
        <v>23</v>
      </c>
      <c r="G117" s="18" t="b">
        <v>0</v>
      </c>
      <c r="H117" s="18">
        <v>3</v>
      </c>
      <c r="I117" s="18">
        <v>1</v>
      </c>
      <c r="J117" s="18">
        <v>0.2</v>
      </c>
      <c r="K117" s="18">
        <v>0.16669999999999999</v>
      </c>
      <c r="L117" s="18">
        <v>0.44</v>
      </c>
      <c r="M117" s="18">
        <v>0.44779999999999998</v>
      </c>
      <c r="N117" s="18">
        <v>3</v>
      </c>
      <c r="O117" s="18">
        <v>29</v>
      </c>
      <c r="P117" s="18">
        <v>32</v>
      </c>
    </row>
    <row r="118" spans="1:16" x14ac:dyDescent="0.25">
      <c r="A118" s="18">
        <v>736</v>
      </c>
      <c r="B118" s="17">
        <v>40577</v>
      </c>
      <c r="C118" s="18">
        <v>1</v>
      </c>
      <c r="D118" s="18">
        <v>0</v>
      </c>
      <c r="E118" s="18">
        <v>2</v>
      </c>
      <c r="F118" s="18">
        <v>0</v>
      </c>
      <c r="G118" s="18" t="b">
        <v>0</v>
      </c>
      <c r="H118" s="18">
        <v>4</v>
      </c>
      <c r="I118" s="18">
        <v>1</v>
      </c>
      <c r="J118" s="18">
        <v>0.2</v>
      </c>
      <c r="K118" s="18">
        <v>0.16669999999999999</v>
      </c>
      <c r="L118" s="18">
        <v>0.4</v>
      </c>
      <c r="M118" s="18">
        <v>0.44779999999999998</v>
      </c>
      <c r="N118" s="18">
        <v>1</v>
      </c>
      <c r="O118" s="18">
        <v>11</v>
      </c>
      <c r="P118" s="18">
        <v>12</v>
      </c>
    </row>
    <row r="119" spans="1:16" x14ac:dyDescent="0.25">
      <c r="A119" s="18">
        <v>737</v>
      </c>
      <c r="B119" s="17">
        <v>40577</v>
      </c>
      <c r="C119" s="18">
        <v>1</v>
      </c>
      <c r="D119" s="18">
        <v>0</v>
      </c>
      <c r="E119" s="18">
        <v>2</v>
      </c>
      <c r="F119" s="18">
        <v>1</v>
      </c>
      <c r="G119" s="18" t="b">
        <v>0</v>
      </c>
      <c r="H119" s="18">
        <v>4</v>
      </c>
      <c r="I119" s="18">
        <v>1</v>
      </c>
      <c r="J119" s="18">
        <v>0.2</v>
      </c>
      <c r="K119" s="18">
        <v>0.1515</v>
      </c>
      <c r="L119" s="18">
        <v>0.44</v>
      </c>
      <c r="M119" s="18">
        <v>0.52239999999999998</v>
      </c>
      <c r="N119" s="18">
        <v>0</v>
      </c>
      <c r="O119" s="18">
        <v>5</v>
      </c>
      <c r="P119" s="18">
        <v>5</v>
      </c>
    </row>
    <row r="120" spans="1:16" x14ac:dyDescent="0.25">
      <c r="A120" s="18">
        <v>738</v>
      </c>
      <c r="B120" s="17">
        <v>40577</v>
      </c>
      <c r="C120" s="18">
        <v>1</v>
      </c>
      <c r="D120" s="18">
        <v>0</v>
      </c>
      <c r="E120" s="18">
        <v>2</v>
      </c>
      <c r="F120" s="18">
        <v>2</v>
      </c>
      <c r="G120" s="18" t="b">
        <v>0</v>
      </c>
      <c r="H120" s="18">
        <v>4</v>
      </c>
      <c r="I120" s="18">
        <v>1</v>
      </c>
      <c r="J120" s="18">
        <v>0.18</v>
      </c>
      <c r="K120" s="18">
        <v>0.16669999999999999</v>
      </c>
      <c r="L120" s="18">
        <v>0.43</v>
      </c>
      <c r="M120" s="18">
        <v>0.25369999999999998</v>
      </c>
      <c r="N120" s="18">
        <v>0</v>
      </c>
      <c r="O120" s="18">
        <v>2</v>
      </c>
      <c r="P120" s="18">
        <v>2</v>
      </c>
    </row>
    <row r="121" spans="1:16" x14ac:dyDescent="0.25">
      <c r="A121" s="18">
        <v>739</v>
      </c>
      <c r="B121" s="17">
        <v>40577</v>
      </c>
      <c r="C121" s="18">
        <v>1</v>
      </c>
      <c r="D121" s="18">
        <v>0</v>
      </c>
      <c r="E121" s="18">
        <v>2</v>
      </c>
      <c r="F121" s="18">
        <v>3</v>
      </c>
      <c r="G121" s="18" t="b">
        <v>0</v>
      </c>
      <c r="H121" s="18">
        <v>4</v>
      </c>
      <c r="I121" s="18">
        <v>1</v>
      </c>
      <c r="J121" s="18">
        <v>0.18</v>
      </c>
      <c r="K121" s="18">
        <v>0.16669999999999999</v>
      </c>
      <c r="L121" s="18">
        <v>0.43</v>
      </c>
      <c r="M121" s="18">
        <v>0.25369999999999998</v>
      </c>
      <c r="N121" s="18">
        <v>0</v>
      </c>
      <c r="O121" s="18">
        <v>1</v>
      </c>
      <c r="P121" s="18">
        <v>1</v>
      </c>
    </row>
    <row r="122" spans="1:16" x14ac:dyDescent="0.25">
      <c r="A122" s="18">
        <v>740</v>
      </c>
      <c r="B122" s="17">
        <v>40577</v>
      </c>
      <c r="C122" s="18">
        <v>1</v>
      </c>
      <c r="D122" s="18">
        <v>0</v>
      </c>
      <c r="E122" s="18">
        <v>2</v>
      </c>
      <c r="F122" s="18">
        <v>5</v>
      </c>
      <c r="G122" s="18" t="b">
        <v>0</v>
      </c>
      <c r="H122" s="18">
        <v>4</v>
      </c>
      <c r="I122" s="18">
        <v>1</v>
      </c>
      <c r="J122" s="18">
        <v>0.16</v>
      </c>
      <c r="K122" s="18">
        <v>0.13639999999999999</v>
      </c>
      <c r="L122" s="18">
        <v>0.5</v>
      </c>
      <c r="M122" s="18">
        <v>0.29849999999999999</v>
      </c>
      <c r="N122" s="18">
        <v>0</v>
      </c>
      <c r="O122" s="18">
        <v>2</v>
      </c>
      <c r="P122" s="18">
        <v>2</v>
      </c>
    </row>
    <row r="123" spans="1:16" x14ac:dyDescent="0.25">
      <c r="A123" s="18">
        <v>741</v>
      </c>
      <c r="B123" s="17">
        <v>40577</v>
      </c>
      <c r="C123" s="18">
        <v>1</v>
      </c>
      <c r="D123" s="18">
        <v>0</v>
      </c>
      <c r="E123" s="18">
        <v>2</v>
      </c>
      <c r="F123" s="18">
        <v>6</v>
      </c>
      <c r="G123" s="18" t="b">
        <v>0</v>
      </c>
      <c r="H123" s="18">
        <v>4</v>
      </c>
      <c r="I123" s="18">
        <v>1</v>
      </c>
      <c r="J123" s="18">
        <v>0.16</v>
      </c>
      <c r="K123" s="18">
        <v>0.13639999999999999</v>
      </c>
      <c r="L123" s="18">
        <v>0.43</v>
      </c>
      <c r="M123" s="18">
        <v>0.35820000000000002</v>
      </c>
      <c r="N123" s="18">
        <v>0</v>
      </c>
      <c r="O123" s="18">
        <v>39</v>
      </c>
      <c r="P123" s="18">
        <v>39</v>
      </c>
    </row>
    <row r="124" spans="1:16" x14ac:dyDescent="0.25">
      <c r="A124" s="18">
        <v>742</v>
      </c>
      <c r="B124" s="17">
        <v>40577</v>
      </c>
      <c r="C124" s="18">
        <v>1</v>
      </c>
      <c r="D124" s="18">
        <v>0</v>
      </c>
      <c r="E124" s="18">
        <v>2</v>
      </c>
      <c r="F124" s="18">
        <v>7</v>
      </c>
      <c r="G124" s="18" t="b">
        <v>0</v>
      </c>
      <c r="H124" s="18">
        <v>4</v>
      </c>
      <c r="I124" s="18">
        <v>1</v>
      </c>
      <c r="J124" s="18">
        <v>0.14000000000000001</v>
      </c>
      <c r="K124" s="18">
        <v>0.1212</v>
      </c>
      <c r="L124" s="18">
        <v>0.5</v>
      </c>
      <c r="M124" s="18">
        <v>0.32840000000000003</v>
      </c>
      <c r="N124" s="18">
        <v>1</v>
      </c>
      <c r="O124" s="18">
        <v>86</v>
      </c>
      <c r="P124" s="18">
        <v>87</v>
      </c>
    </row>
    <row r="125" spans="1:16" x14ac:dyDescent="0.25">
      <c r="A125" s="18">
        <v>743</v>
      </c>
      <c r="B125" s="17">
        <v>40577</v>
      </c>
      <c r="C125" s="18">
        <v>1</v>
      </c>
      <c r="D125" s="18">
        <v>0</v>
      </c>
      <c r="E125" s="18">
        <v>2</v>
      </c>
      <c r="F125" s="18">
        <v>8</v>
      </c>
      <c r="G125" s="18" t="b">
        <v>0</v>
      </c>
      <c r="H125" s="18">
        <v>4</v>
      </c>
      <c r="I125" s="18">
        <v>1</v>
      </c>
      <c r="J125" s="18">
        <v>0.14000000000000001</v>
      </c>
      <c r="K125" s="18">
        <v>0.1212</v>
      </c>
      <c r="L125" s="18">
        <v>0.5</v>
      </c>
      <c r="M125" s="18">
        <v>0.35820000000000002</v>
      </c>
      <c r="N125" s="18">
        <v>4</v>
      </c>
      <c r="O125" s="18">
        <v>184</v>
      </c>
      <c r="P125" s="18">
        <v>188</v>
      </c>
    </row>
    <row r="126" spans="1:16" x14ac:dyDescent="0.25">
      <c r="A126" s="18">
        <v>744</v>
      </c>
      <c r="B126" s="17">
        <v>40577</v>
      </c>
      <c r="C126" s="18">
        <v>1</v>
      </c>
      <c r="D126" s="18">
        <v>0</v>
      </c>
      <c r="E126" s="18">
        <v>2</v>
      </c>
      <c r="F126" s="18">
        <v>9</v>
      </c>
      <c r="G126" s="18" t="b">
        <v>0</v>
      </c>
      <c r="H126" s="18">
        <v>4</v>
      </c>
      <c r="I126" s="18">
        <v>1</v>
      </c>
      <c r="J126" s="18">
        <v>0.16</v>
      </c>
      <c r="K126" s="18">
        <v>0.13639999999999999</v>
      </c>
      <c r="L126" s="18">
        <v>0.47</v>
      </c>
      <c r="M126" s="18">
        <v>0.29849999999999999</v>
      </c>
      <c r="N126" s="18">
        <v>6</v>
      </c>
      <c r="O126" s="18">
        <v>127</v>
      </c>
      <c r="P126" s="18">
        <v>133</v>
      </c>
    </row>
    <row r="127" spans="1:16" x14ac:dyDescent="0.25">
      <c r="A127" s="18">
        <v>745</v>
      </c>
      <c r="B127" s="17">
        <v>40577</v>
      </c>
      <c r="C127" s="18">
        <v>1</v>
      </c>
      <c r="D127" s="18">
        <v>0</v>
      </c>
      <c r="E127" s="18">
        <v>2</v>
      </c>
      <c r="F127" s="18">
        <v>10</v>
      </c>
      <c r="G127" s="18" t="b">
        <v>0</v>
      </c>
      <c r="H127" s="18">
        <v>4</v>
      </c>
      <c r="I127" s="18">
        <v>1</v>
      </c>
      <c r="J127" s="18">
        <v>0.18</v>
      </c>
      <c r="K127" s="18">
        <v>0.1515</v>
      </c>
      <c r="L127" s="18">
        <v>0.43</v>
      </c>
      <c r="M127" s="18">
        <v>0.32840000000000003</v>
      </c>
      <c r="N127" s="18">
        <v>2</v>
      </c>
      <c r="O127" s="18">
        <v>50</v>
      </c>
      <c r="P127" s="18">
        <v>52</v>
      </c>
    </row>
    <row r="128" spans="1:16" x14ac:dyDescent="0.25">
      <c r="A128" s="18">
        <v>746</v>
      </c>
      <c r="B128" s="17">
        <v>40577</v>
      </c>
      <c r="C128" s="18">
        <v>1</v>
      </c>
      <c r="D128" s="18">
        <v>0</v>
      </c>
      <c r="E128" s="18">
        <v>2</v>
      </c>
      <c r="F128" s="18">
        <v>11</v>
      </c>
      <c r="G128" s="18" t="b">
        <v>0</v>
      </c>
      <c r="H128" s="18">
        <v>4</v>
      </c>
      <c r="I128" s="18">
        <v>1</v>
      </c>
      <c r="J128" s="18">
        <v>0.18</v>
      </c>
      <c r="K128" s="18">
        <v>0.13639999999999999</v>
      </c>
      <c r="L128" s="18">
        <v>0.43</v>
      </c>
      <c r="M128" s="18">
        <v>0.44779999999999998</v>
      </c>
      <c r="N128" s="18">
        <v>9</v>
      </c>
      <c r="O128" s="18">
        <v>55</v>
      </c>
      <c r="P128" s="18">
        <v>64</v>
      </c>
    </row>
    <row r="129" spans="1:16" x14ac:dyDescent="0.25">
      <c r="A129" s="18">
        <v>747</v>
      </c>
      <c r="B129" s="17">
        <v>40577</v>
      </c>
      <c r="C129" s="18">
        <v>1</v>
      </c>
      <c r="D129" s="18">
        <v>0</v>
      </c>
      <c r="E129" s="18">
        <v>2</v>
      </c>
      <c r="F129" s="18">
        <v>12</v>
      </c>
      <c r="G129" s="18" t="b">
        <v>0</v>
      </c>
      <c r="H129" s="18">
        <v>4</v>
      </c>
      <c r="I129" s="18">
        <v>1</v>
      </c>
      <c r="J129" s="18">
        <v>0.2</v>
      </c>
      <c r="K129" s="18">
        <v>0.18179999999999999</v>
      </c>
      <c r="L129" s="18">
        <v>0.4</v>
      </c>
      <c r="M129" s="18">
        <v>0.35820000000000002</v>
      </c>
      <c r="N129" s="18">
        <v>2</v>
      </c>
      <c r="O129" s="18">
        <v>67</v>
      </c>
      <c r="P129" s="18">
        <v>69</v>
      </c>
    </row>
    <row r="130" spans="1:16" x14ac:dyDescent="0.25">
      <c r="A130" s="18">
        <v>748</v>
      </c>
      <c r="B130" s="17">
        <v>40577</v>
      </c>
      <c r="C130" s="18">
        <v>1</v>
      </c>
      <c r="D130" s="18">
        <v>0</v>
      </c>
      <c r="E130" s="18">
        <v>2</v>
      </c>
      <c r="F130" s="18">
        <v>13</v>
      </c>
      <c r="G130" s="18" t="b">
        <v>0</v>
      </c>
      <c r="H130" s="18">
        <v>4</v>
      </c>
      <c r="I130" s="18">
        <v>1</v>
      </c>
      <c r="J130" s="18">
        <v>0.2</v>
      </c>
      <c r="K130" s="18">
        <v>0.16669999999999999</v>
      </c>
      <c r="L130" s="18">
        <v>0.4</v>
      </c>
      <c r="M130" s="18">
        <v>0.41789999999999999</v>
      </c>
      <c r="N130" s="18">
        <v>4</v>
      </c>
      <c r="O130" s="18">
        <v>47</v>
      </c>
      <c r="P130" s="18">
        <v>51</v>
      </c>
    </row>
    <row r="131" spans="1:16" x14ac:dyDescent="0.25">
      <c r="A131" s="18">
        <v>749</v>
      </c>
      <c r="B131" s="17">
        <v>40577</v>
      </c>
      <c r="C131" s="18">
        <v>1</v>
      </c>
      <c r="D131" s="18">
        <v>0</v>
      </c>
      <c r="E131" s="18">
        <v>2</v>
      </c>
      <c r="F131" s="18">
        <v>14</v>
      </c>
      <c r="G131" s="18" t="b">
        <v>0</v>
      </c>
      <c r="H131" s="18">
        <v>4</v>
      </c>
      <c r="I131" s="18">
        <v>1</v>
      </c>
      <c r="J131" s="18">
        <v>0.22</v>
      </c>
      <c r="K131" s="18">
        <v>0.19700000000000001</v>
      </c>
      <c r="L131" s="18">
        <v>0.37</v>
      </c>
      <c r="M131" s="18">
        <v>0.3881</v>
      </c>
      <c r="N131" s="18">
        <v>4</v>
      </c>
      <c r="O131" s="18">
        <v>43</v>
      </c>
      <c r="P131" s="18">
        <v>47</v>
      </c>
    </row>
    <row r="132" spans="1:16" x14ac:dyDescent="0.25">
      <c r="A132" s="18">
        <v>750</v>
      </c>
      <c r="B132" s="17">
        <v>40577</v>
      </c>
      <c r="C132" s="18">
        <v>1</v>
      </c>
      <c r="D132" s="18">
        <v>0</v>
      </c>
      <c r="E132" s="18">
        <v>2</v>
      </c>
      <c r="F132" s="18">
        <v>15</v>
      </c>
      <c r="G132" s="18" t="b">
        <v>0</v>
      </c>
      <c r="H132" s="18">
        <v>4</v>
      </c>
      <c r="I132" s="18">
        <v>1</v>
      </c>
      <c r="J132" s="18">
        <v>0.22</v>
      </c>
      <c r="K132" s="18">
        <v>0.19700000000000001</v>
      </c>
      <c r="L132" s="18">
        <v>0.37</v>
      </c>
      <c r="M132" s="18">
        <v>0.32840000000000003</v>
      </c>
      <c r="N132" s="18">
        <v>4</v>
      </c>
      <c r="O132" s="18">
        <v>56</v>
      </c>
      <c r="P132" s="18">
        <v>60</v>
      </c>
    </row>
    <row r="133" spans="1:16" x14ac:dyDescent="0.25">
      <c r="A133" s="18">
        <v>751</v>
      </c>
      <c r="B133" s="17">
        <v>40577</v>
      </c>
      <c r="C133" s="18">
        <v>1</v>
      </c>
      <c r="D133" s="18">
        <v>0</v>
      </c>
      <c r="E133" s="18">
        <v>2</v>
      </c>
      <c r="F133" s="18">
        <v>16</v>
      </c>
      <c r="G133" s="18" t="b">
        <v>0</v>
      </c>
      <c r="H133" s="18">
        <v>4</v>
      </c>
      <c r="I133" s="18">
        <v>1</v>
      </c>
      <c r="J133" s="18">
        <v>0.22</v>
      </c>
      <c r="K133" s="18">
        <v>0.21210000000000001</v>
      </c>
      <c r="L133" s="18">
        <v>0.37</v>
      </c>
      <c r="M133" s="18">
        <v>0.25369999999999998</v>
      </c>
      <c r="N133" s="18">
        <v>5</v>
      </c>
      <c r="O133" s="18">
        <v>73</v>
      </c>
      <c r="P133" s="18">
        <v>78</v>
      </c>
    </row>
    <row r="134" spans="1:16" x14ac:dyDescent="0.25">
      <c r="A134" s="18">
        <v>752</v>
      </c>
      <c r="B134" s="17">
        <v>40577</v>
      </c>
      <c r="C134" s="18">
        <v>1</v>
      </c>
      <c r="D134" s="18">
        <v>0</v>
      </c>
      <c r="E134" s="18">
        <v>2</v>
      </c>
      <c r="F134" s="18">
        <v>17</v>
      </c>
      <c r="G134" s="18" t="b">
        <v>0</v>
      </c>
      <c r="H134" s="18">
        <v>4</v>
      </c>
      <c r="I134" s="18">
        <v>1</v>
      </c>
      <c r="J134" s="18">
        <v>0.2</v>
      </c>
      <c r="K134" s="18">
        <v>0.19700000000000001</v>
      </c>
      <c r="L134" s="18">
        <v>0.4</v>
      </c>
      <c r="M134" s="18">
        <v>0.19400000000000001</v>
      </c>
      <c r="N134" s="18">
        <v>5</v>
      </c>
      <c r="O134" s="18">
        <v>170</v>
      </c>
      <c r="P134" s="18">
        <v>175</v>
      </c>
    </row>
    <row r="135" spans="1:16" x14ac:dyDescent="0.25">
      <c r="A135" s="18">
        <v>753</v>
      </c>
      <c r="B135" s="17">
        <v>40577</v>
      </c>
      <c r="C135" s="18">
        <v>1</v>
      </c>
      <c r="D135" s="18">
        <v>0</v>
      </c>
      <c r="E135" s="18">
        <v>2</v>
      </c>
      <c r="F135" s="18">
        <v>18</v>
      </c>
      <c r="G135" s="18" t="b">
        <v>0</v>
      </c>
      <c r="H135" s="18">
        <v>4</v>
      </c>
      <c r="I135" s="18">
        <v>1</v>
      </c>
      <c r="J135" s="18">
        <v>0.2</v>
      </c>
      <c r="K135" s="18">
        <v>0.21210000000000001</v>
      </c>
      <c r="L135" s="18">
        <v>0.4</v>
      </c>
      <c r="M135" s="18">
        <v>0.16420000000000001</v>
      </c>
      <c r="N135" s="18">
        <v>2</v>
      </c>
      <c r="O135" s="18">
        <v>145</v>
      </c>
      <c r="P135" s="18">
        <v>147</v>
      </c>
    </row>
    <row r="136" spans="1:16" x14ac:dyDescent="0.25">
      <c r="A136" s="18">
        <v>754</v>
      </c>
      <c r="B136" s="17">
        <v>40577</v>
      </c>
      <c r="C136" s="18">
        <v>1</v>
      </c>
      <c r="D136" s="18">
        <v>0</v>
      </c>
      <c r="E136" s="18">
        <v>2</v>
      </c>
      <c r="F136" s="18">
        <v>19</v>
      </c>
      <c r="G136" s="18" t="b">
        <v>0</v>
      </c>
      <c r="H136" s="18">
        <v>4</v>
      </c>
      <c r="I136" s="18">
        <v>1</v>
      </c>
      <c r="J136" s="18">
        <v>0.2</v>
      </c>
      <c r="K136" s="18">
        <v>0.2576</v>
      </c>
      <c r="L136" s="18">
        <v>0.4</v>
      </c>
      <c r="M136" s="18">
        <v>0</v>
      </c>
      <c r="N136" s="18">
        <v>4</v>
      </c>
      <c r="O136" s="18">
        <v>92</v>
      </c>
      <c r="P136" s="18">
        <v>96</v>
      </c>
    </row>
    <row r="137" spans="1:16" x14ac:dyDescent="0.25">
      <c r="A137" s="18">
        <v>755</v>
      </c>
      <c r="B137" s="17">
        <v>40577</v>
      </c>
      <c r="C137" s="18">
        <v>1</v>
      </c>
      <c r="D137" s="18">
        <v>0</v>
      </c>
      <c r="E137" s="18">
        <v>2</v>
      </c>
      <c r="F137" s="18">
        <v>20</v>
      </c>
      <c r="G137" s="18" t="b">
        <v>0</v>
      </c>
      <c r="H137" s="18">
        <v>4</v>
      </c>
      <c r="I137" s="18">
        <v>1</v>
      </c>
      <c r="J137" s="18">
        <v>0.2</v>
      </c>
      <c r="K137" s="18">
        <v>0.2273</v>
      </c>
      <c r="L137" s="18">
        <v>0.47</v>
      </c>
      <c r="M137" s="18">
        <v>8.9599999999999999E-2</v>
      </c>
      <c r="N137" s="18">
        <v>1</v>
      </c>
      <c r="O137" s="18">
        <v>108</v>
      </c>
      <c r="P137" s="18">
        <v>109</v>
      </c>
    </row>
    <row r="138" spans="1:16" x14ac:dyDescent="0.25">
      <c r="A138" s="18">
        <v>756</v>
      </c>
      <c r="B138" s="17">
        <v>40577</v>
      </c>
      <c r="C138" s="18">
        <v>1</v>
      </c>
      <c r="D138" s="18">
        <v>0</v>
      </c>
      <c r="E138" s="18">
        <v>2</v>
      </c>
      <c r="F138" s="18">
        <v>21</v>
      </c>
      <c r="G138" s="18" t="b">
        <v>0</v>
      </c>
      <c r="H138" s="18">
        <v>4</v>
      </c>
      <c r="I138" s="18">
        <v>1</v>
      </c>
      <c r="J138" s="18">
        <v>0.18</v>
      </c>
      <c r="K138" s="18">
        <v>0.21210000000000001</v>
      </c>
      <c r="L138" s="18">
        <v>0.55000000000000004</v>
      </c>
      <c r="M138" s="18">
        <v>0.1045</v>
      </c>
      <c r="N138" s="18">
        <v>1</v>
      </c>
      <c r="O138" s="18">
        <v>53</v>
      </c>
      <c r="P138" s="18">
        <v>54</v>
      </c>
    </row>
    <row r="139" spans="1:16" x14ac:dyDescent="0.25">
      <c r="A139" s="18">
        <v>757</v>
      </c>
      <c r="B139" s="17">
        <v>40577</v>
      </c>
      <c r="C139" s="18">
        <v>1</v>
      </c>
      <c r="D139" s="18">
        <v>0</v>
      </c>
      <c r="E139" s="18">
        <v>2</v>
      </c>
      <c r="F139" s="18">
        <v>22</v>
      </c>
      <c r="G139" s="18" t="b">
        <v>0</v>
      </c>
      <c r="H139" s="18">
        <v>4</v>
      </c>
      <c r="I139" s="18">
        <v>1</v>
      </c>
      <c r="J139" s="18">
        <v>0.18</v>
      </c>
      <c r="K139" s="18">
        <v>0.21210000000000001</v>
      </c>
      <c r="L139" s="18">
        <v>0.51</v>
      </c>
      <c r="M139" s="18">
        <v>8.9599999999999999E-2</v>
      </c>
      <c r="N139" s="18">
        <v>2</v>
      </c>
      <c r="O139" s="18">
        <v>39</v>
      </c>
      <c r="P139" s="18">
        <v>41</v>
      </c>
    </row>
    <row r="140" spans="1:16" x14ac:dyDescent="0.25">
      <c r="A140" s="18">
        <v>758</v>
      </c>
      <c r="B140" s="17">
        <v>40577</v>
      </c>
      <c r="C140" s="18">
        <v>1</v>
      </c>
      <c r="D140" s="18">
        <v>0</v>
      </c>
      <c r="E140" s="18">
        <v>2</v>
      </c>
      <c r="F140" s="18">
        <v>23</v>
      </c>
      <c r="G140" s="18" t="b">
        <v>0</v>
      </c>
      <c r="H140" s="18">
        <v>4</v>
      </c>
      <c r="I140" s="18">
        <v>1</v>
      </c>
      <c r="J140" s="18">
        <v>0.2</v>
      </c>
      <c r="K140" s="18">
        <v>0.2273</v>
      </c>
      <c r="L140" s="18">
        <v>0.47</v>
      </c>
      <c r="M140" s="18">
        <v>0.1045</v>
      </c>
      <c r="N140" s="18">
        <v>4</v>
      </c>
      <c r="O140" s="18">
        <v>34</v>
      </c>
      <c r="P140" s="18">
        <v>38</v>
      </c>
    </row>
    <row r="141" spans="1:16" x14ac:dyDescent="0.25">
      <c r="A141" s="18">
        <v>759</v>
      </c>
      <c r="B141" s="17">
        <v>40578</v>
      </c>
      <c r="C141" s="18">
        <v>1</v>
      </c>
      <c r="D141" s="18">
        <v>0</v>
      </c>
      <c r="E141" s="18">
        <v>2</v>
      </c>
      <c r="F141" s="18">
        <v>0</v>
      </c>
      <c r="G141" s="18" t="b">
        <v>0</v>
      </c>
      <c r="H141" s="18">
        <v>5</v>
      </c>
      <c r="I141" s="18">
        <v>2</v>
      </c>
      <c r="J141" s="18">
        <v>0.2</v>
      </c>
      <c r="K141" s="18">
        <v>0.2576</v>
      </c>
      <c r="L141" s="18">
        <v>0.44</v>
      </c>
      <c r="M141" s="18">
        <v>0</v>
      </c>
      <c r="N141" s="18">
        <v>3</v>
      </c>
      <c r="O141" s="18">
        <v>10</v>
      </c>
      <c r="P141" s="18">
        <v>13</v>
      </c>
    </row>
    <row r="142" spans="1:16" x14ac:dyDescent="0.25">
      <c r="A142" s="18">
        <v>760</v>
      </c>
      <c r="B142" s="17">
        <v>40578</v>
      </c>
      <c r="C142" s="18">
        <v>1</v>
      </c>
      <c r="D142" s="18">
        <v>0</v>
      </c>
      <c r="E142" s="18">
        <v>2</v>
      </c>
      <c r="F142" s="18">
        <v>1</v>
      </c>
      <c r="G142" s="18" t="b">
        <v>0</v>
      </c>
      <c r="H142" s="18">
        <v>5</v>
      </c>
      <c r="I142" s="18">
        <v>2</v>
      </c>
      <c r="J142" s="18">
        <v>0.16</v>
      </c>
      <c r="K142" s="18">
        <v>0.2273</v>
      </c>
      <c r="L142" s="18">
        <v>0.59</v>
      </c>
      <c r="M142" s="18">
        <v>0</v>
      </c>
      <c r="N142" s="18">
        <v>0</v>
      </c>
      <c r="O142" s="18">
        <v>7</v>
      </c>
      <c r="P142" s="18">
        <v>7</v>
      </c>
    </row>
    <row r="143" spans="1:16" x14ac:dyDescent="0.25">
      <c r="A143" s="18">
        <v>761</v>
      </c>
      <c r="B143" s="17">
        <v>40578</v>
      </c>
      <c r="C143" s="18">
        <v>1</v>
      </c>
      <c r="D143" s="18">
        <v>0</v>
      </c>
      <c r="E143" s="18">
        <v>2</v>
      </c>
      <c r="F143" s="18">
        <v>2</v>
      </c>
      <c r="G143" s="18" t="b">
        <v>0</v>
      </c>
      <c r="H143" s="18">
        <v>5</v>
      </c>
      <c r="I143" s="18">
        <v>2</v>
      </c>
      <c r="J143" s="18">
        <v>0.14000000000000001</v>
      </c>
      <c r="K143" s="18">
        <v>0.16669999999999999</v>
      </c>
      <c r="L143" s="18">
        <v>0.63</v>
      </c>
      <c r="M143" s="18">
        <v>0.1045</v>
      </c>
      <c r="N143" s="18">
        <v>0</v>
      </c>
      <c r="O143" s="18">
        <v>1</v>
      </c>
      <c r="P143" s="18">
        <v>1</v>
      </c>
    </row>
    <row r="144" spans="1:16" x14ac:dyDescent="0.25">
      <c r="A144" s="18">
        <v>762</v>
      </c>
      <c r="B144" s="17">
        <v>40578</v>
      </c>
      <c r="C144" s="18">
        <v>1</v>
      </c>
      <c r="D144" s="18">
        <v>0</v>
      </c>
      <c r="E144" s="18">
        <v>2</v>
      </c>
      <c r="F144" s="18">
        <v>3</v>
      </c>
      <c r="G144" s="18" t="b">
        <v>0</v>
      </c>
      <c r="H144" s="18">
        <v>5</v>
      </c>
      <c r="I144" s="18">
        <v>2</v>
      </c>
      <c r="J144" s="18">
        <v>0.14000000000000001</v>
      </c>
      <c r="K144" s="18">
        <v>0.16669999999999999</v>
      </c>
      <c r="L144" s="18">
        <v>0.63</v>
      </c>
      <c r="M144" s="18">
        <v>0.1045</v>
      </c>
      <c r="N144" s="18">
        <v>0</v>
      </c>
      <c r="O144" s="18">
        <v>1</v>
      </c>
      <c r="P144" s="18">
        <v>1</v>
      </c>
    </row>
    <row r="145" spans="1:16" x14ac:dyDescent="0.25">
      <c r="A145" s="18">
        <v>763</v>
      </c>
      <c r="B145" s="17">
        <v>40578</v>
      </c>
      <c r="C145" s="18">
        <v>1</v>
      </c>
      <c r="D145" s="18">
        <v>0</v>
      </c>
      <c r="E145" s="18">
        <v>2</v>
      </c>
      <c r="F145" s="18">
        <v>5</v>
      </c>
      <c r="G145" s="18" t="b">
        <v>0</v>
      </c>
      <c r="H145" s="18">
        <v>5</v>
      </c>
      <c r="I145" s="18">
        <v>2</v>
      </c>
      <c r="J145" s="18">
        <v>0.14000000000000001</v>
      </c>
      <c r="K145" s="18">
        <v>0.1515</v>
      </c>
      <c r="L145" s="18">
        <v>0.63</v>
      </c>
      <c r="M145" s="18">
        <v>0.1343</v>
      </c>
      <c r="N145" s="18">
        <v>0</v>
      </c>
      <c r="O145" s="18">
        <v>7</v>
      </c>
      <c r="P145" s="18">
        <v>7</v>
      </c>
    </row>
    <row r="146" spans="1:16" x14ac:dyDescent="0.25">
      <c r="A146" s="18">
        <v>764</v>
      </c>
      <c r="B146" s="17">
        <v>40578</v>
      </c>
      <c r="C146" s="18">
        <v>1</v>
      </c>
      <c r="D146" s="18">
        <v>0</v>
      </c>
      <c r="E146" s="18">
        <v>2</v>
      </c>
      <c r="F146" s="18">
        <v>6</v>
      </c>
      <c r="G146" s="18" t="b">
        <v>0</v>
      </c>
      <c r="H146" s="18">
        <v>5</v>
      </c>
      <c r="I146" s="18">
        <v>2</v>
      </c>
      <c r="J146" s="18">
        <v>0.16</v>
      </c>
      <c r="K146" s="18">
        <v>0.2273</v>
      </c>
      <c r="L146" s="18">
        <v>0.55000000000000004</v>
      </c>
      <c r="M146" s="18">
        <v>0</v>
      </c>
      <c r="N146" s="18">
        <v>2</v>
      </c>
      <c r="O146" s="18">
        <v>26</v>
      </c>
      <c r="P146" s="18">
        <v>28</v>
      </c>
    </row>
    <row r="147" spans="1:16" x14ac:dyDescent="0.25">
      <c r="A147" s="18">
        <v>765</v>
      </c>
      <c r="B147" s="17">
        <v>40578</v>
      </c>
      <c r="C147" s="18">
        <v>1</v>
      </c>
      <c r="D147" s="18">
        <v>0</v>
      </c>
      <c r="E147" s="18">
        <v>2</v>
      </c>
      <c r="F147" s="18">
        <v>7</v>
      </c>
      <c r="G147" s="18" t="b">
        <v>0</v>
      </c>
      <c r="H147" s="18">
        <v>5</v>
      </c>
      <c r="I147" s="18">
        <v>1</v>
      </c>
      <c r="J147" s="18">
        <v>0.14000000000000001</v>
      </c>
      <c r="K147" s="18">
        <v>0.21210000000000001</v>
      </c>
      <c r="L147" s="18">
        <v>0.59</v>
      </c>
      <c r="M147" s="18">
        <v>0</v>
      </c>
      <c r="N147" s="18">
        <v>0</v>
      </c>
      <c r="O147" s="18">
        <v>87</v>
      </c>
      <c r="P147" s="18">
        <v>87</v>
      </c>
    </row>
    <row r="148" spans="1:16" x14ac:dyDescent="0.25">
      <c r="A148" s="18">
        <v>766</v>
      </c>
      <c r="B148" s="17">
        <v>40578</v>
      </c>
      <c r="C148" s="18">
        <v>1</v>
      </c>
      <c r="D148" s="18">
        <v>0</v>
      </c>
      <c r="E148" s="18">
        <v>2</v>
      </c>
      <c r="F148" s="18">
        <v>8</v>
      </c>
      <c r="G148" s="18" t="b">
        <v>0</v>
      </c>
      <c r="H148" s="18">
        <v>5</v>
      </c>
      <c r="I148" s="18">
        <v>1</v>
      </c>
      <c r="J148" s="18">
        <v>0.14000000000000001</v>
      </c>
      <c r="K148" s="18">
        <v>0.1515</v>
      </c>
      <c r="L148" s="18">
        <v>0.74</v>
      </c>
      <c r="M148" s="18">
        <v>0.1343</v>
      </c>
      <c r="N148" s="18">
        <v>3</v>
      </c>
      <c r="O148" s="18">
        <v>217</v>
      </c>
      <c r="P148" s="18">
        <v>220</v>
      </c>
    </row>
    <row r="149" spans="1:16" x14ac:dyDescent="0.25">
      <c r="A149" s="18">
        <v>767</v>
      </c>
      <c r="B149" s="17">
        <v>40578</v>
      </c>
      <c r="C149" s="18">
        <v>1</v>
      </c>
      <c r="D149" s="18">
        <v>0</v>
      </c>
      <c r="E149" s="18">
        <v>2</v>
      </c>
      <c r="F149" s="18">
        <v>9</v>
      </c>
      <c r="G149" s="18" t="b">
        <v>0</v>
      </c>
      <c r="H149" s="18">
        <v>5</v>
      </c>
      <c r="I149" s="18">
        <v>2</v>
      </c>
      <c r="J149" s="18">
        <v>0.16</v>
      </c>
      <c r="K149" s="18">
        <v>0.18179999999999999</v>
      </c>
      <c r="L149" s="18">
        <v>0.8</v>
      </c>
      <c r="M149" s="18">
        <v>0.1343</v>
      </c>
      <c r="N149" s="18">
        <v>3</v>
      </c>
      <c r="O149" s="18">
        <v>124</v>
      </c>
      <c r="P149" s="18">
        <v>127</v>
      </c>
    </row>
    <row r="150" spans="1:16" x14ac:dyDescent="0.25">
      <c r="A150" s="18">
        <v>768</v>
      </c>
      <c r="B150" s="17">
        <v>40578</v>
      </c>
      <c r="C150" s="18">
        <v>1</v>
      </c>
      <c r="D150" s="18">
        <v>0</v>
      </c>
      <c r="E150" s="18">
        <v>2</v>
      </c>
      <c r="F150" s="18">
        <v>10</v>
      </c>
      <c r="G150" s="18" t="b">
        <v>0</v>
      </c>
      <c r="H150" s="18">
        <v>5</v>
      </c>
      <c r="I150" s="18">
        <v>2</v>
      </c>
      <c r="J150" s="18">
        <v>0.2</v>
      </c>
      <c r="K150" s="18">
        <v>0.21210000000000001</v>
      </c>
      <c r="L150" s="18">
        <v>0.51</v>
      </c>
      <c r="M150" s="18">
        <v>0.1343</v>
      </c>
      <c r="N150" s="18">
        <v>5</v>
      </c>
      <c r="O150" s="18">
        <v>46</v>
      </c>
      <c r="P150" s="18">
        <v>51</v>
      </c>
    </row>
    <row r="151" spans="1:16" x14ac:dyDescent="0.25">
      <c r="A151" s="18">
        <v>769</v>
      </c>
      <c r="B151" s="17">
        <v>40578</v>
      </c>
      <c r="C151" s="18">
        <v>1</v>
      </c>
      <c r="D151" s="18">
        <v>0</v>
      </c>
      <c r="E151" s="18">
        <v>2</v>
      </c>
      <c r="F151" s="18">
        <v>11</v>
      </c>
      <c r="G151" s="18" t="b">
        <v>0</v>
      </c>
      <c r="H151" s="18">
        <v>5</v>
      </c>
      <c r="I151" s="18">
        <v>1</v>
      </c>
      <c r="J151" s="18">
        <v>0.22</v>
      </c>
      <c r="K151" s="18">
        <v>0.2273</v>
      </c>
      <c r="L151" s="18">
        <v>0.51</v>
      </c>
      <c r="M151" s="18">
        <v>0.16420000000000001</v>
      </c>
      <c r="N151" s="18">
        <v>3</v>
      </c>
      <c r="O151" s="18">
        <v>61</v>
      </c>
      <c r="P151" s="18">
        <v>64</v>
      </c>
    </row>
    <row r="152" spans="1:16" x14ac:dyDescent="0.25">
      <c r="A152" s="18">
        <v>770</v>
      </c>
      <c r="B152" s="17">
        <v>40578</v>
      </c>
      <c r="C152" s="18">
        <v>1</v>
      </c>
      <c r="D152" s="18">
        <v>0</v>
      </c>
      <c r="E152" s="18">
        <v>2</v>
      </c>
      <c r="F152" s="18">
        <v>12</v>
      </c>
      <c r="G152" s="18" t="b">
        <v>0</v>
      </c>
      <c r="H152" s="18">
        <v>5</v>
      </c>
      <c r="I152" s="18">
        <v>2</v>
      </c>
      <c r="J152" s="18">
        <v>0.24</v>
      </c>
      <c r="K152" s="18">
        <v>0.2424</v>
      </c>
      <c r="L152" s="18">
        <v>0.48</v>
      </c>
      <c r="M152" s="18">
        <v>0.16420000000000001</v>
      </c>
      <c r="N152" s="18">
        <v>8</v>
      </c>
      <c r="O152" s="18">
        <v>78</v>
      </c>
      <c r="P152" s="18">
        <v>86</v>
      </c>
    </row>
    <row r="153" spans="1:16" x14ac:dyDescent="0.25">
      <c r="A153" s="18">
        <v>771</v>
      </c>
      <c r="B153" s="17">
        <v>40578</v>
      </c>
      <c r="C153" s="18">
        <v>1</v>
      </c>
      <c r="D153" s="18">
        <v>0</v>
      </c>
      <c r="E153" s="18">
        <v>2</v>
      </c>
      <c r="F153" s="18">
        <v>13</v>
      </c>
      <c r="G153" s="18" t="b">
        <v>0</v>
      </c>
      <c r="H153" s="18">
        <v>5</v>
      </c>
      <c r="I153" s="18">
        <v>2</v>
      </c>
      <c r="J153" s="18">
        <v>0.26</v>
      </c>
      <c r="K153" s="18">
        <v>0.2576</v>
      </c>
      <c r="L153" s="18">
        <v>0.5</v>
      </c>
      <c r="M153" s="18">
        <v>0.22389999999999999</v>
      </c>
      <c r="N153" s="18">
        <v>9</v>
      </c>
      <c r="O153" s="18">
        <v>73</v>
      </c>
      <c r="P153" s="18">
        <v>82</v>
      </c>
    </row>
    <row r="154" spans="1:16" x14ac:dyDescent="0.25">
      <c r="A154" s="18">
        <v>772</v>
      </c>
      <c r="B154" s="17">
        <v>40578</v>
      </c>
      <c r="C154" s="18">
        <v>1</v>
      </c>
      <c r="D154" s="18">
        <v>0</v>
      </c>
      <c r="E154" s="18">
        <v>2</v>
      </c>
      <c r="F154" s="18">
        <v>14</v>
      </c>
      <c r="G154" s="18" t="b">
        <v>0</v>
      </c>
      <c r="H154" s="18">
        <v>5</v>
      </c>
      <c r="I154" s="18">
        <v>2</v>
      </c>
      <c r="J154" s="18">
        <v>0.28000000000000003</v>
      </c>
      <c r="K154" s="18">
        <v>0.2727</v>
      </c>
      <c r="L154" s="18">
        <v>0.45</v>
      </c>
      <c r="M154" s="18">
        <v>0.16420000000000001</v>
      </c>
      <c r="N154" s="18">
        <v>15</v>
      </c>
      <c r="O154" s="18">
        <v>76</v>
      </c>
      <c r="P154" s="18">
        <v>91</v>
      </c>
    </row>
    <row r="155" spans="1:16" x14ac:dyDescent="0.25">
      <c r="A155" s="18">
        <v>773</v>
      </c>
      <c r="B155" s="17">
        <v>40578</v>
      </c>
      <c r="C155" s="18">
        <v>1</v>
      </c>
      <c r="D155" s="18">
        <v>0</v>
      </c>
      <c r="E155" s="18">
        <v>2</v>
      </c>
      <c r="F155" s="18">
        <v>15</v>
      </c>
      <c r="G155" s="18" t="b">
        <v>0</v>
      </c>
      <c r="H155" s="18">
        <v>5</v>
      </c>
      <c r="I155" s="18">
        <v>2</v>
      </c>
      <c r="J155" s="18">
        <v>0.28000000000000003</v>
      </c>
      <c r="K155" s="18">
        <v>0.2727</v>
      </c>
      <c r="L155" s="18">
        <v>0.48</v>
      </c>
      <c r="M155" s="18">
        <v>0.25369999999999998</v>
      </c>
      <c r="N155" s="18">
        <v>9</v>
      </c>
      <c r="O155" s="18">
        <v>81</v>
      </c>
      <c r="P155" s="18">
        <v>90</v>
      </c>
    </row>
    <row r="156" spans="1:16" x14ac:dyDescent="0.25">
      <c r="A156" s="18">
        <v>774</v>
      </c>
      <c r="B156" s="17">
        <v>40578</v>
      </c>
      <c r="C156" s="18">
        <v>1</v>
      </c>
      <c r="D156" s="18">
        <v>0</v>
      </c>
      <c r="E156" s="18">
        <v>2</v>
      </c>
      <c r="F156" s="18">
        <v>16</v>
      </c>
      <c r="G156" s="18" t="b">
        <v>0</v>
      </c>
      <c r="H156" s="18">
        <v>5</v>
      </c>
      <c r="I156" s="18">
        <v>2</v>
      </c>
      <c r="J156" s="18">
        <v>0.3</v>
      </c>
      <c r="K156" s="18">
        <v>0.28789999999999999</v>
      </c>
      <c r="L156" s="18">
        <v>0.42</v>
      </c>
      <c r="M156" s="18">
        <v>0.22389999999999999</v>
      </c>
      <c r="N156" s="18">
        <v>8</v>
      </c>
      <c r="O156" s="18">
        <v>91</v>
      </c>
      <c r="P156" s="18">
        <v>99</v>
      </c>
    </row>
    <row r="157" spans="1:16" x14ac:dyDescent="0.25">
      <c r="A157" s="18">
        <v>775</v>
      </c>
      <c r="B157" s="17">
        <v>40578</v>
      </c>
      <c r="C157" s="18">
        <v>1</v>
      </c>
      <c r="D157" s="18">
        <v>0</v>
      </c>
      <c r="E157" s="18">
        <v>2</v>
      </c>
      <c r="F157" s="18">
        <v>17</v>
      </c>
      <c r="G157" s="18" t="b">
        <v>0</v>
      </c>
      <c r="H157" s="18">
        <v>5</v>
      </c>
      <c r="I157" s="18">
        <v>2</v>
      </c>
      <c r="J157" s="18">
        <v>0.26</v>
      </c>
      <c r="K157" s="18">
        <v>0.2727</v>
      </c>
      <c r="L157" s="18">
        <v>0.56000000000000005</v>
      </c>
      <c r="M157" s="18">
        <v>0.1343</v>
      </c>
      <c r="N157" s="18">
        <v>10</v>
      </c>
      <c r="O157" s="18">
        <v>195</v>
      </c>
      <c r="P157" s="18">
        <v>205</v>
      </c>
    </row>
    <row r="158" spans="1:16" x14ac:dyDescent="0.25">
      <c r="A158" s="18">
        <v>776</v>
      </c>
      <c r="B158" s="17">
        <v>40578</v>
      </c>
      <c r="C158" s="18">
        <v>1</v>
      </c>
      <c r="D158" s="18">
        <v>0</v>
      </c>
      <c r="E158" s="18">
        <v>2</v>
      </c>
      <c r="F158" s="18">
        <v>18</v>
      </c>
      <c r="G158" s="18" t="b">
        <v>0</v>
      </c>
      <c r="H158" s="18">
        <v>5</v>
      </c>
      <c r="I158" s="18">
        <v>2</v>
      </c>
      <c r="J158" s="18">
        <v>0.24</v>
      </c>
      <c r="K158" s="18">
        <v>0.2576</v>
      </c>
      <c r="L158" s="18">
        <v>0.6</v>
      </c>
      <c r="M158" s="18">
        <v>0.1045</v>
      </c>
      <c r="N158" s="18">
        <v>3</v>
      </c>
      <c r="O158" s="18">
        <v>152</v>
      </c>
      <c r="P158" s="18">
        <v>155</v>
      </c>
    </row>
    <row r="159" spans="1:16" x14ac:dyDescent="0.25">
      <c r="A159" s="18">
        <v>777</v>
      </c>
      <c r="B159" s="17">
        <v>40578</v>
      </c>
      <c r="C159" s="18">
        <v>1</v>
      </c>
      <c r="D159" s="18">
        <v>0</v>
      </c>
      <c r="E159" s="18">
        <v>2</v>
      </c>
      <c r="F159" s="18">
        <v>19</v>
      </c>
      <c r="G159" s="18" t="b">
        <v>0</v>
      </c>
      <c r="H159" s="18">
        <v>5</v>
      </c>
      <c r="I159" s="18">
        <v>2</v>
      </c>
      <c r="J159" s="18">
        <v>0.24</v>
      </c>
      <c r="K159" s="18">
        <v>0.2424</v>
      </c>
      <c r="L159" s="18">
        <v>0.65</v>
      </c>
      <c r="M159" s="18">
        <v>0.1343</v>
      </c>
      <c r="N159" s="18">
        <v>1</v>
      </c>
      <c r="O159" s="18">
        <v>102</v>
      </c>
      <c r="P159" s="18">
        <v>103</v>
      </c>
    </row>
    <row r="160" spans="1:16" x14ac:dyDescent="0.25">
      <c r="A160" s="18">
        <v>778</v>
      </c>
      <c r="B160" s="17">
        <v>40578</v>
      </c>
      <c r="C160" s="18">
        <v>1</v>
      </c>
      <c r="D160" s="18">
        <v>0</v>
      </c>
      <c r="E160" s="18">
        <v>2</v>
      </c>
      <c r="F160" s="18">
        <v>20</v>
      </c>
      <c r="G160" s="18" t="b">
        <v>0</v>
      </c>
      <c r="H160" s="18">
        <v>5</v>
      </c>
      <c r="I160" s="18">
        <v>2</v>
      </c>
      <c r="J160" s="18">
        <v>0.24</v>
      </c>
      <c r="K160" s="18">
        <v>0.2424</v>
      </c>
      <c r="L160" s="18">
        <v>0.65</v>
      </c>
      <c r="M160" s="18">
        <v>0.16420000000000001</v>
      </c>
      <c r="N160" s="18">
        <v>2</v>
      </c>
      <c r="O160" s="18">
        <v>69</v>
      </c>
      <c r="P160" s="18">
        <v>71</v>
      </c>
    </row>
    <row r="161" spans="1:16" x14ac:dyDescent="0.25">
      <c r="A161" s="18">
        <v>779</v>
      </c>
      <c r="B161" s="17">
        <v>40578</v>
      </c>
      <c r="C161" s="18">
        <v>1</v>
      </c>
      <c r="D161" s="18">
        <v>0</v>
      </c>
      <c r="E161" s="18">
        <v>2</v>
      </c>
      <c r="F161" s="18">
        <v>21</v>
      </c>
      <c r="G161" s="18" t="b">
        <v>0</v>
      </c>
      <c r="H161" s="18">
        <v>5</v>
      </c>
      <c r="I161" s="18">
        <v>2</v>
      </c>
      <c r="J161" s="18">
        <v>0.24</v>
      </c>
      <c r="K161" s="18">
        <v>0.2424</v>
      </c>
      <c r="L161" s="18">
        <v>0.7</v>
      </c>
      <c r="M161" s="18">
        <v>0.16420000000000001</v>
      </c>
      <c r="N161" s="18">
        <v>2</v>
      </c>
      <c r="O161" s="18">
        <v>41</v>
      </c>
      <c r="P161" s="18">
        <v>43</v>
      </c>
    </row>
    <row r="162" spans="1:16" x14ac:dyDescent="0.25">
      <c r="A162" s="18">
        <v>780</v>
      </c>
      <c r="B162" s="17">
        <v>40578</v>
      </c>
      <c r="C162" s="18">
        <v>1</v>
      </c>
      <c r="D162" s="18">
        <v>0</v>
      </c>
      <c r="E162" s="18">
        <v>2</v>
      </c>
      <c r="F162" s="18">
        <v>22</v>
      </c>
      <c r="G162" s="18" t="b">
        <v>0</v>
      </c>
      <c r="H162" s="18">
        <v>5</v>
      </c>
      <c r="I162" s="18">
        <v>2</v>
      </c>
      <c r="J162" s="18">
        <v>0.24</v>
      </c>
      <c r="K162" s="18">
        <v>0.2424</v>
      </c>
      <c r="L162" s="18">
        <v>0.65</v>
      </c>
      <c r="M162" s="18">
        <v>0.16420000000000001</v>
      </c>
      <c r="N162" s="18">
        <v>1</v>
      </c>
      <c r="O162" s="18">
        <v>45</v>
      </c>
      <c r="P162" s="18">
        <v>46</v>
      </c>
    </row>
    <row r="163" spans="1:16" x14ac:dyDescent="0.25">
      <c r="A163" s="18">
        <v>781</v>
      </c>
      <c r="B163" s="17">
        <v>40578</v>
      </c>
      <c r="C163" s="18">
        <v>1</v>
      </c>
      <c r="D163" s="18">
        <v>0</v>
      </c>
      <c r="E163" s="18">
        <v>2</v>
      </c>
      <c r="F163" s="18">
        <v>23</v>
      </c>
      <c r="G163" s="18" t="b">
        <v>0</v>
      </c>
      <c r="H163" s="18">
        <v>5</v>
      </c>
      <c r="I163" s="18">
        <v>2</v>
      </c>
      <c r="J163" s="18">
        <v>0.24</v>
      </c>
      <c r="K163" s="18">
        <v>0.2424</v>
      </c>
      <c r="L163" s="18">
        <v>0.7</v>
      </c>
      <c r="M163" s="18">
        <v>0.1343</v>
      </c>
      <c r="N163" s="18">
        <v>1</v>
      </c>
      <c r="O163" s="18">
        <v>30</v>
      </c>
      <c r="P163" s="18">
        <v>31</v>
      </c>
    </row>
    <row r="164" spans="1:16" x14ac:dyDescent="0.25">
      <c r="A164" s="18">
        <v>782</v>
      </c>
      <c r="B164" s="17">
        <v>40579</v>
      </c>
      <c r="C164" s="18">
        <v>1</v>
      </c>
      <c r="D164" s="18">
        <v>0</v>
      </c>
      <c r="E164" s="18">
        <v>2</v>
      </c>
      <c r="F164" s="18">
        <v>0</v>
      </c>
      <c r="G164" s="18" t="b">
        <v>0</v>
      </c>
      <c r="H164" s="18">
        <v>6</v>
      </c>
      <c r="I164" s="18">
        <v>2</v>
      </c>
      <c r="J164" s="18">
        <v>0.24</v>
      </c>
      <c r="K164" s="18">
        <v>0.2424</v>
      </c>
      <c r="L164" s="18">
        <v>0.7</v>
      </c>
      <c r="M164" s="18">
        <v>0.16420000000000001</v>
      </c>
      <c r="N164" s="18">
        <v>3</v>
      </c>
      <c r="O164" s="18">
        <v>36</v>
      </c>
      <c r="P164" s="18">
        <v>39</v>
      </c>
    </row>
    <row r="165" spans="1:16" x14ac:dyDescent="0.25">
      <c r="A165" s="18">
        <v>783</v>
      </c>
      <c r="B165" s="17">
        <v>40579</v>
      </c>
      <c r="C165" s="18">
        <v>1</v>
      </c>
      <c r="D165" s="18">
        <v>0</v>
      </c>
      <c r="E165" s="18">
        <v>2</v>
      </c>
      <c r="F165" s="18">
        <v>1</v>
      </c>
      <c r="G165" s="18" t="b">
        <v>0</v>
      </c>
      <c r="H165" s="18">
        <v>6</v>
      </c>
      <c r="I165" s="18">
        <v>2</v>
      </c>
      <c r="J165" s="18">
        <v>0.24</v>
      </c>
      <c r="K165" s="18">
        <v>0.2424</v>
      </c>
      <c r="L165" s="18">
        <v>0.65</v>
      </c>
      <c r="M165" s="18">
        <v>0.16420000000000001</v>
      </c>
      <c r="N165" s="18">
        <v>1</v>
      </c>
      <c r="O165" s="18">
        <v>17</v>
      </c>
      <c r="P165" s="18">
        <v>18</v>
      </c>
    </row>
    <row r="166" spans="1:16" x14ac:dyDescent="0.25">
      <c r="A166" s="18">
        <v>784</v>
      </c>
      <c r="B166" s="17">
        <v>40579</v>
      </c>
      <c r="C166" s="18">
        <v>1</v>
      </c>
      <c r="D166" s="18">
        <v>0</v>
      </c>
      <c r="E166" s="18">
        <v>2</v>
      </c>
      <c r="F166" s="18">
        <v>2</v>
      </c>
      <c r="G166" s="18" t="b">
        <v>0</v>
      </c>
      <c r="H166" s="18">
        <v>6</v>
      </c>
      <c r="I166" s="18">
        <v>2</v>
      </c>
      <c r="J166" s="18">
        <v>0.24</v>
      </c>
      <c r="K166" s="18">
        <v>0.2424</v>
      </c>
      <c r="L166" s="18">
        <v>0.75</v>
      </c>
      <c r="M166" s="18">
        <v>0.16420000000000001</v>
      </c>
      <c r="N166" s="18">
        <v>5</v>
      </c>
      <c r="O166" s="18">
        <v>12</v>
      </c>
      <c r="P166" s="18">
        <v>17</v>
      </c>
    </row>
    <row r="167" spans="1:16" x14ac:dyDescent="0.25">
      <c r="A167" s="18">
        <v>785</v>
      </c>
      <c r="B167" s="17">
        <v>40579</v>
      </c>
      <c r="C167" s="18">
        <v>1</v>
      </c>
      <c r="D167" s="18">
        <v>0</v>
      </c>
      <c r="E167" s="18">
        <v>2</v>
      </c>
      <c r="F167" s="18">
        <v>3</v>
      </c>
      <c r="G167" s="18" t="b">
        <v>0</v>
      </c>
      <c r="H167" s="18">
        <v>6</v>
      </c>
      <c r="I167" s="18">
        <v>2</v>
      </c>
      <c r="J167" s="18">
        <v>0.24</v>
      </c>
      <c r="K167" s="18">
        <v>0.2424</v>
      </c>
      <c r="L167" s="18">
        <v>0.75</v>
      </c>
      <c r="M167" s="18">
        <v>0.16420000000000001</v>
      </c>
      <c r="N167" s="18">
        <v>1</v>
      </c>
      <c r="O167" s="18">
        <v>10</v>
      </c>
      <c r="P167" s="18">
        <v>11</v>
      </c>
    </row>
    <row r="168" spans="1:16" x14ac:dyDescent="0.25">
      <c r="A168" s="18">
        <v>786</v>
      </c>
      <c r="B168" s="17">
        <v>40579</v>
      </c>
      <c r="C168" s="18">
        <v>1</v>
      </c>
      <c r="D168" s="18">
        <v>0</v>
      </c>
      <c r="E168" s="18">
        <v>2</v>
      </c>
      <c r="F168" s="18">
        <v>4</v>
      </c>
      <c r="G168" s="18" t="b">
        <v>0</v>
      </c>
      <c r="H168" s="18">
        <v>6</v>
      </c>
      <c r="I168" s="18">
        <v>3</v>
      </c>
      <c r="J168" s="18">
        <v>0.22</v>
      </c>
      <c r="K168" s="18">
        <v>0.2273</v>
      </c>
      <c r="L168" s="18">
        <v>0.93</v>
      </c>
      <c r="M168" s="18">
        <v>0.1343</v>
      </c>
      <c r="N168" s="18">
        <v>0</v>
      </c>
      <c r="O168" s="18">
        <v>8</v>
      </c>
      <c r="P168" s="18">
        <v>8</v>
      </c>
    </row>
    <row r="169" spans="1:16" x14ac:dyDescent="0.25">
      <c r="A169" s="18">
        <v>787</v>
      </c>
      <c r="B169" s="17">
        <v>40579</v>
      </c>
      <c r="C169" s="18">
        <v>1</v>
      </c>
      <c r="D169" s="18">
        <v>0</v>
      </c>
      <c r="E169" s="18">
        <v>2</v>
      </c>
      <c r="F169" s="18">
        <v>5</v>
      </c>
      <c r="G169" s="18" t="b">
        <v>0</v>
      </c>
      <c r="H169" s="18">
        <v>6</v>
      </c>
      <c r="I169" s="18">
        <v>3</v>
      </c>
      <c r="J169" s="18">
        <v>0.2</v>
      </c>
      <c r="K169" s="18">
        <v>0.2273</v>
      </c>
      <c r="L169" s="18">
        <v>1</v>
      </c>
      <c r="M169" s="18">
        <v>8.9599999999999999E-2</v>
      </c>
      <c r="N169" s="18">
        <v>0</v>
      </c>
      <c r="O169" s="18">
        <v>9</v>
      </c>
      <c r="P169" s="18">
        <v>9</v>
      </c>
    </row>
    <row r="170" spans="1:16" x14ac:dyDescent="0.25">
      <c r="A170" s="18">
        <v>788</v>
      </c>
      <c r="B170" s="17">
        <v>40579</v>
      </c>
      <c r="C170" s="18">
        <v>1</v>
      </c>
      <c r="D170" s="18">
        <v>0</v>
      </c>
      <c r="E170" s="18">
        <v>2</v>
      </c>
      <c r="F170" s="18">
        <v>6</v>
      </c>
      <c r="G170" s="18" t="b">
        <v>0</v>
      </c>
      <c r="H170" s="18">
        <v>6</v>
      </c>
      <c r="I170" s="18">
        <v>3</v>
      </c>
      <c r="J170" s="18">
        <v>0.2</v>
      </c>
      <c r="K170" s="18">
        <v>0.2576</v>
      </c>
      <c r="L170" s="18">
        <v>1</v>
      </c>
      <c r="M170" s="18">
        <v>0</v>
      </c>
      <c r="N170" s="18">
        <v>0</v>
      </c>
      <c r="O170" s="18">
        <v>4</v>
      </c>
      <c r="P170" s="18">
        <v>4</v>
      </c>
    </row>
    <row r="171" spans="1:16" x14ac:dyDescent="0.25">
      <c r="A171" s="18">
        <v>789</v>
      </c>
      <c r="B171" s="17">
        <v>40579</v>
      </c>
      <c r="C171" s="18">
        <v>1</v>
      </c>
      <c r="D171" s="18">
        <v>0</v>
      </c>
      <c r="E171" s="18">
        <v>2</v>
      </c>
      <c r="F171" s="18">
        <v>7</v>
      </c>
      <c r="G171" s="18" t="b">
        <v>0</v>
      </c>
      <c r="H171" s="18">
        <v>6</v>
      </c>
      <c r="I171" s="18">
        <v>3</v>
      </c>
      <c r="J171" s="18">
        <v>0.22</v>
      </c>
      <c r="K171" s="18">
        <v>0.2576</v>
      </c>
      <c r="L171" s="18">
        <v>0.93</v>
      </c>
      <c r="M171" s="18">
        <v>8.9599999999999999E-2</v>
      </c>
      <c r="N171" s="18">
        <v>0</v>
      </c>
      <c r="O171" s="18">
        <v>4</v>
      </c>
      <c r="P171" s="18">
        <v>4</v>
      </c>
    </row>
    <row r="172" spans="1:16" x14ac:dyDescent="0.25">
      <c r="A172" s="18">
        <v>790</v>
      </c>
      <c r="B172" s="17">
        <v>40579</v>
      </c>
      <c r="C172" s="18">
        <v>1</v>
      </c>
      <c r="D172" s="18">
        <v>0</v>
      </c>
      <c r="E172" s="18">
        <v>2</v>
      </c>
      <c r="F172" s="18">
        <v>8</v>
      </c>
      <c r="G172" s="18" t="b">
        <v>0</v>
      </c>
      <c r="H172" s="18">
        <v>6</v>
      </c>
      <c r="I172" s="18">
        <v>3</v>
      </c>
      <c r="J172" s="18">
        <v>0.2</v>
      </c>
      <c r="K172" s="18">
        <v>0.2273</v>
      </c>
      <c r="L172" s="18">
        <v>1</v>
      </c>
      <c r="M172" s="18">
        <v>8.9599999999999999E-2</v>
      </c>
      <c r="N172" s="18">
        <v>0</v>
      </c>
      <c r="O172" s="18">
        <v>10</v>
      </c>
      <c r="P172" s="18">
        <v>10</v>
      </c>
    </row>
    <row r="173" spans="1:16" x14ac:dyDescent="0.25">
      <c r="A173" s="18">
        <v>791</v>
      </c>
      <c r="B173" s="17">
        <v>40579</v>
      </c>
      <c r="C173" s="18">
        <v>1</v>
      </c>
      <c r="D173" s="18">
        <v>0</v>
      </c>
      <c r="E173" s="18">
        <v>2</v>
      </c>
      <c r="F173" s="18">
        <v>9</v>
      </c>
      <c r="G173" s="18" t="b">
        <v>0</v>
      </c>
      <c r="H173" s="18">
        <v>6</v>
      </c>
      <c r="I173" s="18">
        <v>3</v>
      </c>
      <c r="J173" s="18">
        <v>0.2</v>
      </c>
      <c r="K173" s="18">
        <v>0.2273</v>
      </c>
      <c r="L173" s="18">
        <v>1</v>
      </c>
      <c r="M173" s="18">
        <v>8.9599999999999999E-2</v>
      </c>
      <c r="N173" s="18">
        <v>3</v>
      </c>
      <c r="O173" s="18">
        <v>17</v>
      </c>
      <c r="P173" s="18">
        <v>20</v>
      </c>
    </row>
    <row r="174" spans="1:16" x14ac:dyDescent="0.25">
      <c r="A174" s="18">
        <v>792</v>
      </c>
      <c r="B174" s="17">
        <v>40579</v>
      </c>
      <c r="C174" s="18">
        <v>1</v>
      </c>
      <c r="D174" s="18">
        <v>0</v>
      </c>
      <c r="E174" s="18">
        <v>2</v>
      </c>
      <c r="F174" s="18">
        <v>10</v>
      </c>
      <c r="G174" s="18" t="b">
        <v>0</v>
      </c>
      <c r="H174" s="18">
        <v>6</v>
      </c>
      <c r="I174" s="18">
        <v>3</v>
      </c>
      <c r="J174" s="18">
        <v>0.2</v>
      </c>
      <c r="K174" s="18">
        <v>0.21210000000000001</v>
      </c>
      <c r="L174" s="18">
        <v>1</v>
      </c>
      <c r="M174" s="18">
        <v>0.1343</v>
      </c>
      <c r="N174" s="18">
        <v>3</v>
      </c>
      <c r="O174" s="18">
        <v>31</v>
      </c>
      <c r="P174" s="18">
        <v>34</v>
      </c>
    </row>
    <row r="175" spans="1:16" x14ac:dyDescent="0.25">
      <c r="A175" s="18">
        <v>793</v>
      </c>
      <c r="B175" s="17">
        <v>40579</v>
      </c>
      <c r="C175" s="18">
        <v>1</v>
      </c>
      <c r="D175" s="18">
        <v>0</v>
      </c>
      <c r="E175" s="18">
        <v>2</v>
      </c>
      <c r="F175" s="18">
        <v>11</v>
      </c>
      <c r="G175" s="18" t="b">
        <v>0</v>
      </c>
      <c r="H175" s="18">
        <v>6</v>
      </c>
      <c r="I175" s="18">
        <v>3</v>
      </c>
      <c r="J175" s="18">
        <v>0.22</v>
      </c>
      <c r="K175" s="18">
        <v>0.2273</v>
      </c>
      <c r="L175" s="18">
        <v>1</v>
      </c>
      <c r="M175" s="18">
        <v>0.1343</v>
      </c>
      <c r="N175" s="18">
        <v>1</v>
      </c>
      <c r="O175" s="18">
        <v>46</v>
      </c>
      <c r="P175" s="18">
        <v>47</v>
      </c>
    </row>
    <row r="176" spans="1:16" x14ac:dyDescent="0.25">
      <c r="A176" s="18">
        <v>794</v>
      </c>
      <c r="B176" s="17">
        <v>40579</v>
      </c>
      <c r="C176" s="18">
        <v>1</v>
      </c>
      <c r="D176" s="18">
        <v>0</v>
      </c>
      <c r="E176" s="18">
        <v>2</v>
      </c>
      <c r="F176" s="18">
        <v>12</v>
      </c>
      <c r="G176" s="18" t="b">
        <v>0</v>
      </c>
      <c r="H176" s="18">
        <v>6</v>
      </c>
      <c r="I176" s="18">
        <v>3</v>
      </c>
      <c r="J176" s="18">
        <v>0.22</v>
      </c>
      <c r="K176" s="18">
        <v>0.2273</v>
      </c>
      <c r="L176" s="18">
        <v>1</v>
      </c>
      <c r="M176" s="18">
        <v>0.16420000000000001</v>
      </c>
      <c r="N176" s="18">
        <v>10</v>
      </c>
      <c r="O176" s="18">
        <v>42</v>
      </c>
      <c r="P176" s="18">
        <v>52</v>
      </c>
    </row>
    <row r="177" spans="1:16" x14ac:dyDescent="0.25">
      <c r="A177" s="18">
        <v>795</v>
      </c>
      <c r="B177" s="17">
        <v>40579</v>
      </c>
      <c r="C177" s="18">
        <v>1</v>
      </c>
      <c r="D177" s="18">
        <v>0</v>
      </c>
      <c r="E177" s="18">
        <v>2</v>
      </c>
      <c r="F177" s="18">
        <v>13</v>
      </c>
      <c r="G177" s="18" t="b">
        <v>0</v>
      </c>
      <c r="H177" s="18">
        <v>6</v>
      </c>
      <c r="I177" s="18">
        <v>3</v>
      </c>
      <c r="J177" s="18">
        <v>0.22</v>
      </c>
      <c r="K177" s="18">
        <v>0.2273</v>
      </c>
      <c r="L177" s="18">
        <v>1</v>
      </c>
      <c r="M177" s="18">
        <v>0.16420000000000001</v>
      </c>
      <c r="N177" s="18">
        <v>10</v>
      </c>
      <c r="O177" s="18">
        <v>62</v>
      </c>
      <c r="P177" s="18">
        <v>72</v>
      </c>
    </row>
    <row r="178" spans="1:16" x14ac:dyDescent="0.25">
      <c r="A178" s="18">
        <v>796</v>
      </c>
      <c r="B178" s="17">
        <v>40579</v>
      </c>
      <c r="C178" s="18">
        <v>1</v>
      </c>
      <c r="D178" s="18">
        <v>0</v>
      </c>
      <c r="E178" s="18">
        <v>2</v>
      </c>
      <c r="F178" s="18">
        <v>14</v>
      </c>
      <c r="G178" s="18" t="b">
        <v>0</v>
      </c>
      <c r="H178" s="18">
        <v>6</v>
      </c>
      <c r="I178" s="18">
        <v>3</v>
      </c>
      <c r="J178" s="18">
        <v>0.22</v>
      </c>
      <c r="K178" s="18">
        <v>0.2727</v>
      </c>
      <c r="L178" s="18">
        <v>1</v>
      </c>
      <c r="M178" s="18">
        <v>0</v>
      </c>
      <c r="N178" s="18">
        <v>5</v>
      </c>
      <c r="O178" s="18">
        <v>50</v>
      </c>
      <c r="P178" s="18">
        <v>55</v>
      </c>
    </row>
    <row r="179" spans="1:16" x14ac:dyDescent="0.25">
      <c r="A179" s="18">
        <v>797</v>
      </c>
      <c r="B179" s="17">
        <v>40579</v>
      </c>
      <c r="C179" s="18">
        <v>1</v>
      </c>
      <c r="D179" s="18">
        <v>0</v>
      </c>
      <c r="E179" s="18">
        <v>2</v>
      </c>
      <c r="F179" s="18">
        <v>15</v>
      </c>
      <c r="G179" s="18" t="b">
        <v>0</v>
      </c>
      <c r="H179" s="18">
        <v>6</v>
      </c>
      <c r="I179" s="18">
        <v>3</v>
      </c>
      <c r="J179" s="18">
        <v>0.22</v>
      </c>
      <c r="K179" s="18">
        <v>0.2727</v>
      </c>
      <c r="L179" s="18">
        <v>1</v>
      </c>
      <c r="M179" s="18">
        <v>0</v>
      </c>
      <c r="N179" s="18">
        <v>11</v>
      </c>
      <c r="O179" s="18">
        <v>49</v>
      </c>
      <c r="P179" s="18">
        <v>60</v>
      </c>
    </row>
    <row r="180" spans="1:16" x14ac:dyDescent="0.25">
      <c r="A180" s="18">
        <v>798</v>
      </c>
      <c r="B180" s="17">
        <v>40579</v>
      </c>
      <c r="C180" s="18">
        <v>1</v>
      </c>
      <c r="D180" s="18">
        <v>0</v>
      </c>
      <c r="E180" s="18">
        <v>2</v>
      </c>
      <c r="F180" s="18">
        <v>16</v>
      </c>
      <c r="G180" s="18" t="b">
        <v>0</v>
      </c>
      <c r="H180" s="18">
        <v>6</v>
      </c>
      <c r="I180" s="18">
        <v>3</v>
      </c>
      <c r="J180" s="18">
        <v>0.22</v>
      </c>
      <c r="K180" s="18">
        <v>0.2273</v>
      </c>
      <c r="L180" s="18">
        <v>1</v>
      </c>
      <c r="M180" s="18">
        <v>0.1343</v>
      </c>
      <c r="N180" s="18">
        <v>8</v>
      </c>
      <c r="O180" s="18">
        <v>63</v>
      </c>
      <c r="P180" s="18">
        <v>71</v>
      </c>
    </row>
    <row r="181" spans="1:16" x14ac:dyDescent="0.25">
      <c r="A181" s="18">
        <v>799</v>
      </c>
      <c r="B181" s="17">
        <v>40579</v>
      </c>
      <c r="C181" s="18">
        <v>1</v>
      </c>
      <c r="D181" s="18">
        <v>0</v>
      </c>
      <c r="E181" s="18">
        <v>2</v>
      </c>
      <c r="F181" s="18">
        <v>17</v>
      </c>
      <c r="G181" s="18" t="b">
        <v>0</v>
      </c>
      <c r="H181" s="18">
        <v>6</v>
      </c>
      <c r="I181" s="18">
        <v>2</v>
      </c>
      <c r="J181" s="18">
        <v>0.24</v>
      </c>
      <c r="K181" s="18">
        <v>0.21210000000000001</v>
      </c>
      <c r="L181" s="18">
        <v>1</v>
      </c>
      <c r="M181" s="18">
        <v>0.28360000000000002</v>
      </c>
      <c r="N181" s="18">
        <v>14</v>
      </c>
      <c r="O181" s="18">
        <v>64</v>
      </c>
      <c r="P181" s="18">
        <v>78</v>
      </c>
    </row>
    <row r="182" spans="1:16" x14ac:dyDescent="0.25">
      <c r="A182" s="18">
        <v>800</v>
      </c>
      <c r="B182" s="17">
        <v>40579</v>
      </c>
      <c r="C182" s="18">
        <v>1</v>
      </c>
      <c r="D182" s="18">
        <v>0</v>
      </c>
      <c r="E182" s="18">
        <v>2</v>
      </c>
      <c r="F182" s="18">
        <v>18</v>
      </c>
      <c r="G182" s="18" t="b">
        <v>0</v>
      </c>
      <c r="H182" s="18">
        <v>6</v>
      </c>
      <c r="I182" s="18">
        <v>2</v>
      </c>
      <c r="J182" s="18">
        <v>0.28000000000000003</v>
      </c>
      <c r="K182" s="18">
        <v>0.2424</v>
      </c>
      <c r="L182" s="18">
        <v>0.93</v>
      </c>
      <c r="M182" s="18">
        <v>0.44779999999999998</v>
      </c>
      <c r="N182" s="18">
        <v>2</v>
      </c>
      <c r="O182" s="18">
        <v>81</v>
      </c>
      <c r="P182" s="18">
        <v>83</v>
      </c>
    </row>
    <row r="183" spans="1:16" x14ac:dyDescent="0.25">
      <c r="A183" s="18">
        <v>801</v>
      </c>
      <c r="B183" s="17">
        <v>40579</v>
      </c>
      <c r="C183" s="18">
        <v>1</v>
      </c>
      <c r="D183" s="18">
        <v>0</v>
      </c>
      <c r="E183" s="18">
        <v>2</v>
      </c>
      <c r="F183" s="18">
        <v>19</v>
      </c>
      <c r="G183" s="18" t="b">
        <v>0</v>
      </c>
      <c r="H183" s="18">
        <v>6</v>
      </c>
      <c r="I183" s="18">
        <v>2</v>
      </c>
      <c r="J183" s="18">
        <v>0.28000000000000003</v>
      </c>
      <c r="K183" s="18">
        <v>0.2424</v>
      </c>
      <c r="L183" s="18">
        <v>0.93</v>
      </c>
      <c r="M183" s="18">
        <v>0.44779999999999998</v>
      </c>
      <c r="N183" s="18">
        <v>6</v>
      </c>
      <c r="O183" s="18">
        <v>78</v>
      </c>
      <c r="P183" s="18">
        <v>84</v>
      </c>
    </row>
    <row r="184" spans="1:16" x14ac:dyDescent="0.25">
      <c r="A184" s="18">
        <v>802</v>
      </c>
      <c r="B184" s="17">
        <v>40579</v>
      </c>
      <c r="C184" s="18">
        <v>1</v>
      </c>
      <c r="D184" s="18">
        <v>0</v>
      </c>
      <c r="E184" s="18">
        <v>2</v>
      </c>
      <c r="F184" s="18">
        <v>20</v>
      </c>
      <c r="G184" s="18" t="b">
        <v>0</v>
      </c>
      <c r="H184" s="18">
        <v>6</v>
      </c>
      <c r="I184" s="18">
        <v>1</v>
      </c>
      <c r="J184" s="18">
        <v>0.3</v>
      </c>
      <c r="K184" s="18">
        <v>0.28789999999999999</v>
      </c>
      <c r="L184" s="18">
        <v>0.87</v>
      </c>
      <c r="M184" s="18">
        <v>0.25369999999999998</v>
      </c>
      <c r="N184" s="18">
        <v>5</v>
      </c>
      <c r="O184" s="18">
        <v>64</v>
      </c>
      <c r="P184" s="18">
        <v>69</v>
      </c>
    </row>
    <row r="185" spans="1:16" x14ac:dyDescent="0.25">
      <c r="A185" s="18">
        <v>803</v>
      </c>
      <c r="B185" s="17">
        <v>40579</v>
      </c>
      <c r="C185" s="18">
        <v>1</v>
      </c>
      <c r="D185" s="18">
        <v>0</v>
      </c>
      <c r="E185" s="18">
        <v>2</v>
      </c>
      <c r="F185" s="18">
        <v>21</v>
      </c>
      <c r="G185" s="18" t="b">
        <v>0</v>
      </c>
      <c r="H185" s="18">
        <v>6</v>
      </c>
      <c r="I185" s="18">
        <v>1</v>
      </c>
      <c r="J185" s="18">
        <v>0.26</v>
      </c>
      <c r="K185" s="18">
        <v>0.2576</v>
      </c>
      <c r="L185" s="18">
        <v>1</v>
      </c>
      <c r="M185" s="18">
        <v>0.19400000000000001</v>
      </c>
      <c r="N185" s="18">
        <v>3</v>
      </c>
      <c r="O185" s="18">
        <v>53</v>
      </c>
      <c r="P185" s="18">
        <v>56</v>
      </c>
    </row>
    <row r="186" spans="1:16" x14ac:dyDescent="0.25">
      <c r="A186" s="18">
        <v>804</v>
      </c>
      <c r="B186" s="17">
        <v>40579</v>
      </c>
      <c r="C186" s="18">
        <v>1</v>
      </c>
      <c r="D186" s="18">
        <v>0</v>
      </c>
      <c r="E186" s="18">
        <v>2</v>
      </c>
      <c r="F186" s="18">
        <v>22</v>
      </c>
      <c r="G186" s="18" t="b">
        <v>0</v>
      </c>
      <c r="H186" s="18">
        <v>6</v>
      </c>
      <c r="I186" s="18">
        <v>1</v>
      </c>
      <c r="J186" s="18">
        <v>0.26</v>
      </c>
      <c r="K186" s="18">
        <v>0.2727</v>
      </c>
      <c r="L186" s="18">
        <v>0.93</v>
      </c>
      <c r="M186" s="18">
        <v>0.1343</v>
      </c>
      <c r="N186" s="18">
        <v>2</v>
      </c>
      <c r="O186" s="18">
        <v>43</v>
      </c>
      <c r="P186" s="18">
        <v>45</v>
      </c>
    </row>
    <row r="187" spans="1:16" x14ac:dyDescent="0.25">
      <c r="A187" s="18">
        <v>805</v>
      </c>
      <c r="B187" s="17">
        <v>40579</v>
      </c>
      <c r="C187" s="18">
        <v>1</v>
      </c>
      <c r="D187" s="18">
        <v>0</v>
      </c>
      <c r="E187" s="18">
        <v>2</v>
      </c>
      <c r="F187" s="18">
        <v>23</v>
      </c>
      <c r="G187" s="18" t="b">
        <v>0</v>
      </c>
      <c r="H187" s="18">
        <v>6</v>
      </c>
      <c r="I187" s="18">
        <v>1</v>
      </c>
      <c r="J187" s="18">
        <v>0.26</v>
      </c>
      <c r="K187" s="18">
        <v>0.2576</v>
      </c>
      <c r="L187" s="18">
        <v>0.93</v>
      </c>
      <c r="M187" s="18">
        <v>0.22389999999999999</v>
      </c>
      <c r="N187" s="18">
        <v>7</v>
      </c>
      <c r="O187" s="18">
        <v>52</v>
      </c>
      <c r="P187" s="18">
        <v>59</v>
      </c>
    </row>
    <row r="188" spans="1:16" x14ac:dyDescent="0.25">
      <c r="A188" s="18">
        <v>806</v>
      </c>
      <c r="B188" s="17">
        <v>40580</v>
      </c>
      <c r="C188" s="18">
        <v>1</v>
      </c>
      <c r="D188" s="18">
        <v>0</v>
      </c>
      <c r="E188" s="18">
        <v>2</v>
      </c>
      <c r="F188" s="18">
        <v>0</v>
      </c>
      <c r="G188" s="18" t="b">
        <v>0</v>
      </c>
      <c r="H188" s="18">
        <v>0</v>
      </c>
      <c r="I188" s="18">
        <v>1</v>
      </c>
      <c r="J188" s="18">
        <v>0.26</v>
      </c>
      <c r="K188" s="18">
        <v>0.2576</v>
      </c>
      <c r="L188" s="18">
        <v>0.7</v>
      </c>
      <c r="M188" s="18">
        <v>0.19400000000000001</v>
      </c>
      <c r="N188" s="18">
        <v>2</v>
      </c>
      <c r="O188" s="18">
        <v>37</v>
      </c>
      <c r="P188" s="18">
        <v>39</v>
      </c>
    </row>
    <row r="189" spans="1:16" x14ac:dyDescent="0.25">
      <c r="A189" s="18">
        <v>807</v>
      </c>
      <c r="B189" s="17">
        <v>40580</v>
      </c>
      <c r="C189" s="18">
        <v>1</v>
      </c>
      <c r="D189" s="18">
        <v>0</v>
      </c>
      <c r="E189" s="18">
        <v>2</v>
      </c>
      <c r="F189" s="18">
        <v>1</v>
      </c>
      <c r="G189" s="18" t="b">
        <v>0</v>
      </c>
      <c r="H189" s="18">
        <v>0</v>
      </c>
      <c r="I189" s="18">
        <v>1</v>
      </c>
      <c r="J189" s="18">
        <v>0.26</v>
      </c>
      <c r="K189" s="18">
        <v>0.2273</v>
      </c>
      <c r="L189" s="18">
        <v>0.65</v>
      </c>
      <c r="M189" s="18">
        <v>0.41789999999999999</v>
      </c>
      <c r="N189" s="18">
        <v>4</v>
      </c>
      <c r="O189" s="18">
        <v>40</v>
      </c>
      <c r="P189" s="18">
        <v>44</v>
      </c>
    </row>
    <row r="190" spans="1:16" x14ac:dyDescent="0.25">
      <c r="A190" s="18">
        <v>808</v>
      </c>
      <c r="B190" s="17">
        <v>40580</v>
      </c>
      <c r="C190" s="18">
        <v>1</v>
      </c>
      <c r="D190" s="18">
        <v>0</v>
      </c>
      <c r="E190" s="18">
        <v>2</v>
      </c>
      <c r="F190" s="18">
        <v>2</v>
      </c>
      <c r="G190" s="18" t="b">
        <v>0</v>
      </c>
      <c r="H190" s="18">
        <v>0</v>
      </c>
      <c r="I190" s="18">
        <v>1</v>
      </c>
      <c r="J190" s="18">
        <v>0.26</v>
      </c>
      <c r="K190" s="18">
        <v>0.2273</v>
      </c>
      <c r="L190" s="18">
        <v>0.6</v>
      </c>
      <c r="M190" s="18">
        <v>0.32840000000000003</v>
      </c>
      <c r="N190" s="18">
        <v>0</v>
      </c>
      <c r="O190" s="18">
        <v>20</v>
      </c>
      <c r="P190" s="18">
        <v>20</v>
      </c>
    </row>
    <row r="191" spans="1:16" x14ac:dyDescent="0.25">
      <c r="A191" s="18">
        <v>809</v>
      </c>
      <c r="B191" s="17">
        <v>40580</v>
      </c>
      <c r="C191" s="18">
        <v>1</v>
      </c>
      <c r="D191" s="18">
        <v>0</v>
      </c>
      <c r="E191" s="18">
        <v>2</v>
      </c>
      <c r="F191" s="18">
        <v>3</v>
      </c>
      <c r="G191" s="18" t="b">
        <v>0</v>
      </c>
      <c r="H191" s="18">
        <v>0</v>
      </c>
      <c r="I191" s="18">
        <v>1</v>
      </c>
      <c r="J191" s="18">
        <v>0.26</v>
      </c>
      <c r="K191" s="18">
        <v>0.28789999999999999</v>
      </c>
      <c r="L191" s="18">
        <v>0.6</v>
      </c>
      <c r="M191" s="18">
        <v>8.9599999999999999E-2</v>
      </c>
      <c r="N191" s="18">
        <v>3</v>
      </c>
      <c r="O191" s="18">
        <v>10</v>
      </c>
      <c r="P191" s="18">
        <v>13</v>
      </c>
    </row>
    <row r="192" spans="1:16" x14ac:dyDescent="0.25">
      <c r="A192" s="18">
        <v>810</v>
      </c>
      <c r="B192" s="17">
        <v>40580</v>
      </c>
      <c r="C192" s="18">
        <v>1</v>
      </c>
      <c r="D192" s="18">
        <v>0</v>
      </c>
      <c r="E192" s="18">
        <v>2</v>
      </c>
      <c r="F192" s="18">
        <v>4</v>
      </c>
      <c r="G192" s="18" t="b">
        <v>0</v>
      </c>
      <c r="H192" s="18">
        <v>0</v>
      </c>
      <c r="I192" s="18">
        <v>1</v>
      </c>
      <c r="J192" s="18">
        <v>0.26</v>
      </c>
      <c r="K192" s="18">
        <v>0.2273</v>
      </c>
      <c r="L192" s="18">
        <v>0.6</v>
      </c>
      <c r="M192" s="18">
        <v>0.35820000000000002</v>
      </c>
      <c r="N192" s="18">
        <v>0</v>
      </c>
      <c r="O192" s="18">
        <v>2</v>
      </c>
      <c r="P192" s="18">
        <v>2</v>
      </c>
    </row>
    <row r="193" spans="1:16" x14ac:dyDescent="0.25">
      <c r="A193" s="18">
        <v>811</v>
      </c>
      <c r="B193" s="17">
        <v>40580</v>
      </c>
      <c r="C193" s="18">
        <v>1</v>
      </c>
      <c r="D193" s="18">
        <v>0</v>
      </c>
      <c r="E193" s="18">
        <v>2</v>
      </c>
      <c r="F193" s="18">
        <v>5</v>
      </c>
      <c r="G193" s="18" t="b">
        <v>0</v>
      </c>
      <c r="H193" s="18">
        <v>0</v>
      </c>
      <c r="I193" s="18">
        <v>1</v>
      </c>
      <c r="J193" s="18">
        <v>0.26</v>
      </c>
      <c r="K193" s="18">
        <v>0.2576</v>
      </c>
      <c r="L193" s="18">
        <v>0.6</v>
      </c>
      <c r="M193" s="18">
        <v>0.22389999999999999</v>
      </c>
      <c r="N193" s="18">
        <v>0</v>
      </c>
      <c r="O193" s="18">
        <v>1</v>
      </c>
      <c r="P193" s="18">
        <v>1</v>
      </c>
    </row>
    <row r="194" spans="1:16" x14ac:dyDescent="0.25">
      <c r="A194" s="18">
        <v>812</v>
      </c>
      <c r="B194" s="17">
        <v>40580</v>
      </c>
      <c r="C194" s="18">
        <v>1</v>
      </c>
      <c r="D194" s="18">
        <v>0</v>
      </c>
      <c r="E194" s="18">
        <v>2</v>
      </c>
      <c r="F194" s="18">
        <v>6</v>
      </c>
      <c r="G194" s="18" t="b">
        <v>0</v>
      </c>
      <c r="H194" s="18">
        <v>0</v>
      </c>
      <c r="I194" s="18">
        <v>1</v>
      </c>
      <c r="J194" s="18">
        <v>0.26</v>
      </c>
      <c r="K194" s="18">
        <v>0.2576</v>
      </c>
      <c r="L194" s="18">
        <v>0.6</v>
      </c>
      <c r="M194" s="18">
        <v>0.22389999999999999</v>
      </c>
      <c r="N194" s="18">
        <v>0</v>
      </c>
      <c r="O194" s="18">
        <v>1</v>
      </c>
      <c r="P194" s="18">
        <v>1</v>
      </c>
    </row>
    <row r="195" spans="1:16" x14ac:dyDescent="0.25">
      <c r="A195" s="18">
        <v>813</v>
      </c>
      <c r="B195" s="17">
        <v>40580</v>
      </c>
      <c r="C195" s="18">
        <v>1</v>
      </c>
      <c r="D195" s="18">
        <v>0</v>
      </c>
      <c r="E195" s="18">
        <v>2</v>
      </c>
      <c r="F195" s="18">
        <v>7</v>
      </c>
      <c r="G195" s="18" t="b">
        <v>0</v>
      </c>
      <c r="H195" s="18">
        <v>0</v>
      </c>
      <c r="I195" s="18">
        <v>1</v>
      </c>
      <c r="J195" s="18">
        <v>0.24</v>
      </c>
      <c r="K195" s="18">
        <v>0.2424</v>
      </c>
      <c r="L195" s="18">
        <v>0.65</v>
      </c>
      <c r="M195" s="18">
        <v>0.16420000000000001</v>
      </c>
      <c r="N195" s="18">
        <v>0</v>
      </c>
      <c r="O195" s="18">
        <v>8</v>
      </c>
      <c r="P195" s="18">
        <v>8</v>
      </c>
    </row>
    <row r="196" spans="1:16" x14ac:dyDescent="0.25">
      <c r="A196" s="18">
        <v>814</v>
      </c>
      <c r="B196" s="17">
        <v>40580</v>
      </c>
      <c r="C196" s="18">
        <v>1</v>
      </c>
      <c r="D196" s="18">
        <v>0</v>
      </c>
      <c r="E196" s="18">
        <v>2</v>
      </c>
      <c r="F196" s="18">
        <v>8</v>
      </c>
      <c r="G196" s="18" t="b">
        <v>0</v>
      </c>
      <c r="H196" s="18">
        <v>0</v>
      </c>
      <c r="I196" s="18">
        <v>1</v>
      </c>
      <c r="J196" s="18">
        <v>0.24</v>
      </c>
      <c r="K196" s="18">
        <v>0.2576</v>
      </c>
      <c r="L196" s="18">
        <v>0.65</v>
      </c>
      <c r="M196" s="18">
        <v>0.1045</v>
      </c>
      <c r="N196" s="18">
        <v>2</v>
      </c>
      <c r="O196" s="18">
        <v>21</v>
      </c>
      <c r="P196" s="18">
        <v>23</v>
      </c>
    </row>
    <row r="197" spans="1:16" x14ac:dyDescent="0.25">
      <c r="A197" s="18">
        <v>815</v>
      </c>
      <c r="B197" s="17">
        <v>40580</v>
      </c>
      <c r="C197" s="18">
        <v>1</v>
      </c>
      <c r="D197" s="18">
        <v>0</v>
      </c>
      <c r="E197" s="18">
        <v>2</v>
      </c>
      <c r="F197" s="18">
        <v>9</v>
      </c>
      <c r="G197" s="18" t="b">
        <v>0</v>
      </c>
      <c r="H197" s="18">
        <v>0</v>
      </c>
      <c r="I197" s="18">
        <v>1</v>
      </c>
      <c r="J197" s="18">
        <v>0.28000000000000003</v>
      </c>
      <c r="K197" s="18">
        <v>0.28789999999999999</v>
      </c>
      <c r="L197" s="18">
        <v>0.56000000000000005</v>
      </c>
      <c r="M197" s="18">
        <v>0.1045</v>
      </c>
      <c r="N197" s="18">
        <v>7</v>
      </c>
      <c r="O197" s="18">
        <v>38</v>
      </c>
      <c r="P197" s="18">
        <v>45</v>
      </c>
    </row>
    <row r="198" spans="1:16" x14ac:dyDescent="0.25">
      <c r="A198" s="18">
        <v>816</v>
      </c>
      <c r="B198" s="17">
        <v>40580</v>
      </c>
      <c r="C198" s="18">
        <v>1</v>
      </c>
      <c r="D198" s="18">
        <v>0</v>
      </c>
      <c r="E198" s="18">
        <v>2</v>
      </c>
      <c r="F198" s="18">
        <v>10</v>
      </c>
      <c r="G198" s="18" t="b">
        <v>0</v>
      </c>
      <c r="H198" s="18">
        <v>0</v>
      </c>
      <c r="I198" s="18">
        <v>1</v>
      </c>
      <c r="J198" s="18">
        <v>0.3</v>
      </c>
      <c r="K198" s="18">
        <v>0.28789999999999999</v>
      </c>
      <c r="L198" s="18">
        <v>0.52</v>
      </c>
      <c r="M198" s="18">
        <v>0.25369999999999998</v>
      </c>
      <c r="N198" s="18">
        <v>15</v>
      </c>
      <c r="O198" s="18">
        <v>74</v>
      </c>
      <c r="P198" s="18">
        <v>89</v>
      </c>
    </row>
    <row r="199" spans="1:16" x14ac:dyDescent="0.25">
      <c r="A199" s="18">
        <v>817</v>
      </c>
      <c r="B199" s="17">
        <v>40580</v>
      </c>
      <c r="C199" s="18">
        <v>1</v>
      </c>
      <c r="D199" s="18">
        <v>0</v>
      </c>
      <c r="E199" s="18">
        <v>2</v>
      </c>
      <c r="F199" s="18">
        <v>11</v>
      </c>
      <c r="G199" s="18" t="b">
        <v>0</v>
      </c>
      <c r="H199" s="18">
        <v>0</v>
      </c>
      <c r="I199" s="18">
        <v>1</v>
      </c>
      <c r="J199" s="18">
        <v>0.32</v>
      </c>
      <c r="K199" s="18">
        <v>0.30299999999999999</v>
      </c>
      <c r="L199" s="18">
        <v>0.49</v>
      </c>
      <c r="M199" s="18">
        <v>0.25369999999999998</v>
      </c>
      <c r="N199" s="18">
        <v>28</v>
      </c>
      <c r="O199" s="18">
        <v>89</v>
      </c>
      <c r="P199" s="18">
        <v>117</v>
      </c>
    </row>
    <row r="200" spans="1:16" x14ac:dyDescent="0.25">
      <c r="A200" s="18">
        <v>818</v>
      </c>
      <c r="B200" s="17">
        <v>40580</v>
      </c>
      <c r="C200" s="18">
        <v>1</v>
      </c>
      <c r="D200" s="18">
        <v>0</v>
      </c>
      <c r="E200" s="18">
        <v>2</v>
      </c>
      <c r="F200" s="18">
        <v>12</v>
      </c>
      <c r="G200" s="18" t="b">
        <v>0</v>
      </c>
      <c r="H200" s="18">
        <v>0</v>
      </c>
      <c r="I200" s="18">
        <v>1</v>
      </c>
      <c r="J200" s="18">
        <v>0.34</v>
      </c>
      <c r="K200" s="18">
        <v>0.33329999999999999</v>
      </c>
      <c r="L200" s="18">
        <v>0.46</v>
      </c>
      <c r="M200" s="18">
        <v>0</v>
      </c>
      <c r="N200" s="18">
        <v>48</v>
      </c>
      <c r="O200" s="18">
        <v>126</v>
      </c>
      <c r="P200" s="18">
        <v>174</v>
      </c>
    </row>
    <row r="201" spans="1:16" x14ac:dyDescent="0.25">
      <c r="A201" s="18">
        <v>819</v>
      </c>
      <c r="B201" s="17">
        <v>40580</v>
      </c>
      <c r="C201" s="18">
        <v>1</v>
      </c>
      <c r="D201" s="18">
        <v>0</v>
      </c>
      <c r="E201" s="18">
        <v>2</v>
      </c>
      <c r="F201" s="18">
        <v>13</v>
      </c>
      <c r="G201" s="18" t="b">
        <v>0</v>
      </c>
      <c r="H201" s="18">
        <v>0</v>
      </c>
      <c r="I201" s="18">
        <v>1</v>
      </c>
      <c r="J201" s="18">
        <v>0.34</v>
      </c>
      <c r="K201" s="18">
        <v>0.36359999999999998</v>
      </c>
      <c r="L201" s="18">
        <v>0.46</v>
      </c>
      <c r="M201" s="18">
        <v>0</v>
      </c>
      <c r="N201" s="18">
        <v>47</v>
      </c>
      <c r="O201" s="18">
        <v>135</v>
      </c>
      <c r="P201" s="18">
        <v>182</v>
      </c>
    </row>
    <row r="202" spans="1:16" x14ac:dyDescent="0.25">
      <c r="A202" s="18">
        <v>820</v>
      </c>
      <c r="B202" s="17">
        <v>40580</v>
      </c>
      <c r="C202" s="18">
        <v>1</v>
      </c>
      <c r="D202" s="18">
        <v>0</v>
      </c>
      <c r="E202" s="18">
        <v>2</v>
      </c>
      <c r="F202" s="18">
        <v>14</v>
      </c>
      <c r="G202" s="18" t="b">
        <v>0</v>
      </c>
      <c r="H202" s="18">
        <v>0</v>
      </c>
      <c r="I202" s="18">
        <v>1</v>
      </c>
      <c r="J202" s="18">
        <v>0.34</v>
      </c>
      <c r="K202" s="18">
        <v>0.34849999999999998</v>
      </c>
      <c r="L202" s="18">
        <v>0.46</v>
      </c>
      <c r="M202" s="18">
        <v>8.9599999999999999E-2</v>
      </c>
      <c r="N202" s="18">
        <v>47</v>
      </c>
      <c r="O202" s="18">
        <v>114</v>
      </c>
      <c r="P202" s="18">
        <v>161</v>
      </c>
    </row>
    <row r="203" spans="1:16" x14ac:dyDescent="0.25">
      <c r="A203" s="18">
        <v>821</v>
      </c>
      <c r="B203" s="17">
        <v>40580</v>
      </c>
      <c r="C203" s="18">
        <v>1</v>
      </c>
      <c r="D203" s="18">
        <v>0</v>
      </c>
      <c r="E203" s="18">
        <v>2</v>
      </c>
      <c r="F203" s="18">
        <v>15</v>
      </c>
      <c r="G203" s="18" t="b">
        <v>0</v>
      </c>
      <c r="H203" s="18">
        <v>0</v>
      </c>
      <c r="I203" s="18">
        <v>1</v>
      </c>
      <c r="J203" s="18">
        <v>0.34</v>
      </c>
      <c r="K203" s="18">
        <v>0.34849999999999998</v>
      </c>
      <c r="L203" s="18">
        <v>0.46</v>
      </c>
      <c r="M203" s="18">
        <v>8.9599999999999999E-2</v>
      </c>
      <c r="N203" s="18">
        <v>52</v>
      </c>
      <c r="O203" s="18">
        <v>130</v>
      </c>
      <c r="P203" s="18">
        <v>182</v>
      </c>
    </row>
    <row r="204" spans="1:16" x14ac:dyDescent="0.25">
      <c r="A204" s="18">
        <v>822</v>
      </c>
      <c r="B204" s="17">
        <v>40580</v>
      </c>
      <c r="C204" s="18">
        <v>1</v>
      </c>
      <c r="D204" s="18">
        <v>0</v>
      </c>
      <c r="E204" s="18">
        <v>2</v>
      </c>
      <c r="F204" s="18">
        <v>16</v>
      </c>
      <c r="G204" s="18" t="b">
        <v>0</v>
      </c>
      <c r="H204" s="18">
        <v>0</v>
      </c>
      <c r="I204" s="18">
        <v>1</v>
      </c>
      <c r="J204" s="18">
        <v>0.34</v>
      </c>
      <c r="K204" s="18">
        <v>0.34849999999999998</v>
      </c>
      <c r="L204" s="18">
        <v>0.49</v>
      </c>
      <c r="M204" s="18">
        <v>0.1045</v>
      </c>
      <c r="N204" s="18">
        <v>42</v>
      </c>
      <c r="O204" s="18">
        <v>115</v>
      </c>
      <c r="P204" s="18">
        <v>157</v>
      </c>
    </row>
    <row r="205" spans="1:16" x14ac:dyDescent="0.25">
      <c r="A205" s="18">
        <v>823</v>
      </c>
      <c r="B205" s="17">
        <v>40580</v>
      </c>
      <c r="C205" s="18">
        <v>1</v>
      </c>
      <c r="D205" s="18">
        <v>0</v>
      </c>
      <c r="E205" s="18">
        <v>2</v>
      </c>
      <c r="F205" s="18">
        <v>17</v>
      </c>
      <c r="G205" s="18" t="b">
        <v>0</v>
      </c>
      <c r="H205" s="18">
        <v>0</v>
      </c>
      <c r="I205" s="18">
        <v>1</v>
      </c>
      <c r="J205" s="18">
        <v>0.34</v>
      </c>
      <c r="K205" s="18">
        <v>0.36359999999999998</v>
      </c>
      <c r="L205" s="18">
        <v>0.46</v>
      </c>
      <c r="M205" s="18">
        <v>0</v>
      </c>
      <c r="N205" s="18">
        <v>24</v>
      </c>
      <c r="O205" s="18">
        <v>97</v>
      </c>
      <c r="P205" s="18">
        <v>121</v>
      </c>
    </row>
    <row r="206" spans="1:16" x14ac:dyDescent="0.25">
      <c r="A206" s="18">
        <v>824</v>
      </c>
      <c r="B206" s="17">
        <v>40580</v>
      </c>
      <c r="C206" s="18">
        <v>1</v>
      </c>
      <c r="D206" s="18">
        <v>0</v>
      </c>
      <c r="E206" s="18">
        <v>2</v>
      </c>
      <c r="F206" s="18">
        <v>18</v>
      </c>
      <c r="G206" s="18" t="b">
        <v>0</v>
      </c>
      <c r="H206" s="18">
        <v>0</v>
      </c>
      <c r="I206" s="18">
        <v>1</v>
      </c>
      <c r="J206" s="18">
        <v>0.3</v>
      </c>
      <c r="K206" s="18">
        <v>0.30299999999999999</v>
      </c>
      <c r="L206" s="18">
        <v>0.56000000000000005</v>
      </c>
      <c r="M206" s="18">
        <v>0.16420000000000001</v>
      </c>
      <c r="N206" s="18">
        <v>13</v>
      </c>
      <c r="O206" s="18">
        <v>65</v>
      </c>
      <c r="P206" s="18">
        <v>78</v>
      </c>
    </row>
    <row r="207" spans="1:16" x14ac:dyDescent="0.25">
      <c r="A207" s="18">
        <v>825</v>
      </c>
      <c r="B207" s="17">
        <v>40580</v>
      </c>
      <c r="C207" s="18">
        <v>1</v>
      </c>
      <c r="D207" s="18">
        <v>0</v>
      </c>
      <c r="E207" s="18">
        <v>2</v>
      </c>
      <c r="F207" s="18">
        <v>19</v>
      </c>
      <c r="G207" s="18" t="b">
        <v>0</v>
      </c>
      <c r="H207" s="18">
        <v>0</v>
      </c>
      <c r="I207" s="18">
        <v>1</v>
      </c>
      <c r="J207" s="18">
        <v>0.28000000000000003</v>
      </c>
      <c r="K207" s="18">
        <v>0.28789999999999999</v>
      </c>
      <c r="L207" s="18">
        <v>0.61</v>
      </c>
      <c r="M207" s="18">
        <v>0.1343</v>
      </c>
      <c r="N207" s="18">
        <v>1</v>
      </c>
      <c r="O207" s="18">
        <v>20</v>
      </c>
      <c r="P207" s="18">
        <v>21</v>
      </c>
    </row>
    <row r="208" spans="1:16" x14ac:dyDescent="0.25">
      <c r="A208" s="18">
        <v>826</v>
      </c>
      <c r="B208" s="17">
        <v>40580</v>
      </c>
      <c r="C208" s="18">
        <v>1</v>
      </c>
      <c r="D208" s="18">
        <v>0</v>
      </c>
      <c r="E208" s="18">
        <v>2</v>
      </c>
      <c r="F208" s="18">
        <v>20</v>
      </c>
      <c r="G208" s="18" t="b">
        <v>0</v>
      </c>
      <c r="H208" s="18">
        <v>0</v>
      </c>
      <c r="I208" s="18">
        <v>1</v>
      </c>
      <c r="J208" s="18">
        <v>0.28000000000000003</v>
      </c>
      <c r="K208" s="18">
        <v>0.28789999999999999</v>
      </c>
      <c r="L208" s="18">
        <v>0.61</v>
      </c>
      <c r="M208" s="18">
        <v>0.1045</v>
      </c>
      <c r="N208" s="18">
        <v>5</v>
      </c>
      <c r="O208" s="18">
        <v>21</v>
      </c>
      <c r="P208" s="18">
        <v>26</v>
      </c>
    </row>
    <row r="209" spans="1:16" x14ac:dyDescent="0.25">
      <c r="A209" s="18">
        <v>827</v>
      </c>
      <c r="B209" s="17">
        <v>40580</v>
      </c>
      <c r="C209" s="18">
        <v>1</v>
      </c>
      <c r="D209" s="18">
        <v>0</v>
      </c>
      <c r="E209" s="18">
        <v>2</v>
      </c>
      <c r="F209" s="18">
        <v>21</v>
      </c>
      <c r="G209" s="18" t="b">
        <v>0</v>
      </c>
      <c r="H209" s="18">
        <v>0</v>
      </c>
      <c r="I209" s="18">
        <v>1</v>
      </c>
      <c r="J209" s="18">
        <v>0.26</v>
      </c>
      <c r="K209" s="18">
        <v>0.30299999999999999</v>
      </c>
      <c r="L209" s="18">
        <v>0.6</v>
      </c>
      <c r="M209" s="18">
        <v>0</v>
      </c>
      <c r="N209" s="18">
        <v>5</v>
      </c>
      <c r="O209" s="18">
        <v>22</v>
      </c>
      <c r="P209" s="18">
        <v>27</v>
      </c>
    </row>
    <row r="210" spans="1:16" x14ac:dyDescent="0.25">
      <c r="A210" s="18">
        <v>828</v>
      </c>
      <c r="B210" s="17">
        <v>40580</v>
      </c>
      <c r="C210" s="18">
        <v>1</v>
      </c>
      <c r="D210" s="18">
        <v>0</v>
      </c>
      <c r="E210" s="18">
        <v>2</v>
      </c>
      <c r="F210" s="18">
        <v>22</v>
      </c>
      <c r="G210" s="18" t="b">
        <v>0</v>
      </c>
      <c r="H210" s="18">
        <v>0</v>
      </c>
      <c r="I210" s="18">
        <v>1</v>
      </c>
      <c r="J210" s="18">
        <v>0.26</v>
      </c>
      <c r="K210" s="18">
        <v>0.30299999999999999</v>
      </c>
      <c r="L210" s="18">
        <v>0.6</v>
      </c>
      <c r="M210" s="18">
        <v>0</v>
      </c>
      <c r="N210" s="18">
        <v>5</v>
      </c>
      <c r="O210" s="18">
        <v>57</v>
      </c>
      <c r="P210" s="18">
        <v>62</v>
      </c>
    </row>
    <row r="211" spans="1:16" x14ac:dyDescent="0.25">
      <c r="A211" s="18">
        <v>829</v>
      </c>
      <c r="B211" s="17">
        <v>40580</v>
      </c>
      <c r="C211" s="18">
        <v>1</v>
      </c>
      <c r="D211" s="18">
        <v>0</v>
      </c>
      <c r="E211" s="18">
        <v>2</v>
      </c>
      <c r="F211" s="18">
        <v>23</v>
      </c>
      <c r="G211" s="18" t="b">
        <v>0</v>
      </c>
      <c r="H211" s="18">
        <v>0</v>
      </c>
      <c r="I211" s="18">
        <v>1</v>
      </c>
      <c r="J211" s="18">
        <v>0.24</v>
      </c>
      <c r="K211" s="18">
        <v>0.28789999999999999</v>
      </c>
      <c r="L211" s="18">
        <v>0.65</v>
      </c>
      <c r="M211" s="18">
        <v>0</v>
      </c>
      <c r="N211" s="18">
        <v>4</v>
      </c>
      <c r="O211" s="18">
        <v>26</v>
      </c>
      <c r="P211" s="18">
        <v>30</v>
      </c>
    </row>
    <row r="212" spans="1:16" x14ac:dyDescent="0.25">
      <c r="A212" s="18">
        <v>830</v>
      </c>
      <c r="B212" s="17">
        <v>40581</v>
      </c>
      <c r="C212" s="18">
        <v>1</v>
      </c>
      <c r="D212" s="18">
        <v>0</v>
      </c>
      <c r="E212" s="18">
        <v>2</v>
      </c>
      <c r="F212" s="18">
        <v>0</v>
      </c>
      <c r="G212" s="18" t="b">
        <v>0</v>
      </c>
      <c r="H212" s="18">
        <v>1</v>
      </c>
      <c r="I212" s="18">
        <v>1</v>
      </c>
      <c r="J212" s="18">
        <v>0.24</v>
      </c>
      <c r="K212" s="18">
        <v>0.28789999999999999</v>
      </c>
      <c r="L212" s="18">
        <v>0.65</v>
      </c>
      <c r="M212" s="18">
        <v>0</v>
      </c>
      <c r="N212" s="18">
        <v>1</v>
      </c>
      <c r="O212" s="18">
        <v>14</v>
      </c>
      <c r="P212" s="18">
        <v>15</v>
      </c>
    </row>
    <row r="213" spans="1:16" x14ac:dyDescent="0.25">
      <c r="A213" s="18">
        <v>831</v>
      </c>
      <c r="B213" s="17">
        <v>40581</v>
      </c>
      <c r="C213" s="18">
        <v>1</v>
      </c>
      <c r="D213" s="18">
        <v>0</v>
      </c>
      <c r="E213" s="18">
        <v>2</v>
      </c>
      <c r="F213" s="18">
        <v>1</v>
      </c>
      <c r="G213" s="18" t="b">
        <v>0</v>
      </c>
      <c r="H213" s="18">
        <v>1</v>
      </c>
      <c r="I213" s="18">
        <v>1</v>
      </c>
      <c r="J213" s="18">
        <v>0.22</v>
      </c>
      <c r="K213" s="18">
        <v>0.2727</v>
      </c>
      <c r="L213" s="18">
        <v>0.75</v>
      </c>
      <c r="M213" s="18">
        <v>0</v>
      </c>
      <c r="N213" s="18">
        <v>1</v>
      </c>
      <c r="O213" s="18">
        <v>4</v>
      </c>
      <c r="P213" s="18">
        <v>5</v>
      </c>
    </row>
    <row r="214" spans="1:16" x14ac:dyDescent="0.25">
      <c r="A214" s="18">
        <v>832</v>
      </c>
      <c r="B214" s="17">
        <v>40581</v>
      </c>
      <c r="C214" s="18">
        <v>1</v>
      </c>
      <c r="D214" s="18">
        <v>0</v>
      </c>
      <c r="E214" s="18">
        <v>2</v>
      </c>
      <c r="F214" s="18">
        <v>2</v>
      </c>
      <c r="G214" s="18" t="b">
        <v>0</v>
      </c>
      <c r="H214" s="18">
        <v>1</v>
      </c>
      <c r="I214" s="18">
        <v>1</v>
      </c>
      <c r="J214" s="18">
        <v>0.2</v>
      </c>
      <c r="K214" s="18">
        <v>0.2576</v>
      </c>
      <c r="L214" s="18">
        <v>0.8</v>
      </c>
      <c r="M214" s="18">
        <v>0</v>
      </c>
      <c r="N214" s="18">
        <v>0</v>
      </c>
      <c r="O214" s="18">
        <v>3</v>
      </c>
      <c r="P214" s="18">
        <v>3</v>
      </c>
    </row>
    <row r="215" spans="1:16" x14ac:dyDescent="0.25">
      <c r="A215" s="18">
        <v>833</v>
      </c>
      <c r="B215" s="17">
        <v>40581</v>
      </c>
      <c r="C215" s="18">
        <v>1</v>
      </c>
      <c r="D215" s="18">
        <v>0</v>
      </c>
      <c r="E215" s="18">
        <v>2</v>
      </c>
      <c r="F215" s="18">
        <v>3</v>
      </c>
      <c r="G215" s="18" t="b">
        <v>0</v>
      </c>
      <c r="H215" s="18">
        <v>1</v>
      </c>
      <c r="I215" s="18">
        <v>1</v>
      </c>
      <c r="J215" s="18">
        <v>0.2</v>
      </c>
      <c r="K215" s="18">
        <v>0.2576</v>
      </c>
      <c r="L215" s="18">
        <v>0.86</v>
      </c>
      <c r="M215" s="18">
        <v>0</v>
      </c>
      <c r="N215" s="18">
        <v>0</v>
      </c>
      <c r="O215" s="18">
        <v>1</v>
      </c>
      <c r="P215" s="18">
        <v>1</v>
      </c>
    </row>
    <row r="216" spans="1:16" x14ac:dyDescent="0.25">
      <c r="A216" s="18">
        <v>834</v>
      </c>
      <c r="B216" s="17">
        <v>40581</v>
      </c>
      <c r="C216" s="18">
        <v>1</v>
      </c>
      <c r="D216" s="18">
        <v>0</v>
      </c>
      <c r="E216" s="18">
        <v>2</v>
      </c>
      <c r="F216" s="18">
        <v>4</v>
      </c>
      <c r="G216" s="18" t="b">
        <v>0</v>
      </c>
      <c r="H216" s="18">
        <v>1</v>
      </c>
      <c r="I216" s="18">
        <v>1</v>
      </c>
      <c r="J216" s="18">
        <v>0.2</v>
      </c>
      <c r="K216" s="18">
        <v>0.2576</v>
      </c>
      <c r="L216" s="18">
        <v>0.86</v>
      </c>
      <c r="M216" s="18">
        <v>0</v>
      </c>
      <c r="N216" s="18">
        <v>1</v>
      </c>
      <c r="O216" s="18">
        <v>1</v>
      </c>
      <c r="P216" s="18">
        <v>2</v>
      </c>
    </row>
    <row r="217" spans="1:16" x14ac:dyDescent="0.25">
      <c r="A217" s="18">
        <v>835</v>
      </c>
      <c r="B217" s="17">
        <v>40581</v>
      </c>
      <c r="C217" s="18">
        <v>1</v>
      </c>
      <c r="D217" s="18">
        <v>0</v>
      </c>
      <c r="E217" s="18">
        <v>2</v>
      </c>
      <c r="F217" s="18">
        <v>5</v>
      </c>
      <c r="G217" s="18" t="b">
        <v>0</v>
      </c>
      <c r="H217" s="18">
        <v>1</v>
      </c>
      <c r="I217" s="18">
        <v>1</v>
      </c>
      <c r="J217" s="18">
        <v>0.2</v>
      </c>
      <c r="K217" s="18">
        <v>0.2576</v>
      </c>
      <c r="L217" s="18">
        <v>0.86</v>
      </c>
      <c r="M217" s="18">
        <v>0</v>
      </c>
      <c r="N217" s="18">
        <v>1</v>
      </c>
      <c r="O217" s="18">
        <v>9</v>
      </c>
      <c r="P217" s="18">
        <v>10</v>
      </c>
    </row>
    <row r="218" spans="1:16" x14ac:dyDescent="0.25">
      <c r="A218" s="18">
        <v>836</v>
      </c>
      <c r="B218" s="17">
        <v>40581</v>
      </c>
      <c r="C218" s="18">
        <v>1</v>
      </c>
      <c r="D218" s="18">
        <v>0</v>
      </c>
      <c r="E218" s="18">
        <v>2</v>
      </c>
      <c r="F218" s="18">
        <v>6</v>
      </c>
      <c r="G218" s="18" t="b">
        <v>0</v>
      </c>
      <c r="H218" s="18">
        <v>1</v>
      </c>
      <c r="I218" s="18">
        <v>1</v>
      </c>
      <c r="J218" s="18">
        <v>0.18</v>
      </c>
      <c r="K218" s="18">
        <v>0.2424</v>
      </c>
      <c r="L218" s="18">
        <v>0.93</v>
      </c>
      <c r="M218" s="18">
        <v>0</v>
      </c>
      <c r="N218" s="18">
        <v>1</v>
      </c>
      <c r="O218" s="18">
        <v>29</v>
      </c>
      <c r="P218" s="18">
        <v>30</v>
      </c>
    </row>
    <row r="219" spans="1:16" x14ac:dyDescent="0.25">
      <c r="A219" s="18">
        <v>837</v>
      </c>
      <c r="B219" s="17">
        <v>40581</v>
      </c>
      <c r="C219" s="18">
        <v>1</v>
      </c>
      <c r="D219" s="18">
        <v>0</v>
      </c>
      <c r="E219" s="18">
        <v>2</v>
      </c>
      <c r="F219" s="18">
        <v>7</v>
      </c>
      <c r="G219" s="18" t="b">
        <v>0</v>
      </c>
      <c r="H219" s="18">
        <v>1</v>
      </c>
      <c r="I219" s="18">
        <v>1</v>
      </c>
      <c r="J219" s="18">
        <v>0.18</v>
      </c>
      <c r="K219" s="18">
        <v>0.2424</v>
      </c>
      <c r="L219" s="18">
        <v>0.86</v>
      </c>
      <c r="M219" s="18">
        <v>0</v>
      </c>
      <c r="N219" s="18">
        <v>6</v>
      </c>
      <c r="O219" s="18">
        <v>89</v>
      </c>
      <c r="P219" s="18">
        <v>95</v>
      </c>
    </row>
    <row r="220" spans="1:16" x14ac:dyDescent="0.25">
      <c r="A220" s="18">
        <v>838</v>
      </c>
      <c r="B220" s="17">
        <v>40581</v>
      </c>
      <c r="C220" s="18">
        <v>1</v>
      </c>
      <c r="D220" s="18">
        <v>0</v>
      </c>
      <c r="E220" s="18">
        <v>2</v>
      </c>
      <c r="F220" s="18">
        <v>8</v>
      </c>
      <c r="G220" s="18" t="b">
        <v>0</v>
      </c>
      <c r="H220" s="18">
        <v>1</v>
      </c>
      <c r="I220" s="18">
        <v>2</v>
      </c>
      <c r="J220" s="18">
        <v>0.16</v>
      </c>
      <c r="K220" s="18">
        <v>0.2273</v>
      </c>
      <c r="L220" s="18">
        <v>1</v>
      </c>
      <c r="M220" s="18">
        <v>0</v>
      </c>
      <c r="N220" s="18">
        <v>7</v>
      </c>
      <c r="O220" s="18">
        <v>223</v>
      </c>
      <c r="P220" s="18">
        <v>230</v>
      </c>
    </row>
    <row r="221" spans="1:16" x14ac:dyDescent="0.25">
      <c r="A221" s="18">
        <v>839</v>
      </c>
      <c r="B221" s="17">
        <v>40581</v>
      </c>
      <c r="C221" s="18">
        <v>1</v>
      </c>
      <c r="D221" s="18">
        <v>0</v>
      </c>
      <c r="E221" s="18">
        <v>2</v>
      </c>
      <c r="F221" s="18">
        <v>9</v>
      </c>
      <c r="G221" s="18" t="b">
        <v>0</v>
      </c>
      <c r="H221" s="18">
        <v>1</v>
      </c>
      <c r="I221" s="18">
        <v>1</v>
      </c>
      <c r="J221" s="18">
        <v>0.22</v>
      </c>
      <c r="K221" s="18">
        <v>0.2727</v>
      </c>
      <c r="L221" s="18">
        <v>0.8</v>
      </c>
      <c r="M221" s="18">
        <v>0</v>
      </c>
      <c r="N221" s="18">
        <v>3</v>
      </c>
      <c r="O221" s="18">
        <v>115</v>
      </c>
      <c r="P221" s="18">
        <v>118</v>
      </c>
    </row>
    <row r="222" spans="1:16" x14ac:dyDescent="0.25">
      <c r="A222" s="18">
        <v>840</v>
      </c>
      <c r="B222" s="17">
        <v>40581</v>
      </c>
      <c r="C222" s="18">
        <v>1</v>
      </c>
      <c r="D222" s="18">
        <v>0</v>
      </c>
      <c r="E222" s="18">
        <v>2</v>
      </c>
      <c r="F222" s="18">
        <v>10</v>
      </c>
      <c r="G222" s="18" t="b">
        <v>0</v>
      </c>
      <c r="H222" s="18">
        <v>1</v>
      </c>
      <c r="I222" s="18">
        <v>1</v>
      </c>
      <c r="J222" s="18">
        <v>0.24</v>
      </c>
      <c r="K222" s="18">
        <v>0.2576</v>
      </c>
      <c r="L222" s="18">
        <v>0.75</v>
      </c>
      <c r="M222" s="18">
        <v>0.1045</v>
      </c>
      <c r="N222" s="18">
        <v>6</v>
      </c>
      <c r="O222" s="18">
        <v>49</v>
      </c>
      <c r="P222" s="18">
        <v>55</v>
      </c>
    </row>
    <row r="223" spans="1:16" x14ac:dyDescent="0.25">
      <c r="A223" s="18">
        <v>841</v>
      </c>
      <c r="B223" s="17">
        <v>40581</v>
      </c>
      <c r="C223" s="18">
        <v>1</v>
      </c>
      <c r="D223" s="18">
        <v>0</v>
      </c>
      <c r="E223" s="18">
        <v>2</v>
      </c>
      <c r="F223" s="18">
        <v>11</v>
      </c>
      <c r="G223" s="18" t="b">
        <v>0</v>
      </c>
      <c r="H223" s="18">
        <v>1</v>
      </c>
      <c r="I223" s="18">
        <v>1</v>
      </c>
      <c r="J223" s="18">
        <v>0.3</v>
      </c>
      <c r="K223" s="18">
        <v>0.31819999999999998</v>
      </c>
      <c r="L223" s="18">
        <v>0.65</v>
      </c>
      <c r="M223" s="18">
        <v>8.9599999999999999E-2</v>
      </c>
      <c r="N223" s="18">
        <v>11</v>
      </c>
      <c r="O223" s="18">
        <v>36</v>
      </c>
      <c r="P223" s="18">
        <v>47</v>
      </c>
    </row>
    <row r="224" spans="1:16" x14ac:dyDescent="0.25">
      <c r="A224" s="18">
        <v>842</v>
      </c>
      <c r="B224" s="17">
        <v>40581</v>
      </c>
      <c r="C224" s="18">
        <v>1</v>
      </c>
      <c r="D224" s="18">
        <v>0</v>
      </c>
      <c r="E224" s="18">
        <v>2</v>
      </c>
      <c r="F224" s="18">
        <v>12</v>
      </c>
      <c r="G224" s="18" t="b">
        <v>0</v>
      </c>
      <c r="H224" s="18">
        <v>1</v>
      </c>
      <c r="I224" s="18">
        <v>2</v>
      </c>
      <c r="J224" s="18">
        <v>0.32</v>
      </c>
      <c r="K224" s="18">
        <v>0.34849999999999998</v>
      </c>
      <c r="L224" s="18">
        <v>0.62</v>
      </c>
      <c r="M224" s="18">
        <v>0</v>
      </c>
      <c r="N224" s="18">
        <v>7</v>
      </c>
      <c r="O224" s="18">
        <v>59</v>
      </c>
      <c r="P224" s="18">
        <v>66</v>
      </c>
    </row>
    <row r="225" spans="1:16" x14ac:dyDescent="0.25">
      <c r="A225" s="18">
        <v>843</v>
      </c>
      <c r="B225" s="17">
        <v>40581</v>
      </c>
      <c r="C225" s="18">
        <v>1</v>
      </c>
      <c r="D225" s="18">
        <v>0</v>
      </c>
      <c r="E225" s="18">
        <v>2</v>
      </c>
      <c r="F225" s="18">
        <v>13</v>
      </c>
      <c r="G225" s="18" t="b">
        <v>0</v>
      </c>
      <c r="H225" s="18">
        <v>1</v>
      </c>
      <c r="I225" s="18">
        <v>2</v>
      </c>
      <c r="J225" s="18">
        <v>0.36</v>
      </c>
      <c r="K225" s="18">
        <v>0.36359999999999998</v>
      </c>
      <c r="L225" s="18">
        <v>0.56999999999999995</v>
      </c>
      <c r="M225" s="18">
        <v>8.9599999999999999E-2</v>
      </c>
      <c r="N225" s="18">
        <v>10</v>
      </c>
      <c r="O225" s="18">
        <v>54</v>
      </c>
      <c r="P225" s="18">
        <v>64</v>
      </c>
    </row>
    <row r="226" spans="1:16" x14ac:dyDescent="0.25">
      <c r="A226" s="18">
        <v>844</v>
      </c>
      <c r="B226" s="17">
        <v>40581</v>
      </c>
      <c r="C226" s="18">
        <v>1</v>
      </c>
      <c r="D226" s="18">
        <v>0</v>
      </c>
      <c r="E226" s="18">
        <v>2</v>
      </c>
      <c r="F226" s="18">
        <v>14</v>
      </c>
      <c r="G226" s="18" t="b">
        <v>0</v>
      </c>
      <c r="H226" s="18">
        <v>1</v>
      </c>
      <c r="I226" s="18">
        <v>2</v>
      </c>
      <c r="J226" s="18">
        <v>0.36</v>
      </c>
      <c r="K226" s="18">
        <v>0.36359999999999998</v>
      </c>
      <c r="L226" s="18">
        <v>0.56999999999999995</v>
      </c>
      <c r="M226" s="18">
        <v>8.9599999999999999E-2</v>
      </c>
      <c r="N226" s="18">
        <v>8</v>
      </c>
      <c r="O226" s="18">
        <v>52</v>
      </c>
      <c r="P226" s="18">
        <v>60</v>
      </c>
    </row>
    <row r="227" spans="1:16" x14ac:dyDescent="0.25">
      <c r="A227" s="18">
        <v>845</v>
      </c>
      <c r="B227" s="17">
        <v>40581</v>
      </c>
      <c r="C227" s="18">
        <v>1</v>
      </c>
      <c r="D227" s="18">
        <v>0</v>
      </c>
      <c r="E227" s="18">
        <v>2</v>
      </c>
      <c r="F227" s="18">
        <v>15</v>
      </c>
      <c r="G227" s="18" t="b">
        <v>0</v>
      </c>
      <c r="H227" s="18">
        <v>1</v>
      </c>
      <c r="I227" s="18">
        <v>2</v>
      </c>
      <c r="J227" s="18">
        <v>0.38</v>
      </c>
      <c r="K227" s="18">
        <v>0.39389999999999997</v>
      </c>
      <c r="L227" s="18">
        <v>0.54</v>
      </c>
      <c r="M227" s="18">
        <v>8.9599999999999999E-2</v>
      </c>
      <c r="N227" s="18">
        <v>4</v>
      </c>
      <c r="O227" s="18">
        <v>46</v>
      </c>
      <c r="P227" s="18">
        <v>50</v>
      </c>
    </row>
    <row r="228" spans="1:16" x14ac:dyDescent="0.25">
      <c r="A228" s="18">
        <v>846</v>
      </c>
      <c r="B228" s="17">
        <v>40581</v>
      </c>
      <c r="C228" s="18">
        <v>1</v>
      </c>
      <c r="D228" s="18">
        <v>0</v>
      </c>
      <c r="E228" s="18">
        <v>2</v>
      </c>
      <c r="F228" s="18">
        <v>16</v>
      </c>
      <c r="G228" s="18" t="b">
        <v>0</v>
      </c>
      <c r="H228" s="18">
        <v>1</v>
      </c>
      <c r="I228" s="18">
        <v>2</v>
      </c>
      <c r="J228" s="18">
        <v>0.36</v>
      </c>
      <c r="K228" s="18">
        <v>0.34849999999999998</v>
      </c>
      <c r="L228" s="18">
        <v>0.56999999999999995</v>
      </c>
      <c r="M228" s="18">
        <v>0.1343</v>
      </c>
      <c r="N228" s="18">
        <v>16</v>
      </c>
      <c r="O228" s="18">
        <v>98</v>
      </c>
      <c r="P228" s="18">
        <v>114</v>
      </c>
    </row>
    <row r="229" spans="1:16" x14ac:dyDescent="0.25">
      <c r="A229" s="18">
        <v>847</v>
      </c>
      <c r="B229" s="17">
        <v>40581</v>
      </c>
      <c r="C229" s="18">
        <v>1</v>
      </c>
      <c r="D229" s="18">
        <v>0</v>
      </c>
      <c r="E229" s="18">
        <v>2</v>
      </c>
      <c r="F229" s="18">
        <v>17</v>
      </c>
      <c r="G229" s="18" t="b">
        <v>0</v>
      </c>
      <c r="H229" s="18">
        <v>1</v>
      </c>
      <c r="I229" s="18">
        <v>2</v>
      </c>
      <c r="J229" s="18">
        <v>0.32</v>
      </c>
      <c r="K229" s="18">
        <v>0.31819999999999998</v>
      </c>
      <c r="L229" s="18">
        <v>0.7</v>
      </c>
      <c r="M229" s="18">
        <v>0.16420000000000001</v>
      </c>
      <c r="N229" s="18">
        <v>9</v>
      </c>
      <c r="O229" s="18">
        <v>207</v>
      </c>
      <c r="P229" s="18">
        <v>216</v>
      </c>
    </row>
    <row r="230" spans="1:16" x14ac:dyDescent="0.25">
      <c r="A230" s="18">
        <v>848</v>
      </c>
      <c r="B230" s="17">
        <v>40581</v>
      </c>
      <c r="C230" s="18">
        <v>1</v>
      </c>
      <c r="D230" s="18">
        <v>0</v>
      </c>
      <c r="E230" s="18">
        <v>2</v>
      </c>
      <c r="F230" s="18">
        <v>18</v>
      </c>
      <c r="G230" s="18" t="b">
        <v>0</v>
      </c>
      <c r="H230" s="18">
        <v>1</v>
      </c>
      <c r="I230" s="18">
        <v>2</v>
      </c>
      <c r="J230" s="18">
        <v>0.34</v>
      </c>
      <c r="K230" s="18">
        <v>0.33329999999999999</v>
      </c>
      <c r="L230" s="18">
        <v>0.66</v>
      </c>
      <c r="M230" s="18">
        <v>0.1343</v>
      </c>
      <c r="N230" s="18">
        <v>5</v>
      </c>
      <c r="O230" s="18">
        <v>170</v>
      </c>
      <c r="P230" s="18">
        <v>175</v>
      </c>
    </row>
    <row r="231" spans="1:16" x14ac:dyDescent="0.25">
      <c r="A231" s="18">
        <v>849</v>
      </c>
      <c r="B231" s="17">
        <v>40581</v>
      </c>
      <c r="C231" s="18">
        <v>1</v>
      </c>
      <c r="D231" s="18">
        <v>0</v>
      </c>
      <c r="E231" s="18">
        <v>2</v>
      </c>
      <c r="F231" s="18">
        <v>19</v>
      </c>
      <c r="G231" s="18" t="b">
        <v>0</v>
      </c>
      <c r="H231" s="18">
        <v>1</v>
      </c>
      <c r="I231" s="18">
        <v>2</v>
      </c>
      <c r="J231" s="18">
        <v>0.32</v>
      </c>
      <c r="K231" s="18">
        <v>0.34849999999999998</v>
      </c>
      <c r="L231" s="18">
        <v>0.7</v>
      </c>
      <c r="M231" s="18">
        <v>0</v>
      </c>
      <c r="N231" s="18">
        <v>5</v>
      </c>
      <c r="O231" s="18">
        <v>123</v>
      </c>
      <c r="P231" s="18">
        <v>128</v>
      </c>
    </row>
    <row r="232" spans="1:16" x14ac:dyDescent="0.25">
      <c r="A232" s="18">
        <v>850</v>
      </c>
      <c r="B232" s="17">
        <v>40581</v>
      </c>
      <c r="C232" s="18">
        <v>1</v>
      </c>
      <c r="D232" s="18">
        <v>0</v>
      </c>
      <c r="E232" s="18">
        <v>2</v>
      </c>
      <c r="F232" s="18">
        <v>20</v>
      </c>
      <c r="G232" s="18" t="b">
        <v>0</v>
      </c>
      <c r="H232" s="18">
        <v>1</v>
      </c>
      <c r="I232" s="18">
        <v>2</v>
      </c>
      <c r="J232" s="18">
        <v>0.32</v>
      </c>
      <c r="K232" s="18">
        <v>0.33329999999999999</v>
      </c>
      <c r="L232" s="18">
        <v>0.7</v>
      </c>
      <c r="M232" s="18">
        <v>0.1045</v>
      </c>
      <c r="N232" s="18">
        <v>6</v>
      </c>
      <c r="O232" s="18">
        <v>82</v>
      </c>
      <c r="P232" s="18">
        <v>88</v>
      </c>
    </row>
    <row r="233" spans="1:16" x14ac:dyDescent="0.25">
      <c r="A233" s="18">
        <v>851</v>
      </c>
      <c r="B233" s="17">
        <v>40581</v>
      </c>
      <c r="C233" s="18">
        <v>1</v>
      </c>
      <c r="D233" s="18">
        <v>0</v>
      </c>
      <c r="E233" s="18">
        <v>2</v>
      </c>
      <c r="F233" s="18">
        <v>21</v>
      </c>
      <c r="G233" s="18" t="b">
        <v>0</v>
      </c>
      <c r="H233" s="18">
        <v>1</v>
      </c>
      <c r="I233" s="18">
        <v>1</v>
      </c>
      <c r="J233" s="18">
        <v>0.32</v>
      </c>
      <c r="K233" s="18">
        <v>0.34849999999999998</v>
      </c>
      <c r="L233" s="18">
        <v>0.7</v>
      </c>
      <c r="M233" s="18">
        <v>0</v>
      </c>
      <c r="N233" s="18">
        <v>3</v>
      </c>
      <c r="O233" s="18">
        <v>75</v>
      </c>
      <c r="P233" s="18">
        <v>78</v>
      </c>
    </row>
    <row r="234" spans="1:16" x14ac:dyDescent="0.25">
      <c r="A234" s="18">
        <v>852</v>
      </c>
      <c r="B234" s="17">
        <v>40581</v>
      </c>
      <c r="C234" s="18">
        <v>1</v>
      </c>
      <c r="D234" s="18">
        <v>0</v>
      </c>
      <c r="E234" s="18">
        <v>2</v>
      </c>
      <c r="F234" s="18">
        <v>22</v>
      </c>
      <c r="G234" s="18" t="b">
        <v>0</v>
      </c>
      <c r="H234" s="18">
        <v>1</v>
      </c>
      <c r="I234" s="18">
        <v>1</v>
      </c>
      <c r="J234" s="18">
        <v>0.28000000000000003</v>
      </c>
      <c r="K234" s="18">
        <v>0.30299999999999999</v>
      </c>
      <c r="L234" s="18">
        <v>0.81</v>
      </c>
      <c r="M234" s="18">
        <v>8.9599999999999999E-2</v>
      </c>
      <c r="N234" s="18">
        <v>3</v>
      </c>
      <c r="O234" s="18">
        <v>34</v>
      </c>
      <c r="P234" s="18">
        <v>37</v>
      </c>
    </row>
    <row r="235" spans="1:16" x14ac:dyDescent="0.25">
      <c r="A235" s="18">
        <v>853</v>
      </c>
      <c r="B235" s="17">
        <v>40581</v>
      </c>
      <c r="C235" s="18">
        <v>1</v>
      </c>
      <c r="D235" s="18">
        <v>0</v>
      </c>
      <c r="E235" s="18">
        <v>2</v>
      </c>
      <c r="F235" s="18">
        <v>23</v>
      </c>
      <c r="G235" s="18" t="b">
        <v>0</v>
      </c>
      <c r="H235" s="18">
        <v>1</v>
      </c>
      <c r="I235" s="18">
        <v>2</v>
      </c>
      <c r="J235" s="18">
        <v>0.3</v>
      </c>
      <c r="K235" s="18">
        <v>0.33329999999999999</v>
      </c>
      <c r="L235" s="18">
        <v>0.81</v>
      </c>
      <c r="M235" s="18">
        <v>0</v>
      </c>
      <c r="N235" s="18">
        <v>6</v>
      </c>
      <c r="O235" s="18">
        <v>19</v>
      </c>
      <c r="P235" s="18">
        <v>25</v>
      </c>
    </row>
    <row r="236" spans="1:16" x14ac:dyDescent="0.25">
      <c r="A236" s="18">
        <v>854</v>
      </c>
      <c r="B236" s="17">
        <v>40582</v>
      </c>
      <c r="C236" s="18">
        <v>1</v>
      </c>
      <c r="D236" s="18">
        <v>0</v>
      </c>
      <c r="E236" s="18">
        <v>2</v>
      </c>
      <c r="F236" s="18">
        <v>0</v>
      </c>
      <c r="G236" s="18" t="b">
        <v>0</v>
      </c>
      <c r="H236" s="18">
        <v>2</v>
      </c>
      <c r="I236" s="18">
        <v>2</v>
      </c>
      <c r="J236" s="18">
        <v>0.28000000000000003</v>
      </c>
      <c r="K236" s="18">
        <v>0.31819999999999998</v>
      </c>
      <c r="L236" s="18">
        <v>0.87</v>
      </c>
      <c r="M236" s="18">
        <v>0</v>
      </c>
      <c r="N236" s="18">
        <v>4</v>
      </c>
      <c r="O236" s="18">
        <v>6</v>
      </c>
      <c r="P236" s="18">
        <v>10</v>
      </c>
    </row>
    <row r="237" spans="1:16" x14ac:dyDescent="0.25">
      <c r="A237" s="18">
        <v>855</v>
      </c>
      <c r="B237" s="17">
        <v>40582</v>
      </c>
      <c r="C237" s="18">
        <v>1</v>
      </c>
      <c r="D237" s="18">
        <v>0</v>
      </c>
      <c r="E237" s="18">
        <v>2</v>
      </c>
      <c r="F237" s="18">
        <v>1</v>
      </c>
      <c r="G237" s="18" t="b">
        <v>0</v>
      </c>
      <c r="H237" s="18">
        <v>2</v>
      </c>
      <c r="I237" s="18">
        <v>2</v>
      </c>
      <c r="J237" s="18">
        <v>0.28000000000000003</v>
      </c>
      <c r="K237" s="18">
        <v>0.31819999999999998</v>
      </c>
      <c r="L237" s="18">
        <v>0.87</v>
      </c>
      <c r="M237" s="18">
        <v>0</v>
      </c>
      <c r="N237" s="18">
        <v>0</v>
      </c>
      <c r="O237" s="18">
        <v>4</v>
      </c>
      <c r="P237" s="18">
        <v>4</v>
      </c>
    </row>
    <row r="238" spans="1:16" x14ac:dyDescent="0.25">
      <c r="A238" s="18">
        <v>856</v>
      </c>
      <c r="B238" s="17">
        <v>40582</v>
      </c>
      <c r="C238" s="18">
        <v>1</v>
      </c>
      <c r="D238" s="18">
        <v>0</v>
      </c>
      <c r="E238" s="18">
        <v>2</v>
      </c>
      <c r="F238" s="18">
        <v>2</v>
      </c>
      <c r="G238" s="18" t="b">
        <v>0</v>
      </c>
      <c r="H238" s="18">
        <v>2</v>
      </c>
      <c r="I238" s="18">
        <v>2</v>
      </c>
      <c r="J238" s="18">
        <v>0.26</v>
      </c>
      <c r="K238" s="18">
        <v>0.2727</v>
      </c>
      <c r="L238" s="18">
        <v>0.93</v>
      </c>
      <c r="M238" s="18">
        <v>0.1045</v>
      </c>
      <c r="N238" s="18">
        <v>1</v>
      </c>
      <c r="O238" s="18">
        <v>1</v>
      </c>
      <c r="P238" s="18">
        <v>2</v>
      </c>
    </row>
    <row r="239" spans="1:16" x14ac:dyDescent="0.25">
      <c r="A239" s="18">
        <v>857</v>
      </c>
      <c r="B239" s="17">
        <v>40582</v>
      </c>
      <c r="C239" s="18">
        <v>1</v>
      </c>
      <c r="D239" s="18">
        <v>0</v>
      </c>
      <c r="E239" s="18">
        <v>2</v>
      </c>
      <c r="F239" s="18">
        <v>3</v>
      </c>
      <c r="G239" s="18" t="b">
        <v>0</v>
      </c>
      <c r="H239" s="18">
        <v>2</v>
      </c>
      <c r="I239" s="18">
        <v>3</v>
      </c>
      <c r="J239" s="18">
        <v>0.28000000000000003</v>
      </c>
      <c r="K239" s="18">
        <v>0.2727</v>
      </c>
      <c r="L239" s="18">
        <v>0.93</v>
      </c>
      <c r="M239" s="18">
        <v>0.16420000000000001</v>
      </c>
      <c r="N239" s="18">
        <v>0</v>
      </c>
      <c r="O239" s="18">
        <v>1</v>
      </c>
      <c r="P239" s="18">
        <v>1</v>
      </c>
    </row>
    <row r="240" spans="1:16" x14ac:dyDescent="0.25">
      <c r="A240" s="18">
        <v>858</v>
      </c>
      <c r="B240" s="17">
        <v>40582</v>
      </c>
      <c r="C240" s="18">
        <v>1</v>
      </c>
      <c r="D240" s="18">
        <v>0</v>
      </c>
      <c r="E240" s="18">
        <v>2</v>
      </c>
      <c r="F240" s="18">
        <v>4</v>
      </c>
      <c r="G240" s="18" t="b">
        <v>0</v>
      </c>
      <c r="H240" s="18">
        <v>2</v>
      </c>
      <c r="I240" s="18">
        <v>1</v>
      </c>
      <c r="J240" s="18">
        <v>0.26</v>
      </c>
      <c r="K240" s="18">
        <v>0.2576</v>
      </c>
      <c r="L240" s="18">
        <v>0.93</v>
      </c>
      <c r="M240" s="18">
        <v>0.16420000000000001</v>
      </c>
      <c r="N240" s="18">
        <v>0</v>
      </c>
      <c r="O240" s="18">
        <v>3</v>
      </c>
      <c r="P240" s="18">
        <v>3</v>
      </c>
    </row>
    <row r="241" spans="1:16" x14ac:dyDescent="0.25">
      <c r="A241" s="18">
        <v>859</v>
      </c>
      <c r="B241" s="17">
        <v>40582</v>
      </c>
      <c r="C241" s="18">
        <v>1</v>
      </c>
      <c r="D241" s="18">
        <v>0</v>
      </c>
      <c r="E241" s="18">
        <v>2</v>
      </c>
      <c r="F241" s="18">
        <v>5</v>
      </c>
      <c r="G241" s="18" t="b">
        <v>0</v>
      </c>
      <c r="H241" s="18">
        <v>2</v>
      </c>
      <c r="I241" s="18">
        <v>1</v>
      </c>
      <c r="J241" s="18">
        <v>0.26</v>
      </c>
      <c r="K241" s="18">
        <v>0.2273</v>
      </c>
      <c r="L241" s="18">
        <v>0.81</v>
      </c>
      <c r="M241" s="18">
        <v>0.32840000000000003</v>
      </c>
      <c r="N241" s="18">
        <v>0</v>
      </c>
      <c r="O241" s="18">
        <v>2</v>
      </c>
      <c r="P241" s="18">
        <v>2</v>
      </c>
    </row>
    <row r="242" spans="1:16" x14ac:dyDescent="0.25">
      <c r="A242" s="18">
        <v>860</v>
      </c>
      <c r="B242" s="17">
        <v>40582</v>
      </c>
      <c r="C242" s="18">
        <v>1</v>
      </c>
      <c r="D242" s="18">
        <v>0</v>
      </c>
      <c r="E242" s="18">
        <v>2</v>
      </c>
      <c r="F242" s="18">
        <v>6</v>
      </c>
      <c r="G242" s="18" t="b">
        <v>0</v>
      </c>
      <c r="H242" s="18">
        <v>2</v>
      </c>
      <c r="I242" s="18">
        <v>1</v>
      </c>
      <c r="J242" s="18">
        <v>0.26</v>
      </c>
      <c r="K242" s="18">
        <v>0.2273</v>
      </c>
      <c r="L242" s="18">
        <v>0.7</v>
      </c>
      <c r="M242" s="18">
        <v>0.32840000000000003</v>
      </c>
      <c r="N242" s="18">
        <v>0</v>
      </c>
      <c r="O242" s="18">
        <v>39</v>
      </c>
      <c r="P242" s="18">
        <v>39</v>
      </c>
    </row>
    <row r="243" spans="1:16" x14ac:dyDescent="0.25">
      <c r="A243" s="18">
        <v>861</v>
      </c>
      <c r="B243" s="17">
        <v>40582</v>
      </c>
      <c r="C243" s="18">
        <v>1</v>
      </c>
      <c r="D243" s="18">
        <v>0</v>
      </c>
      <c r="E243" s="18">
        <v>2</v>
      </c>
      <c r="F243" s="18">
        <v>7</v>
      </c>
      <c r="G243" s="18" t="b">
        <v>0</v>
      </c>
      <c r="H243" s="18">
        <v>2</v>
      </c>
      <c r="I243" s="18">
        <v>1</v>
      </c>
      <c r="J243" s="18">
        <v>0.24</v>
      </c>
      <c r="K243" s="18">
        <v>0.19700000000000001</v>
      </c>
      <c r="L243" s="18">
        <v>0.65</v>
      </c>
      <c r="M243" s="18">
        <v>0.41789999999999999</v>
      </c>
      <c r="N243" s="18">
        <v>3</v>
      </c>
      <c r="O243" s="18">
        <v>97</v>
      </c>
      <c r="P243" s="18">
        <v>100</v>
      </c>
    </row>
    <row r="244" spans="1:16" x14ac:dyDescent="0.25">
      <c r="A244" s="18">
        <v>862</v>
      </c>
      <c r="B244" s="17">
        <v>40582</v>
      </c>
      <c r="C244" s="18">
        <v>1</v>
      </c>
      <c r="D244" s="18">
        <v>0</v>
      </c>
      <c r="E244" s="18">
        <v>2</v>
      </c>
      <c r="F244" s="18">
        <v>8</v>
      </c>
      <c r="G244" s="18" t="b">
        <v>0</v>
      </c>
      <c r="H244" s="18">
        <v>2</v>
      </c>
      <c r="I244" s="18">
        <v>1</v>
      </c>
      <c r="J244" s="18">
        <v>0.24</v>
      </c>
      <c r="K244" s="18">
        <v>0.19700000000000001</v>
      </c>
      <c r="L244" s="18">
        <v>0.56000000000000005</v>
      </c>
      <c r="M244" s="18">
        <v>0.49249999999999999</v>
      </c>
      <c r="N244" s="18">
        <v>7</v>
      </c>
      <c r="O244" s="18">
        <v>236</v>
      </c>
      <c r="P244" s="18">
        <v>243</v>
      </c>
    </row>
    <row r="245" spans="1:16" x14ac:dyDescent="0.25">
      <c r="A245" s="18">
        <v>863</v>
      </c>
      <c r="B245" s="17">
        <v>40582</v>
      </c>
      <c r="C245" s="18">
        <v>1</v>
      </c>
      <c r="D245" s="18">
        <v>0</v>
      </c>
      <c r="E245" s="18">
        <v>2</v>
      </c>
      <c r="F245" s="18">
        <v>9</v>
      </c>
      <c r="G245" s="18" t="b">
        <v>0</v>
      </c>
      <c r="H245" s="18">
        <v>2</v>
      </c>
      <c r="I245" s="18">
        <v>1</v>
      </c>
      <c r="J245" s="18">
        <v>0.24</v>
      </c>
      <c r="K245" s="18">
        <v>0.19700000000000001</v>
      </c>
      <c r="L245" s="18">
        <v>0.52</v>
      </c>
      <c r="M245" s="18">
        <v>0.49249999999999999</v>
      </c>
      <c r="N245" s="18">
        <v>7</v>
      </c>
      <c r="O245" s="18">
        <v>128</v>
      </c>
      <c r="P245" s="18">
        <v>135</v>
      </c>
    </row>
    <row r="246" spans="1:16" x14ac:dyDescent="0.25">
      <c r="A246" s="18">
        <v>864</v>
      </c>
      <c r="B246" s="17">
        <v>40582</v>
      </c>
      <c r="C246" s="18">
        <v>1</v>
      </c>
      <c r="D246" s="18">
        <v>0</v>
      </c>
      <c r="E246" s="18">
        <v>2</v>
      </c>
      <c r="F246" s="18">
        <v>10</v>
      </c>
      <c r="G246" s="18" t="b">
        <v>0</v>
      </c>
      <c r="H246" s="18">
        <v>2</v>
      </c>
      <c r="I246" s="18">
        <v>1</v>
      </c>
      <c r="J246" s="18">
        <v>0.22</v>
      </c>
      <c r="K246" s="18">
        <v>0.18179999999999999</v>
      </c>
      <c r="L246" s="18">
        <v>0.47</v>
      </c>
      <c r="M246" s="18">
        <v>0.55220000000000002</v>
      </c>
      <c r="N246" s="18">
        <v>4</v>
      </c>
      <c r="O246" s="18">
        <v>44</v>
      </c>
      <c r="P246" s="18">
        <v>48</v>
      </c>
    </row>
    <row r="247" spans="1:16" x14ac:dyDescent="0.25">
      <c r="A247" s="18">
        <v>865</v>
      </c>
      <c r="B247" s="17">
        <v>40582</v>
      </c>
      <c r="C247" s="18">
        <v>1</v>
      </c>
      <c r="D247" s="18">
        <v>0</v>
      </c>
      <c r="E247" s="18">
        <v>2</v>
      </c>
      <c r="F247" s="18">
        <v>11</v>
      </c>
      <c r="G247" s="18" t="b">
        <v>0</v>
      </c>
      <c r="H247" s="18">
        <v>2</v>
      </c>
      <c r="I247" s="18">
        <v>1</v>
      </c>
      <c r="J247" s="18">
        <v>0.22</v>
      </c>
      <c r="K247" s="18">
        <v>0.18179999999999999</v>
      </c>
      <c r="L247" s="18">
        <v>0.47</v>
      </c>
      <c r="M247" s="18">
        <v>0.4627</v>
      </c>
      <c r="N247" s="18">
        <v>1</v>
      </c>
      <c r="O247" s="18">
        <v>49</v>
      </c>
      <c r="P247" s="18">
        <v>50</v>
      </c>
    </row>
    <row r="248" spans="1:16" x14ac:dyDescent="0.25">
      <c r="A248" s="18">
        <v>866</v>
      </c>
      <c r="B248" s="17">
        <v>40582</v>
      </c>
      <c r="C248" s="18">
        <v>1</v>
      </c>
      <c r="D248" s="18">
        <v>0</v>
      </c>
      <c r="E248" s="18">
        <v>2</v>
      </c>
      <c r="F248" s="18">
        <v>12</v>
      </c>
      <c r="G248" s="18" t="b">
        <v>0</v>
      </c>
      <c r="H248" s="18">
        <v>2</v>
      </c>
      <c r="I248" s="18">
        <v>1</v>
      </c>
      <c r="J248" s="18">
        <v>0.24</v>
      </c>
      <c r="K248" s="18">
        <v>0.19700000000000001</v>
      </c>
      <c r="L248" s="18">
        <v>0.38</v>
      </c>
      <c r="M248" s="18">
        <v>0.49249999999999999</v>
      </c>
      <c r="N248" s="18">
        <v>2</v>
      </c>
      <c r="O248" s="18">
        <v>63</v>
      </c>
      <c r="P248" s="18">
        <v>65</v>
      </c>
    </row>
    <row r="249" spans="1:16" x14ac:dyDescent="0.25">
      <c r="A249" s="18">
        <v>867</v>
      </c>
      <c r="B249" s="17">
        <v>40582</v>
      </c>
      <c r="C249" s="18">
        <v>1</v>
      </c>
      <c r="D249" s="18">
        <v>0</v>
      </c>
      <c r="E249" s="18">
        <v>2</v>
      </c>
      <c r="F249" s="18">
        <v>13</v>
      </c>
      <c r="G249" s="18" t="b">
        <v>0</v>
      </c>
      <c r="H249" s="18">
        <v>2</v>
      </c>
      <c r="I249" s="18">
        <v>2</v>
      </c>
      <c r="J249" s="18">
        <v>0.24</v>
      </c>
      <c r="K249" s="18">
        <v>0.19700000000000001</v>
      </c>
      <c r="L249" s="18">
        <v>0.32</v>
      </c>
      <c r="M249" s="18">
        <v>0.44779999999999998</v>
      </c>
      <c r="N249" s="18">
        <v>2</v>
      </c>
      <c r="O249" s="18">
        <v>48</v>
      </c>
      <c r="P249" s="18">
        <v>50</v>
      </c>
    </row>
    <row r="250" spans="1:16" x14ac:dyDescent="0.25">
      <c r="A250" s="18">
        <v>868</v>
      </c>
      <c r="B250" s="17">
        <v>40582</v>
      </c>
      <c r="C250" s="18">
        <v>1</v>
      </c>
      <c r="D250" s="18">
        <v>0</v>
      </c>
      <c r="E250" s="18">
        <v>2</v>
      </c>
      <c r="F250" s="18">
        <v>14</v>
      </c>
      <c r="G250" s="18" t="b">
        <v>0</v>
      </c>
      <c r="H250" s="18">
        <v>2</v>
      </c>
      <c r="I250" s="18">
        <v>1</v>
      </c>
      <c r="J250" s="18">
        <v>0.22</v>
      </c>
      <c r="K250" s="18">
        <v>0.19700000000000001</v>
      </c>
      <c r="L250" s="18">
        <v>0.37</v>
      </c>
      <c r="M250" s="18">
        <v>0.41789999999999999</v>
      </c>
      <c r="N250" s="18">
        <v>3</v>
      </c>
      <c r="O250" s="18">
        <v>61</v>
      </c>
      <c r="P250" s="18">
        <v>64</v>
      </c>
    </row>
    <row r="251" spans="1:16" x14ac:dyDescent="0.25">
      <c r="A251" s="18">
        <v>869</v>
      </c>
      <c r="B251" s="17">
        <v>40582</v>
      </c>
      <c r="C251" s="18">
        <v>1</v>
      </c>
      <c r="D251" s="18">
        <v>0</v>
      </c>
      <c r="E251" s="18">
        <v>2</v>
      </c>
      <c r="F251" s="18">
        <v>15</v>
      </c>
      <c r="G251" s="18" t="b">
        <v>0</v>
      </c>
      <c r="H251" s="18">
        <v>2</v>
      </c>
      <c r="I251" s="18">
        <v>1</v>
      </c>
      <c r="J251" s="18">
        <v>0.22</v>
      </c>
      <c r="K251" s="18">
        <v>0.19700000000000001</v>
      </c>
      <c r="L251" s="18">
        <v>0.35</v>
      </c>
      <c r="M251" s="18">
        <v>0.3881</v>
      </c>
      <c r="N251" s="18">
        <v>6</v>
      </c>
      <c r="O251" s="18">
        <v>45</v>
      </c>
      <c r="P251" s="18">
        <v>51</v>
      </c>
    </row>
    <row r="252" spans="1:16" x14ac:dyDescent="0.25">
      <c r="A252" s="18">
        <v>870</v>
      </c>
      <c r="B252" s="17">
        <v>40582</v>
      </c>
      <c r="C252" s="18">
        <v>1</v>
      </c>
      <c r="D252" s="18">
        <v>0</v>
      </c>
      <c r="E252" s="18">
        <v>2</v>
      </c>
      <c r="F252" s="18">
        <v>16</v>
      </c>
      <c r="G252" s="18" t="b">
        <v>0</v>
      </c>
      <c r="H252" s="18">
        <v>2</v>
      </c>
      <c r="I252" s="18">
        <v>1</v>
      </c>
      <c r="J252" s="18">
        <v>0.22</v>
      </c>
      <c r="K252" s="18">
        <v>0.18179999999999999</v>
      </c>
      <c r="L252" s="18">
        <v>0.35</v>
      </c>
      <c r="M252" s="18">
        <v>0.52239999999999998</v>
      </c>
      <c r="N252" s="18">
        <v>4</v>
      </c>
      <c r="O252" s="18">
        <v>79</v>
      </c>
      <c r="P252" s="18">
        <v>83</v>
      </c>
    </row>
    <row r="253" spans="1:16" x14ac:dyDescent="0.25">
      <c r="A253" s="18">
        <v>871</v>
      </c>
      <c r="B253" s="17">
        <v>40582</v>
      </c>
      <c r="C253" s="18">
        <v>1</v>
      </c>
      <c r="D253" s="18">
        <v>0</v>
      </c>
      <c r="E253" s="18">
        <v>2</v>
      </c>
      <c r="F253" s="18">
        <v>17</v>
      </c>
      <c r="G253" s="18" t="b">
        <v>0</v>
      </c>
      <c r="H253" s="18">
        <v>2</v>
      </c>
      <c r="I253" s="18">
        <v>1</v>
      </c>
      <c r="J253" s="18">
        <v>0.22</v>
      </c>
      <c r="K253" s="18">
        <v>0.18179999999999999</v>
      </c>
      <c r="L253" s="18">
        <v>0.32</v>
      </c>
      <c r="M253" s="18">
        <v>0.58209999999999995</v>
      </c>
      <c r="N253" s="18">
        <v>4</v>
      </c>
      <c r="O253" s="18">
        <v>172</v>
      </c>
      <c r="P253" s="18">
        <v>176</v>
      </c>
    </row>
    <row r="254" spans="1:16" x14ac:dyDescent="0.25">
      <c r="A254" s="18">
        <v>872</v>
      </c>
      <c r="B254" s="17">
        <v>40582</v>
      </c>
      <c r="C254" s="18">
        <v>1</v>
      </c>
      <c r="D254" s="18">
        <v>0</v>
      </c>
      <c r="E254" s="18">
        <v>2</v>
      </c>
      <c r="F254" s="18">
        <v>18</v>
      </c>
      <c r="G254" s="18" t="b">
        <v>0</v>
      </c>
      <c r="H254" s="18">
        <v>2</v>
      </c>
      <c r="I254" s="18">
        <v>1</v>
      </c>
      <c r="J254" s="18">
        <v>0.2</v>
      </c>
      <c r="K254" s="18">
        <v>0.18179999999999999</v>
      </c>
      <c r="L254" s="18">
        <v>0.32</v>
      </c>
      <c r="M254" s="18">
        <v>0.3881</v>
      </c>
      <c r="N254" s="18">
        <v>1</v>
      </c>
      <c r="O254" s="18">
        <v>151</v>
      </c>
      <c r="P254" s="18">
        <v>152</v>
      </c>
    </row>
    <row r="255" spans="1:16" x14ac:dyDescent="0.25">
      <c r="A255" s="18">
        <v>873</v>
      </c>
      <c r="B255" s="17">
        <v>40582</v>
      </c>
      <c r="C255" s="18">
        <v>1</v>
      </c>
      <c r="D255" s="18">
        <v>0</v>
      </c>
      <c r="E255" s="18">
        <v>2</v>
      </c>
      <c r="F255" s="18">
        <v>19</v>
      </c>
      <c r="G255" s="18" t="b">
        <v>0</v>
      </c>
      <c r="H255" s="18">
        <v>2</v>
      </c>
      <c r="I255" s="18">
        <v>1</v>
      </c>
      <c r="J255" s="18">
        <v>0.16</v>
      </c>
      <c r="K255" s="18">
        <v>0.1212</v>
      </c>
      <c r="L255" s="18">
        <v>0.4</v>
      </c>
      <c r="M255" s="18">
        <v>0.4627</v>
      </c>
      <c r="N255" s="18">
        <v>1</v>
      </c>
      <c r="O255" s="18">
        <v>100</v>
      </c>
      <c r="P255" s="18">
        <v>101</v>
      </c>
    </row>
    <row r="256" spans="1:16" x14ac:dyDescent="0.25">
      <c r="A256" s="18">
        <v>874</v>
      </c>
      <c r="B256" s="17">
        <v>40582</v>
      </c>
      <c r="C256" s="18">
        <v>1</v>
      </c>
      <c r="D256" s="18">
        <v>0</v>
      </c>
      <c r="E256" s="18">
        <v>2</v>
      </c>
      <c r="F256" s="18">
        <v>20</v>
      </c>
      <c r="G256" s="18" t="b">
        <v>0</v>
      </c>
      <c r="H256" s="18">
        <v>2</v>
      </c>
      <c r="I256" s="18">
        <v>1</v>
      </c>
      <c r="J256" s="18">
        <v>0.16</v>
      </c>
      <c r="K256" s="18">
        <v>0.13639999999999999</v>
      </c>
      <c r="L256" s="18">
        <v>0.4</v>
      </c>
      <c r="M256" s="18">
        <v>0.32840000000000003</v>
      </c>
      <c r="N256" s="18">
        <v>3</v>
      </c>
      <c r="O256" s="18">
        <v>53</v>
      </c>
      <c r="P256" s="18">
        <v>56</v>
      </c>
    </row>
    <row r="257" spans="1:16" x14ac:dyDescent="0.25">
      <c r="A257" s="18">
        <v>875</v>
      </c>
      <c r="B257" s="17">
        <v>40582</v>
      </c>
      <c r="C257" s="18">
        <v>1</v>
      </c>
      <c r="D257" s="18">
        <v>0</v>
      </c>
      <c r="E257" s="18">
        <v>2</v>
      </c>
      <c r="F257" s="18">
        <v>21</v>
      </c>
      <c r="G257" s="18" t="b">
        <v>0</v>
      </c>
      <c r="H257" s="18">
        <v>2</v>
      </c>
      <c r="I257" s="18">
        <v>1</v>
      </c>
      <c r="J257" s="18">
        <v>0.14000000000000001</v>
      </c>
      <c r="K257" s="18">
        <v>0.1061</v>
      </c>
      <c r="L257" s="18">
        <v>0.33</v>
      </c>
      <c r="M257" s="18">
        <v>0.4627</v>
      </c>
      <c r="N257" s="18">
        <v>8</v>
      </c>
      <c r="O257" s="18">
        <v>46</v>
      </c>
      <c r="P257" s="18">
        <v>54</v>
      </c>
    </row>
    <row r="258" spans="1:16" x14ac:dyDescent="0.25">
      <c r="A258" s="18">
        <v>876</v>
      </c>
      <c r="B258" s="17">
        <v>40582</v>
      </c>
      <c r="C258" s="18">
        <v>1</v>
      </c>
      <c r="D258" s="18">
        <v>0</v>
      </c>
      <c r="E258" s="18">
        <v>2</v>
      </c>
      <c r="F258" s="18">
        <v>22</v>
      </c>
      <c r="G258" s="18" t="b">
        <v>0</v>
      </c>
      <c r="H258" s="18">
        <v>2</v>
      </c>
      <c r="I258" s="18">
        <v>1</v>
      </c>
      <c r="J258" s="18">
        <v>0.12</v>
      </c>
      <c r="K258" s="18">
        <v>0.1061</v>
      </c>
      <c r="L258" s="18">
        <v>0.33</v>
      </c>
      <c r="M258" s="18">
        <v>0.35820000000000002</v>
      </c>
      <c r="N258" s="18">
        <v>0</v>
      </c>
      <c r="O258" s="18">
        <v>29</v>
      </c>
      <c r="P258" s="18">
        <v>29</v>
      </c>
    </row>
    <row r="259" spans="1:16" x14ac:dyDescent="0.25">
      <c r="A259" s="18">
        <v>877</v>
      </c>
      <c r="B259" s="17">
        <v>40582</v>
      </c>
      <c r="C259" s="18">
        <v>1</v>
      </c>
      <c r="D259" s="18">
        <v>0</v>
      </c>
      <c r="E259" s="18">
        <v>2</v>
      </c>
      <c r="F259" s="18">
        <v>23</v>
      </c>
      <c r="G259" s="18" t="b">
        <v>0</v>
      </c>
      <c r="H259" s="18">
        <v>2</v>
      </c>
      <c r="I259" s="18">
        <v>1</v>
      </c>
      <c r="J259" s="18">
        <v>0.12</v>
      </c>
      <c r="K259" s="18">
        <v>0.1061</v>
      </c>
      <c r="L259" s="18">
        <v>0.33</v>
      </c>
      <c r="M259" s="18">
        <v>0.32840000000000003</v>
      </c>
      <c r="N259" s="18">
        <v>3</v>
      </c>
      <c r="O259" s="18">
        <v>9</v>
      </c>
      <c r="P259" s="18">
        <v>12</v>
      </c>
    </row>
    <row r="260" spans="1:16" x14ac:dyDescent="0.25">
      <c r="A260" s="18">
        <v>878</v>
      </c>
      <c r="B260" s="17">
        <v>40583</v>
      </c>
      <c r="C260" s="18">
        <v>1</v>
      </c>
      <c r="D260" s="18">
        <v>0</v>
      </c>
      <c r="E260" s="18">
        <v>2</v>
      </c>
      <c r="F260" s="18">
        <v>0</v>
      </c>
      <c r="G260" s="18" t="b">
        <v>0</v>
      </c>
      <c r="H260" s="18">
        <v>3</v>
      </c>
      <c r="I260" s="18">
        <v>1</v>
      </c>
      <c r="J260" s="18">
        <v>0.1</v>
      </c>
      <c r="K260" s="18">
        <v>7.5800000000000006E-2</v>
      </c>
      <c r="L260" s="18">
        <v>0.36</v>
      </c>
      <c r="M260" s="18">
        <v>0.35820000000000002</v>
      </c>
      <c r="N260" s="18">
        <v>0</v>
      </c>
      <c r="O260" s="18">
        <v>17</v>
      </c>
      <c r="P260" s="18">
        <v>17</v>
      </c>
    </row>
    <row r="261" spans="1:16" x14ac:dyDescent="0.25">
      <c r="A261" s="18">
        <v>879</v>
      </c>
      <c r="B261" s="17">
        <v>40583</v>
      </c>
      <c r="C261" s="18">
        <v>1</v>
      </c>
      <c r="D261" s="18">
        <v>0</v>
      </c>
      <c r="E261" s="18">
        <v>2</v>
      </c>
      <c r="F261" s="18">
        <v>1</v>
      </c>
      <c r="G261" s="18" t="b">
        <v>0</v>
      </c>
      <c r="H261" s="18">
        <v>3</v>
      </c>
      <c r="I261" s="18">
        <v>1</v>
      </c>
      <c r="J261" s="18">
        <v>0.1</v>
      </c>
      <c r="K261" s="18">
        <v>0.1061</v>
      </c>
      <c r="L261" s="18">
        <v>0.36</v>
      </c>
      <c r="M261" s="18">
        <v>0.22389999999999999</v>
      </c>
      <c r="N261" s="18">
        <v>0</v>
      </c>
      <c r="O261" s="18">
        <v>7</v>
      </c>
      <c r="P261" s="18">
        <v>7</v>
      </c>
    </row>
    <row r="262" spans="1:16" x14ac:dyDescent="0.25">
      <c r="A262" s="18">
        <v>880</v>
      </c>
      <c r="B262" s="17">
        <v>40583</v>
      </c>
      <c r="C262" s="18">
        <v>1</v>
      </c>
      <c r="D262" s="18">
        <v>0</v>
      </c>
      <c r="E262" s="18">
        <v>2</v>
      </c>
      <c r="F262" s="18">
        <v>2</v>
      </c>
      <c r="G262" s="18" t="b">
        <v>0</v>
      </c>
      <c r="H262" s="18">
        <v>3</v>
      </c>
      <c r="I262" s="18">
        <v>1</v>
      </c>
      <c r="J262" s="18">
        <v>0.08</v>
      </c>
      <c r="K262" s="18">
        <v>7.5800000000000006E-2</v>
      </c>
      <c r="L262" s="18">
        <v>0.38</v>
      </c>
      <c r="M262" s="18">
        <v>0.28360000000000002</v>
      </c>
      <c r="N262" s="18">
        <v>1</v>
      </c>
      <c r="O262" s="18">
        <v>2</v>
      </c>
      <c r="P262" s="18">
        <v>3</v>
      </c>
    </row>
    <row r="263" spans="1:16" x14ac:dyDescent="0.25">
      <c r="A263" s="18">
        <v>881</v>
      </c>
      <c r="B263" s="17">
        <v>40583</v>
      </c>
      <c r="C263" s="18">
        <v>1</v>
      </c>
      <c r="D263" s="18">
        <v>0</v>
      </c>
      <c r="E263" s="18">
        <v>2</v>
      </c>
      <c r="F263" s="18">
        <v>3</v>
      </c>
      <c r="G263" s="18" t="b">
        <v>0</v>
      </c>
      <c r="H263" s="18">
        <v>3</v>
      </c>
      <c r="I263" s="18">
        <v>1</v>
      </c>
      <c r="J263" s="18">
        <v>0.06</v>
      </c>
      <c r="K263" s="18">
        <v>7.5800000000000006E-2</v>
      </c>
      <c r="L263" s="18">
        <v>0.45</v>
      </c>
      <c r="M263" s="18">
        <v>0.1343</v>
      </c>
      <c r="N263" s="18">
        <v>0</v>
      </c>
      <c r="O263" s="18">
        <v>2</v>
      </c>
      <c r="P263" s="18">
        <v>2</v>
      </c>
    </row>
    <row r="264" spans="1:16" x14ac:dyDescent="0.25">
      <c r="A264" s="18">
        <v>882</v>
      </c>
      <c r="B264" s="17">
        <v>40583</v>
      </c>
      <c r="C264" s="18">
        <v>1</v>
      </c>
      <c r="D264" s="18">
        <v>0</v>
      </c>
      <c r="E264" s="18">
        <v>2</v>
      </c>
      <c r="F264" s="18">
        <v>5</v>
      </c>
      <c r="G264" s="18" t="b">
        <v>0</v>
      </c>
      <c r="H264" s="18">
        <v>3</v>
      </c>
      <c r="I264" s="18">
        <v>1</v>
      </c>
      <c r="J264" s="18">
        <v>0.06</v>
      </c>
      <c r="K264" s="18">
        <v>0.1061</v>
      </c>
      <c r="L264" s="18">
        <v>0.45</v>
      </c>
      <c r="M264" s="18">
        <v>0.1045</v>
      </c>
      <c r="N264" s="18">
        <v>0</v>
      </c>
      <c r="O264" s="18">
        <v>7</v>
      </c>
      <c r="P264" s="18">
        <v>7</v>
      </c>
    </row>
    <row r="265" spans="1:16" x14ac:dyDescent="0.25">
      <c r="A265" s="18">
        <v>883</v>
      </c>
      <c r="B265" s="17">
        <v>40583</v>
      </c>
      <c r="C265" s="18">
        <v>1</v>
      </c>
      <c r="D265" s="18">
        <v>0</v>
      </c>
      <c r="E265" s="18">
        <v>2</v>
      </c>
      <c r="F265" s="18">
        <v>6</v>
      </c>
      <c r="G265" s="18" t="b">
        <v>0</v>
      </c>
      <c r="H265" s="18">
        <v>3</v>
      </c>
      <c r="I265" s="18">
        <v>1</v>
      </c>
      <c r="J265" s="18">
        <v>0.06</v>
      </c>
      <c r="K265" s="18">
        <v>0.1515</v>
      </c>
      <c r="L265" s="18">
        <v>0.45</v>
      </c>
      <c r="M265" s="18">
        <v>0</v>
      </c>
      <c r="N265" s="18">
        <v>0</v>
      </c>
      <c r="O265" s="18">
        <v>43</v>
      </c>
      <c r="P265" s="18">
        <v>43</v>
      </c>
    </row>
    <row r="266" spans="1:16" x14ac:dyDescent="0.25">
      <c r="A266" s="18">
        <v>884</v>
      </c>
      <c r="B266" s="17">
        <v>40583</v>
      </c>
      <c r="C266" s="18">
        <v>1</v>
      </c>
      <c r="D266" s="18">
        <v>0</v>
      </c>
      <c r="E266" s="18">
        <v>2</v>
      </c>
      <c r="F266" s="18">
        <v>7</v>
      </c>
      <c r="G266" s="18" t="b">
        <v>0</v>
      </c>
      <c r="H266" s="18">
        <v>3</v>
      </c>
      <c r="I266" s="18">
        <v>1</v>
      </c>
      <c r="J266" s="18">
        <v>0.06</v>
      </c>
      <c r="K266" s="18">
        <v>0.1061</v>
      </c>
      <c r="L266" s="18">
        <v>0.49</v>
      </c>
      <c r="M266" s="18">
        <v>0.1045</v>
      </c>
      <c r="N266" s="18">
        <v>4</v>
      </c>
      <c r="O266" s="18">
        <v>95</v>
      </c>
      <c r="P266" s="18">
        <v>99</v>
      </c>
    </row>
    <row r="267" spans="1:16" x14ac:dyDescent="0.25">
      <c r="A267" s="18">
        <v>885</v>
      </c>
      <c r="B267" s="17">
        <v>40583</v>
      </c>
      <c r="C267" s="18">
        <v>1</v>
      </c>
      <c r="D267" s="18">
        <v>0</v>
      </c>
      <c r="E267" s="18">
        <v>2</v>
      </c>
      <c r="F267" s="18">
        <v>8</v>
      </c>
      <c r="G267" s="18" t="b">
        <v>0</v>
      </c>
      <c r="H267" s="18">
        <v>3</v>
      </c>
      <c r="I267" s="18">
        <v>1</v>
      </c>
      <c r="J267" s="18">
        <v>0.1</v>
      </c>
      <c r="K267" s="18">
        <v>0.13639999999999999</v>
      </c>
      <c r="L267" s="18">
        <v>0.42</v>
      </c>
      <c r="M267" s="18">
        <v>0</v>
      </c>
      <c r="N267" s="18">
        <v>1</v>
      </c>
      <c r="O267" s="18">
        <v>198</v>
      </c>
      <c r="P267" s="18">
        <v>199</v>
      </c>
    </row>
    <row r="268" spans="1:16" x14ac:dyDescent="0.25">
      <c r="A268" s="18">
        <v>886</v>
      </c>
      <c r="B268" s="17">
        <v>40583</v>
      </c>
      <c r="C268" s="18">
        <v>1</v>
      </c>
      <c r="D268" s="18">
        <v>0</v>
      </c>
      <c r="E268" s="18">
        <v>2</v>
      </c>
      <c r="F268" s="18">
        <v>9</v>
      </c>
      <c r="G268" s="18" t="b">
        <v>0</v>
      </c>
      <c r="H268" s="18">
        <v>3</v>
      </c>
      <c r="I268" s="18">
        <v>1</v>
      </c>
      <c r="J268" s="18">
        <v>0.12</v>
      </c>
      <c r="K268" s="18">
        <v>0.13639999999999999</v>
      </c>
      <c r="L268" s="18">
        <v>0.39</v>
      </c>
      <c r="M268" s="18">
        <v>0.16420000000000001</v>
      </c>
      <c r="N268" s="18">
        <v>4</v>
      </c>
      <c r="O268" s="18">
        <v>119</v>
      </c>
      <c r="P268" s="18">
        <v>123</v>
      </c>
    </row>
    <row r="269" spans="1:16" x14ac:dyDescent="0.25">
      <c r="A269" s="18">
        <v>887</v>
      </c>
      <c r="B269" s="17">
        <v>40583</v>
      </c>
      <c r="C269" s="18">
        <v>1</v>
      </c>
      <c r="D269" s="18">
        <v>0</v>
      </c>
      <c r="E269" s="18">
        <v>2</v>
      </c>
      <c r="F269" s="18">
        <v>10</v>
      </c>
      <c r="G269" s="18" t="b">
        <v>0</v>
      </c>
      <c r="H269" s="18">
        <v>3</v>
      </c>
      <c r="I269" s="18">
        <v>1</v>
      </c>
      <c r="J269" s="18">
        <v>0.14000000000000001</v>
      </c>
      <c r="K269" s="18">
        <v>0.18179999999999999</v>
      </c>
      <c r="L269" s="18">
        <v>0.36</v>
      </c>
      <c r="M269" s="18">
        <v>0</v>
      </c>
      <c r="N269" s="18">
        <v>8</v>
      </c>
      <c r="O269" s="18">
        <v>51</v>
      </c>
      <c r="P269" s="18">
        <v>59</v>
      </c>
    </row>
    <row r="270" spans="1:16" x14ac:dyDescent="0.25">
      <c r="A270" s="18">
        <v>888</v>
      </c>
      <c r="B270" s="17">
        <v>40583</v>
      </c>
      <c r="C270" s="18">
        <v>1</v>
      </c>
      <c r="D270" s="18">
        <v>0</v>
      </c>
      <c r="E270" s="18">
        <v>2</v>
      </c>
      <c r="F270" s="18">
        <v>11</v>
      </c>
      <c r="G270" s="18" t="b">
        <v>0</v>
      </c>
      <c r="H270" s="18">
        <v>3</v>
      </c>
      <c r="I270" s="18">
        <v>2</v>
      </c>
      <c r="J270" s="18">
        <v>0.14000000000000001</v>
      </c>
      <c r="K270" s="18">
        <v>0.1515</v>
      </c>
      <c r="L270" s="18">
        <v>0.43</v>
      </c>
      <c r="M270" s="18">
        <v>0.16420000000000001</v>
      </c>
      <c r="N270" s="18">
        <v>1</v>
      </c>
      <c r="O270" s="18">
        <v>40</v>
      </c>
      <c r="P270" s="18">
        <v>41</v>
      </c>
    </row>
    <row r="271" spans="1:16" x14ac:dyDescent="0.25">
      <c r="A271" s="18">
        <v>889</v>
      </c>
      <c r="B271" s="17">
        <v>40583</v>
      </c>
      <c r="C271" s="18">
        <v>1</v>
      </c>
      <c r="D271" s="18">
        <v>0</v>
      </c>
      <c r="E271" s="18">
        <v>2</v>
      </c>
      <c r="F271" s="18">
        <v>12</v>
      </c>
      <c r="G271" s="18" t="b">
        <v>0</v>
      </c>
      <c r="H271" s="18">
        <v>3</v>
      </c>
      <c r="I271" s="18">
        <v>2</v>
      </c>
      <c r="J271" s="18">
        <v>0.18</v>
      </c>
      <c r="K271" s="18">
        <v>0.18179999999999999</v>
      </c>
      <c r="L271" s="18">
        <v>0.4</v>
      </c>
      <c r="M271" s="18">
        <v>0.22389999999999999</v>
      </c>
      <c r="N271" s="18">
        <v>4</v>
      </c>
      <c r="O271" s="18">
        <v>57</v>
      </c>
      <c r="P271" s="18">
        <v>61</v>
      </c>
    </row>
    <row r="272" spans="1:16" x14ac:dyDescent="0.25">
      <c r="A272" s="18">
        <v>890</v>
      </c>
      <c r="B272" s="17">
        <v>40583</v>
      </c>
      <c r="C272" s="18">
        <v>1</v>
      </c>
      <c r="D272" s="18">
        <v>0</v>
      </c>
      <c r="E272" s="18">
        <v>2</v>
      </c>
      <c r="F272" s="18">
        <v>13</v>
      </c>
      <c r="G272" s="18" t="b">
        <v>0</v>
      </c>
      <c r="H272" s="18">
        <v>3</v>
      </c>
      <c r="I272" s="18">
        <v>1</v>
      </c>
      <c r="J272" s="18">
        <v>0.18</v>
      </c>
      <c r="K272" s="18">
        <v>0.16669999999999999</v>
      </c>
      <c r="L272" s="18">
        <v>0.4</v>
      </c>
      <c r="M272" s="18">
        <v>0.25369999999999998</v>
      </c>
      <c r="N272" s="18">
        <v>2</v>
      </c>
      <c r="O272" s="18">
        <v>67</v>
      </c>
      <c r="P272" s="18">
        <v>69</v>
      </c>
    </row>
    <row r="273" spans="1:16" x14ac:dyDescent="0.25">
      <c r="A273" s="18">
        <v>891</v>
      </c>
      <c r="B273" s="17">
        <v>40583</v>
      </c>
      <c r="C273" s="18">
        <v>1</v>
      </c>
      <c r="D273" s="18">
        <v>0</v>
      </c>
      <c r="E273" s="18">
        <v>2</v>
      </c>
      <c r="F273" s="18">
        <v>14</v>
      </c>
      <c r="G273" s="18" t="b">
        <v>0</v>
      </c>
      <c r="H273" s="18">
        <v>3</v>
      </c>
      <c r="I273" s="18">
        <v>1</v>
      </c>
      <c r="J273" s="18">
        <v>0.2</v>
      </c>
      <c r="K273" s="18">
        <v>0.18179999999999999</v>
      </c>
      <c r="L273" s="18">
        <v>0.34</v>
      </c>
      <c r="M273" s="18">
        <v>0.29849999999999999</v>
      </c>
      <c r="N273" s="18">
        <v>2</v>
      </c>
      <c r="O273" s="18">
        <v>56</v>
      </c>
      <c r="P273" s="18">
        <v>58</v>
      </c>
    </row>
    <row r="274" spans="1:16" x14ac:dyDescent="0.25">
      <c r="A274" s="18">
        <v>892</v>
      </c>
      <c r="B274" s="17">
        <v>40583</v>
      </c>
      <c r="C274" s="18">
        <v>1</v>
      </c>
      <c r="D274" s="18">
        <v>0</v>
      </c>
      <c r="E274" s="18">
        <v>2</v>
      </c>
      <c r="F274" s="18">
        <v>15</v>
      </c>
      <c r="G274" s="18" t="b">
        <v>0</v>
      </c>
      <c r="H274" s="18">
        <v>3</v>
      </c>
      <c r="I274" s="18">
        <v>2</v>
      </c>
      <c r="J274" s="18">
        <v>0.2</v>
      </c>
      <c r="K274" s="18">
        <v>0.18179999999999999</v>
      </c>
      <c r="L274" s="18">
        <v>0.34</v>
      </c>
      <c r="M274" s="18">
        <v>0.28360000000000002</v>
      </c>
      <c r="N274" s="18">
        <v>3</v>
      </c>
      <c r="O274" s="18">
        <v>61</v>
      </c>
      <c r="P274" s="18">
        <v>64</v>
      </c>
    </row>
    <row r="275" spans="1:16" x14ac:dyDescent="0.25">
      <c r="A275" s="18">
        <v>893</v>
      </c>
      <c r="B275" s="17">
        <v>40583</v>
      </c>
      <c r="C275" s="18">
        <v>1</v>
      </c>
      <c r="D275" s="18">
        <v>0</v>
      </c>
      <c r="E275" s="18">
        <v>2</v>
      </c>
      <c r="F275" s="18">
        <v>16</v>
      </c>
      <c r="G275" s="18" t="b">
        <v>0</v>
      </c>
      <c r="H275" s="18">
        <v>3</v>
      </c>
      <c r="I275" s="18">
        <v>2</v>
      </c>
      <c r="J275" s="18">
        <v>0.2</v>
      </c>
      <c r="K275" s="18">
        <v>0.19700000000000001</v>
      </c>
      <c r="L275" s="18">
        <v>0.37</v>
      </c>
      <c r="M275" s="18">
        <v>0.25369999999999998</v>
      </c>
      <c r="N275" s="18">
        <v>7</v>
      </c>
      <c r="O275" s="18">
        <v>72</v>
      </c>
      <c r="P275" s="18">
        <v>79</v>
      </c>
    </row>
    <row r="276" spans="1:16" x14ac:dyDescent="0.25">
      <c r="A276" s="18">
        <v>894</v>
      </c>
      <c r="B276" s="17">
        <v>40583</v>
      </c>
      <c r="C276" s="18">
        <v>1</v>
      </c>
      <c r="D276" s="18">
        <v>0</v>
      </c>
      <c r="E276" s="18">
        <v>2</v>
      </c>
      <c r="F276" s="18">
        <v>17</v>
      </c>
      <c r="G276" s="18" t="b">
        <v>0</v>
      </c>
      <c r="H276" s="18">
        <v>3</v>
      </c>
      <c r="I276" s="18">
        <v>2</v>
      </c>
      <c r="J276" s="18">
        <v>0.2</v>
      </c>
      <c r="K276" s="18">
        <v>0.19700000000000001</v>
      </c>
      <c r="L276" s="18">
        <v>0.34</v>
      </c>
      <c r="M276" s="18">
        <v>0.25369999999999998</v>
      </c>
      <c r="N276" s="18">
        <v>9</v>
      </c>
      <c r="O276" s="18">
        <v>157</v>
      </c>
      <c r="P276" s="18">
        <v>166</v>
      </c>
    </row>
    <row r="277" spans="1:16" x14ac:dyDescent="0.25">
      <c r="A277" s="18">
        <v>895</v>
      </c>
      <c r="B277" s="17">
        <v>40583</v>
      </c>
      <c r="C277" s="18">
        <v>1</v>
      </c>
      <c r="D277" s="18">
        <v>0</v>
      </c>
      <c r="E277" s="18">
        <v>2</v>
      </c>
      <c r="F277" s="18">
        <v>18</v>
      </c>
      <c r="G277" s="18" t="b">
        <v>0</v>
      </c>
      <c r="H277" s="18">
        <v>3</v>
      </c>
      <c r="I277" s="18">
        <v>2</v>
      </c>
      <c r="J277" s="18">
        <v>0.18</v>
      </c>
      <c r="K277" s="18">
        <v>0.16669999999999999</v>
      </c>
      <c r="L277" s="18">
        <v>0.47</v>
      </c>
      <c r="M277" s="18">
        <v>0.29849999999999999</v>
      </c>
      <c r="N277" s="18">
        <v>2</v>
      </c>
      <c r="O277" s="18">
        <v>168</v>
      </c>
      <c r="P277" s="18">
        <v>170</v>
      </c>
    </row>
    <row r="278" spans="1:16" x14ac:dyDescent="0.25">
      <c r="A278" s="18">
        <v>896</v>
      </c>
      <c r="B278" s="17">
        <v>40583</v>
      </c>
      <c r="C278" s="18">
        <v>1</v>
      </c>
      <c r="D278" s="18">
        <v>0</v>
      </c>
      <c r="E278" s="18">
        <v>2</v>
      </c>
      <c r="F278" s="18">
        <v>19</v>
      </c>
      <c r="G278" s="18" t="b">
        <v>0</v>
      </c>
      <c r="H278" s="18">
        <v>3</v>
      </c>
      <c r="I278" s="18">
        <v>3</v>
      </c>
      <c r="J278" s="18">
        <v>0.14000000000000001</v>
      </c>
      <c r="K278" s="18">
        <v>0.1212</v>
      </c>
      <c r="L278" s="18">
        <v>0.86</v>
      </c>
      <c r="M278" s="18">
        <v>0.25369999999999998</v>
      </c>
      <c r="N278" s="18">
        <v>1</v>
      </c>
      <c r="O278" s="18">
        <v>87</v>
      </c>
      <c r="P278" s="18">
        <v>88</v>
      </c>
    </row>
    <row r="279" spans="1:16" x14ac:dyDescent="0.25">
      <c r="A279" s="18">
        <v>897</v>
      </c>
      <c r="B279" s="17">
        <v>40583</v>
      </c>
      <c r="C279" s="18">
        <v>1</v>
      </c>
      <c r="D279" s="18">
        <v>0</v>
      </c>
      <c r="E279" s="18">
        <v>2</v>
      </c>
      <c r="F279" s="18">
        <v>20</v>
      </c>
      <c r="G279" s="18" t="b">
        <v>0</v>
      </c>
      <c r="H279" s="18">
        <v>3</v>
      </c>
      <c r="I279" s="18">
        <v>3</v>
      </c>
      <c r="J279" s="18">
        <v>0.14000000000000001</v>
      </c>
      <c r="K279" s="18">
        <v>0.1515</v>
      </c>
      <c r="L279" s="18">
        <v>0.86</v>
      </c>
      <c r="M279" s="18">
        <v>0.16420000000000001</v>
      </c>
      <c r="N279" s="18">
        <v>0</v>
      </c>
      <c r="O279" s="18">
        <v>84</v>
      </c>
      <c r="P279" s="18">
        <v>84</v>
      </c>
    </row>
    <row r="280" spans="1:16" x14ac:dyDescent="0.25">
      <c r="A280" s="18">
        <v>898</v>
      </c>
      <c r="B280" s="17">
        <v>40583</v>
      </c>
      <c r="C280" s="18">
        <v>1</v>
      </c>
      <c r="D280" s="18">
        <v>0</v>
      </c>
      <c r="E280" s="18">
        <v>2</v>
      </c>
      <c r="F280" s="18">
        <v>21</v>
      </c>
      <c r="G280" s="18" t="b">
        <v>0</v>
      </c>
      <c r="H280" s="18">
        <v>3</v>
      </c>
      <c r="I280" s="18">
        <v>2</v>
      </c>
      <c r="J280" s="18">
        <v>0.14000000000000001</v>
      </c>
      <c r="K280" s="18">
        <v>0.1515</v>
      </c>
      <c r="L280" s="18">
        <v>0.86</v>
      </c>
      <c r="M280" s="18">
        <v>0.16420000000000001</v>
      </c>
      <c r="N280" s="18">
        <v>0</v>
      </c>
      <c r="O280" s="18">
        <v>83</v>
      </c>
      <c r="P280" s="18">
        <v>83</v>
      </c>
    </row>
    <row r="281" spans="1:16" x14ac:dyDescent="0.25">
      <c r="A281" s="18">
        <v>899</v>
      </c>
      <c r="B281" s="17">
        <v>40583</v>
      </c>
      <c r="C281" s="18">
        <v>1</v>
      </c>
      <c r="D281" s="18">
        <v>0</v>
      </c>
      <c r="E281" s="18">
        <v>2</v>
      </c>
      <c r="F281" s="18">
        <v>22</v>
      </c>
      <c r="G281" s="18" t="b">
        <v>0</v>
      </c>
      <c r="H281" s="18">
        <v>3</v>
      </c>
      <c r="I281" s="18">
        <v>3</v>
      </c>
      <c r="J281" s="18">
        <v>0.16</v>
      </c>
      <c r="K281" s="18">
        <v>0.16669999999999999</v>
      </c>
      <c r="L281" s="18">
        <v>0.8</v>
      </c>
      <c r="M281" s="18">
        <v>0.16420000000000001</v>
      </c>
      <c r="N281" s="18">
        <v>4</v>
      </c>
      <c r="O281" s="18">
        <v>42</v>
      </c>
      <c r="P281" s="18">
        <v>46</v>
      </c>
    </row>
    <row r="282" spans="1:16" x14ac:dyDescent="0.25">
      <c r="A282" s="18">
        <v>900</v>
      </c>
      <c r="B282" s="17">
        <v>40583</v>
      </c>
      <c r="C282" s="18">
        <v>1</v>
      </c>
      <c r="D282" s="18">
        <v>0</v>
      </c>
      <c r="E282" s="18">
        <v>2</v>
      </c>
      <c r="F282" s="18">
        <v>23</v>
      </c>
      <c r="G282" s="18" t="b">
        <v>0</v>
      </c>
      <c r="H282" s="18">
        <v>3</v>
      </c>
      <c r="I282" s="18">
        <v>3</v>
      </c>
      <c r="J282" s="18">
        <v>0.16</v>
      </c>
      <c r="K282" s="18">
        <v>0.1515</v>
      </c>
      <c r="L282" s="18">
        <v>0.8</v>
      </c>
      <c r="M282" s="18">
        <v>0.19400000000000001</v>
      </c>
      <c r="N282" s="18">
        <v>0</v>
      </c>
      <c r="O282" s="18">
        <v>37</v>
      </c>
      <c r="P282" s="18">
        <v>37</v>
      </c>
    </row>
    <row r="283" spans="1:16" x14ac:dyDescent="0.25">
      <c r="A283" s="18">
        <v>901</v>
      </c>
      <c r="B283" s="17">
        <v>40584</v>
      </c>
      <c r="C283" s="18">
        <v>1</v>
      </c>
      <c r="D283" s="18">
        <v>0</v>
      </c>
      <c r="E283" s="18">
        <v>2</v>
      </c>
      <c r="F283" s="18">
        <v>0</v>
      </c>
      <c r="G283" s="18" t="b">
        <v>0</v>
      </c>
      <c r="H283" s="18">
        <v>4</v>
      </c>
      <c r="I283" s="18">
        <v>3</v>
      </c>
      <c r="J283" s="18">
        <v>0.14000000000000001</v>
      </c>
      <c r="K283" s="18">
        <v>0.13639999999999999</v>
      </c>
      <c r="L283" s="18">
        <v>0.86</v>
      </c>
      <c r="M283" s="18">
        <v>0.19400000000000001</v>
      </c>
      <c r="N283" s="18">
        <v>0</v>
      </c>
      <c r="O283" s="18">
        <v>16</v>
      </c>
      <c r="P283" s="18">
        <v>16</v>
      </c>
    </row>
    <row r="284" spans="1:16" x14ac:dyDescent="0.25">
      <c r="A284" s="18">
        <v>902</v>
      </c>
      <c r="B284" s="17">
        <v>40584</v>
      </c>
      <c r="C284" s="18">
        <v>1</v>
      </c>
      <c r="D284" s="18">
        <v>0</v>
      </c>
      <c r="E284" s="18">
        <v>2</v>
      </c>
      <c r="F284" s="18">
        <v>1</v>
      </c>
      <c r="G284" s="18" t="b">
        <v>0</v>
      </c>
      <c r="H284" s="18">
        <v>4</v>
      </c>
      <c r="I284" s="18">
        <v>3</v>
      </c>
      <c r="J284" s="18">
        <v>0.14000000000000001</v>
      </c>
      <c r="K284" s="18">
        <v>0.1515</v>
      </c>
      <c r="L284" s="18">
        <v>0.8</v>
      </c>
      <c r="M284" s="18">
        <v>0.1343</v>
      </c>
      <c r="N284" s="18">
        <v>0</v>
      </c>
      <c r="O284" s="18">
        <v>7</v>
      </c>
      <c r="P284" s="18">
        <v>7</v>
      </c>
    </row>
    <row r="285" spans="1:16" x14ac:dyDescent="0.25">
      <c r="A285" s="18">
        <v>903</v>
      </c>
      <c r="B285" s="17">
        <v>40584</v>
      </c>
      <c r="C285" s="18">
        <v>1</v>
      </c>
      <c r="D285" s="18">
        <v>0</v>
      </c>
      <c r="E285" s="18">
        <v>2</v>
      </c>
      <c r="F285" s="18">
        <v>2</v>
      </c>
      <c r="G285" s="18" t="b">
        <v>0</v>
      </c>
      <c r="H285" s="18">
        <v>4</v>
      </c>
      <c r="I285" s="18">
        <v>3</v>
      </c>
      <c r="J285" s="18">
        <v>0.14000000000000001</v>
      </c>
      <c r="K285" s="18">
        <v>0.1515</v>
      </c>
      <c r="L285" s="18">
        <v>0.8</v>
      </c>
      <c r="M285" s="18">
        <v>0.1343</v>
      </c>
      <c r="N285" s="18">
        <v>0</v>
      </c>
      <c r="O285" s="18">
        <v>3</v>
      </c>
      <c r="P285" s="18">
        <v>3</v>
      </c>
    </row>
    <row r="286" spans="1:16" x14ac:dyDescent="0.25">
      <c r="A286" s="18">
        <v>904</v>
      </c>
      <c r="B286" s="17">
        <v>40584</v>
      </c>
      <c r="C286" s="18">
        <v>1</v>
      </c>
      <c r="D286" s="18">
        <v>0</v>
      </c>
      <c r="E286" s="18">
        <v>2</v>
      </c>
      <c r="F286" s="18">
        <v>4</v>
      </c>
      <c r="G286" s="18" t="b">
        <v>0</v>
      </c>
      <c r="H286" s="18">
        <v>4</v>
      </c>
      <c r="I286" s="18">
        <v>2</v>
      </c>
      <c r="J286" s="18">
        <v>0.14000000000000001</v>
      </c>
      <c r="K286" s="18">
        <v>0.13639999999999999</v>
      </c>
      <c r="L286" s="18">
        <v>0.59</v>
      </c>
      <c r="M286" s="18">
        <v>0.22389999999999999</v>
      </c>
      <c r="N286" s="18">
        <v>0</v>
      </c>
      <c r="O286" s="18">
        <v>1</v>
      </c>
      <c r="P286" s="18">
        <v>1</v>
      </c>
    </row>
    <row r="287" spans="1:16" x14ac:dyDescent="0.25">
      <c r="A287" s="18">
        <v>905</v>
      </c>
      <c r="B287" s="17">
        <v>40584</v>
      </c>
      <c r="C287" s="18">
        <v>1</v>
      </c>
      <c r="D287" s="18">
        <v>0</v>
      </c>
      <c r="E287" s="18">
        <v>2</v>
      </c>
      <c r="F287" s="18">
        <v>5</v>
      </c>
      <c r="G287" s="18" t="b">
        <v>0</v>
      </c>
      <c r="H287" s="18">
        <v>4</v>
      </c>
      <c r="I287" s="18">
        <v>2</v>
      </c>
      <c r="J287" s="18">
        <v>0.12</v>
      </c>
      <c r="K287" s="18">
        <v>0.1212</v>
      </c>
      <c r="L287" s="18">
        <v>0.5</v>
      </c>
      <c r="M287" s="18">
        <v>0.22389999999999999</v>
      </c>
      <c r="N287" s="18">
        <v>0</v>
      </c>
      <c r="O287" s="18">
        <v>6</v>
      </c>
      <c r="P287" s="18">
        <v>6</v>
      </c>
    </row>
    <row r="288" spans="1:16" x14ac:dyDescent="0.25">
      <c r="A288" s="18">
        <v>906</v>
      </c>
      <c r="B288" s="17">
        <v>40584</v>
      </c>
      <c r="C288" s="18">
        <v>1</v>
      </c>
      <c r="D288" s="18">
        <v>0</v>
      </c>
      <c r="E288" s="18">
        <v>2</v>
      </c>
      <c r="F288" s="18">
        <v>6</v>
      </c>
      <c r="G288" s="18" t="b">
        <v>0</v>
      </c>
      <c r="H288" s="18">
        <v>4</v>
      </c>
      <c r="I288" s="18">
        <v>2</v>
      </c>
      <c r="J288" s="18">
        <v>0.12</v>
      </c>
      <c r="K288" s="18">
        <v>0.1212</v>
      </c>
      <c r="L288" s="18">
        <v>0.54</v>
      </c>
      <c r="M288" s="18">
        <v>0.28360000000000002</v>
      </c>
      <c r="N288" s="18">
        <v>0</v>
      </c>
      <c r="O288" s="18">
        <v>26</v>
      </c>
      <c r="P288" s="18">
        <v>26</v>
      </c>
    </row>
    <row r="289" spans="1:16" x14ac:dyDescent="0.25">
      <c r="A289" s="18">
        <v>907</v>
      </c>
      <c r="B289" s="17">
        <v>40584</v>
      </c>
      <c r="C289" s="18">
        <v>1</v>
      </c>
      <c r="D289" s="18">
        <v>0</v>
      </c>
      <c r="E289" s="18">
        <v>2</v>
      </c>
      <c r="F289" s="18">
        <v>7</v>
      </c>
      <c r="G289" s="18" t="b">
        <v>0</v>
      </c>
      <c r="H289" s="18">
        <v>4</v>
      </c>
      <c r="I289" s="18">
        <v>1</v>
      </c>
      <c r="J289" s="18">
        <v>0.1</v>
      </c>
      <c r="K289" s="18">
        <v>7.5800000000000006E-2</v>
      </c>
      <c r="L289" s="18">
        <v>0.5</v>
      </c>
      <c r="M289" s="18">
        <v>0.41789999999999999</v>
      </c>
      <c r="N289" s="18">
        <v>0</v>
      </c>
      <c r="O289" s="18">
        <v>99</v>
      </c>
      <c r="P289" s="18">
        <v>99</v>
      </c>
    </row>
    <row r="290" spans="1:16" x14ac:dyDescent="0.25">
      <c r="A290" s="18">
        <v>908</v>
      </c>
      <c r="B290" s="17">
        <v>40584</v>
      </c>
      <c r="C290" s="18">
        <v>1</v>
      </c>
      <c r="D290" s="18">
        <v>0</v>
      </c>
      <c r="E290" s="18">
        <v>2</v>
      </c>
      <c r="F290" s="18">
        <v>8</v>
      </c>
      <c r="G290" s="18" t="b">
        <v>0</v>
      </c>
      <c r="H290" s="18">
        <v>4</v>
      </c>
      <c r="I290" s="18">
        <v>1</v>
      </c>
      <c r="J290" s="18">
        <v>0.1</v>
      </c>
      <c r="K290" s="18">
        <v>7.5800000000000006E-2</v>
      </c>
      <c r="L290" s="18">
        <v>0.49</v>
      </c>
      <c r="M290" s="18">
        <v>0.32840000000000003</v>
      </c>
      <c r="N290" s="18">
        <v>5</v>
      </c>
      <c r="O290" s="18">
        <v>173</v>
      </c>
      <c r="P290" s="18">
        <v>178</v>
      </c>
    </row>
    <row r="291" spans="1:16" x14ac:dyDescent="0.25">
      <c r="A291" s="18">
        <v>909</v>
      </c>
      <c r="B291" s="17">
        <v>40584</v>
      </c>
      <c r="C291" s="18">
        <v>1</v>
      </c>
      <c r="D291" s="18">
        <v>0</v>
      </c>
      <c r="E291" s="18">
        <v>2</v>
      </c>
      <c r="F291" s="18">
        <v>9</v>
      </c>
      <c r="G291" s="18" t="b">
        <v>0</v>
      </c>
      <c r="H291" s="18">
        <v>4</v>
      </c>
      <c r="I291" s="18">
        <v>1</v>
      </c>
      <c r="J291" s="18">
        <v>0.12</v>
      </c>
      <c r="K291" s="18">
        <v>0.1061</v>
      </c>
      <c r="L291" s="18">
        <v>0.42</v>
      </c>
      <c r="M291" s="18">
        <v>0.35820000000000002</v>
      </c>
      <c r="N291" s="18">
        <v>1</v>
      </c>
      <c r="O291" s="18">
        <v>121</v>
      </c>
      <c r="P291" s="18">
        <v>122</v>
      </c>
    </row>
    <row r="292" spans="1:16" x14ac:dyDescent="0.25">
      <c r="A292" s="18">
        <v>910</v>
      </c>
      <c r="B292" s="17">
        <v>40584</v>
      </c>
      <c r="C292" s="18">
        <v>1</v>
      </c>
      <c r="D292" s="18">
        <v>0</v>
      </c>
      <c r="E292" s="18">
        <v>2</v>
      </c>
      <c r="F292" s="18">
        <v>10</v>
      </c>
      <c r="G292" s="18" t="b">
        <v>0</v>
      </c>
      <c r="H292" s="18">
        <v>4</v>
      </c>
      <c r="I292" s="18">
        <v>1</v>
      </c>
      <c r="J292" s="18">
        <v>0.12</v>
      </c>
      <c r="K292" s="18">
        <v>0.1061</v>
      </c>
      <c r="L292" s="18">
        <v>0.42</v>
      </c>
      <c r="M292" s="18">
        <v>0.29849999999999999</v>
      </c>
      <c r="N292" s="18">
        <v>1</v>
      </c>
      <c r="O292" s="18">
        <v>34</v>
      </c>
      <c r="P292" s="18">
        <v>35</v>
      </c>
    </row>
    <row r="293" spans="1:16" x14ac:dyDescent="0.25">
      <c r="A293" s="18">
        <v>911</v>
      </c>
      <c r="B293" s="17">
        <v>40584</v>
      </c>
      <c r="C293" s="18">
        <v>1</v>
      </c>
      <c r="D293" s="18">
        <v>0</v>
      </c>
      <c r="E293" s="18">
        <v>2</v>
      </c>
      <c r="F293" s="18">
        <v>11</v>
      </c>
      <c r="G293" s="18" t="b">
        <v>0</v>
      </c>
      <c r="H293" s="18">
        <v>4</v>
      </c>
      <c r="I293" s="18">
        <v>1</v>
      </c>
      <c r="J293" s="18">
        <v>0.14000000000000001</v>
      </c>
      <c r="K293" s="18">
        <v>0.1212</v>
      </c>
      <c r="L293" s="18">
        <v>0.39</v>
      </c>
      <c r="M293" s="18">
        <v>0.35820000000000002</v>
      </c>
      <c r="N293" s="18">
        <v>1</v>
      </c>
      <c r="O293" s="18">
        <v>44</v>
      </c>
      <c r="P293" s="18">
        <v>45</v>
      </c>
    </row>
    <row r="294" spans="1:16" x14ac:dyDescent="0.25">
      <c r="A294" s="18">
        <v>912</v>
      </c>
      <c r="B294" s="17">
        <v>40584</v>
      </c>
      <c r="C294" s="18">
        <v>1</v>
      </c>
      <c r="D294" s="18">
        <v>0</v>
      </c>
      <c r="E294" s="18">
        <v>2</v>
      </c>
      <c r="F294" s="18">
        <v>12</v>
      </c>
      <c r="G294" s="18" t="b">
        <v>0</v>
      </c>
      <c r="H294" s="18">
        <v>4</v>
      </c>
      <c r="I294" s="18">
        <v>1</v>
      </c>
      <c r="J294" s="18">
        <v>0.16</v>
      </c>
      <c r="K294" s="18">
        <v>0.13639999999999999</v>
      </c>
      <c r="L294" s="18">
        <v>0.34</v>
      </c>
      <c r="M294" s="18">
        <v>0.3881</v>
      </c>
      <c r="N294" s="18">
        <v>4</v>
      </c>
      <c r="O294" s="18">
        <v>65</v>
      </c>
      <c r="P294" s="18">
        <v>69</v>
      </c>
    </row>
    <row r="295" spans="1:16" x14ac:dyDescent="0.25">
      <c r="A295" s="18">
        <v>913</v>
      </c>
      <c r="B295" s="17">
        <v>40584</v>
      </c>
      <c r="C295" s="18">
        <v>1</v>
      </c>
      <c r="D295" s="18">
        <v>0</v>
      </c>
      <c r="E295" s="18">
        <v>2</v>
      </c>
      <c r="F295" s="18">
        <v>13</v>
      </c>
      <c r="G295" s="18" t="b">
        <v>0</v>
      </c>
      <c r="H295" s="18">
        <v>4</v>
      </c>
      <c r="I295" s="18">
        <v>1</v>
      </c>
      <c r="J295" s="18">
        <v>0.18</v>
      </c>
      <c r="K295" s="18">
        <v>0.16669999999999999</v>
      </c>
      <c r="L295" s="18">
        <v>0.28999999999999998</v>
      </c>
      <c r="M295" s="18">
        <v>0.29849999999999999</v>
      </c>
      <c r="N295" s="18">
        <v>3</v>
      </c>
      <c r="O295" s="18">
        <v>59</v>
      </c>
      <c r="P295" s="18">
        <v>62</v>
      </c>
    </row>
    <row r="296" spans="1:16" x14ac:dyDescent="0.25">
      <c r="A296" s="18">
        <v>914</v>
      </c>
      <c r="B296" s="17">
        <v>40584</v>
      </c>
      <c r="C296" s="18">
        <v>1</v>
      </c>
      <c r="D296" s="18">
        <v>0</v>
      </c>
      <c r="E296" s="18">
        <v>2</v>
      </c>
      <c r="F296" s="18">
        <v>14</v>
      </c>
      <c r="G296" s="18" t="b">
        <v>0</v>
      </c>
      <c r="H296" s="18">
        <v>4</v>
      </c>
      <c r="I296" s="18">
        <v>1</v>
      </c>
      <c r="J296" s="18">
        <v>0.2</v>
      </c>
      <c r="K296" s="18">
        <v>0.18179999999999999</v>
      </c>
      <c r="L296" s="18">
        <v>0.27</v>
      </c>
      <c r="M296" s="18">
        <v>0.28360000000000002</v>
      </c>
      <c r="N296" s="18">
        <v>6</v>
      </c>
      <c r="O296" s="18">
        <v>42</v>
      </c>
      <c r="P296" s="18">
        <v>48</v>
      </c>
    </row>
    <row r="297" spans="1:16" x14ac:dyDescent="0.25">
      <c r="A297" s="18">
        <v>915</v>
      </c>
      <c r="B297" s="17">
        <v>40584</v>
      </c>
      <c r="C297" s="18">
        <v>1</v>
      </c>
      <c r="D297" s="18">
        <v>0</v>
      </c>
      <c r="E297" s="18">
        <v>2</v>
      </c>
      <c r="F297" s="18">
        <v>15</v>
      </c>
      <c r="G297" s="18" t="b">
        <v>0</v>
      </c>
      <c r="H297" s="18">
        <v>4</v>
      </c>
      <c r="I297" s="18">
        <v>1</v>
      </c>
      <c r="J297" s="18">
        <v>0.2</v>
      </c>
      <c r="K297" s="18">
        <v>0.19700000000000001</v>
      </c>
      <c r="L297" s="18">
        <v>0.25</v>
      </c>
      <c r="M297" s="18">
        <v>0.25369999999999998</v>
      </c>
      <c r="N297" s="18">
        <v>0</v>
      </c>
      <c r="O297" s="18">
        <v>50</v>
      </c>
      <c r="P297" s="18">
        <v>50</v>
      </c>
    </row>
    <row r="298" spans="1:16" x14ac:dyDescent="0.25">
      <c r="A298" s="18">
        <v>916</v>
      </c>
      <c r="B298" s="17">
        <v>40584</v>
      </c>
      <c r="C298" s="18">
        <v>1</v>
      </c>
      <c r="D298" s="18">
        <v>0</v>
      </c>
      <c r="E298" s="18">
        <v>2</v>
      </c>
      <c r="F298" s="18">
        <v>16</v>
      </c>
      <c r="G298" s="18" t="b">
        <v>0</v>
      </c>
      <c r="H298" s="18">
        <v>4</v>
      </c>
      <c r="I298" s="18">
        <v>1</v>
      </c>
      <c r="J298" s="18">
        <v>0.2</v>
      </c>
      <c r="K298" s="18">
        <v>0.18179999999999999</v>
      </c>
      <c r="L298" s="18">
        <v>0.27</v>
      </c>
      <c r="M298" s="18">
        <v>0.29849999999999999</v>
      </c>
      <c r="N298" s="18">
        <v>4</v>
      </c>
      <c r="O298" s="18">
        <v>76</v>
      </c>
      <c r="P298" s="18">
        <v>80</v>
      </c>
    </row>
    <row r="299" spans="1:16" x14ac:dyDescent="0.25">
      <c r="A299" s="18">
        <v>917</v>
      </c>
      <c r="B299" s="17">
        <v>40584</v>
      </c>
      <c r="C299" s="18">
        <v>1</v>
      </c>
      <c r="D299" s="18">
        <v>0</v>
      </c>
      <c r="E299" s="18">
        <v>2</v>
      </c>
      <c r="F299" s="18">
        <v>17</v>
      </c>
      <c r="G299" s="18" t="b">
        <v>0</v>
      </c>
      <c r="H299" s="18">
        <v>4</v>
      </c>
      <c r="I299" s="18">
        <v>1</v>
      </c>
      <c r="J299" s="18">
        <v>0.18</v>
      </c>
      <c r="K299" s="18">
        <v>0.18179999999999999</v>
      </c>
      <c r="L299" s="18">
        <v>0.26</v>
      </c>
      <c r="M299" s="18">
        <v>0.19400000000000001</v>
      </c>
      <c r="N299" s="18">
        <v>6</v>
      </c>
      <c r="O299" s="18">
        <v>159</v>
      </c>
      <c r="P299" s="18">
        <v>165</v>
      </c>
    </row>
    <row r="300" spans="1:16" x14ac:dyDescent="0.25">
      <c r="A300" s="18">
        <v>918</v>
      </c>
      <c r="B300" s="17">
        <v>40584</v>
      </c>
      <c r="C300" s="18">
        <v>1</v>
      </c>
      <c r="D300" s="18">
        <v>0</v>
      </c>
      <c r="E300" s="18">
        <v>2</v>
      </c>
      <c r="F300" s="18">
        <v>18</v>
      </c>
      <c r="G300" s="18" t="b">
        <v>0</v>
      </c>
      <c r="H300" s="18">
        <v>4</v>
      </c>
      <c r="I300" s="18">
        <v>1</v>
      </c>
      <c r="J300" s="18">
        <v>0.16</v>
      </c>
      <c r="K300" s="18">
        <v>0.18179999999999999</v>
      </c>
      <c r="L300" s="18">
        <v>0.28000000000000003</v>
      </c>
      <c r="M300" s="18">
        <v>0.1343</v>
      </c>
      <c r="N300" s="18">
        <v>3</v>
      </c>
      <c r="O300" s="18">
        <v>157</v>
      </c>
      <c r="P300" s="18">
        <v>160</v>
      </c>
    </row>
    <row r="301" spans="1:16" x14ac:dyDescent="0.25">
      <c r="A301" s="18">
        <v>919</v>
      </c>
      <c r="B301" s="17">
        <v>40584</v>
      </c>
      <c r="C301" s="18">
        <v>1</v>
      </c>
      <c r="D301" s="18">
        <v>0</v>
      </c>
      <c r="E301" s="18">
        <v>2</v>
      </c>
      <c r="F301" s="18">
        <v>19</v>
      </c>
      <c r="G301" s="18" t="b">
        <v>0</v>
      </c>
      <c r="H301" s="18">
        <v>4</v>
      </c>
      <c r="I301" s="18">
        <v>1</v>
      </c>
      <c r="J301" s="18">
        <v>0.14000000000000001</v>
      </c>
      <c r="K301" s="18">
        <v>0.16669999999999999</v>
      </c>
      <c r="L301" s="18">
        <v>0.28000000000000003</v>
      </c>
      <c r="M301" s="18">
        <v>0.1045</v>
      </c>
      <c r="N301" s="18">
        <v>2</v>
      </c>
      <c r="O301" s="18">
        <v>110</v>
      </c>
      <c r="P301" s="18">
        <v>112</v>
      </c>
    </row>
    <row r="302" spans="1:16" x14ac:dyDescent="0.25">
      <c r="A302" s="18">
        <v>920</v>
      </c>
      <c r="B302" s="17">
        <v>40584</v>
      </c>
      <c r="C302" s="18">
        <v>1</v>
      </c>
      <c r="D302" s="18">
        <v>0</v>
      </c>
      <c r="E302" s="18">
        <v>2</v>
      </c>
      <c r="F302" s="18">
        <v>20</v>
      </c>
      <c r="G302" s="18" t="b">
        <v>0</v>
      </c>
      <c r="H302" s="18">
        <v>4</v>
      </c>
      <c r="I302" s="18">
        <v>1</v>
      </c>
      <c r="J302" s="18">
        <v>0.14000000000000001</v>
      </c>
      <c r="K302" s="18">
        <v>0.18179999999999999</v>
      </c>
      <c r="L302" s="18">
        <v>0.31</v>
      </c>
      <c r="M302" s="18">
        <v>8.9599999999999999E-2</v>
      </c>
      <c r="N302" s="18">
        <v>4</v>
      </c>
      <c r="O302" s="18">
        <v>93</v>
      </c>
      <c r="P302" s="18">
        <v>97</v>
      </c>
    </row>
    <row r="303" spans="1:16" x14ac:dyDescent="0.25">
      <c r="A303" s="18">
        <v>921</v>
      </c>
      <c r="B303" s="17">
        <v>40584</v>
      </c>
      <c r="C303" s="18">
        <v>1</v>
      </c>
      <c r="D303" s="18">
        <v>0</v>
      </c>
      <c r="E303" s="18">
        <v>2</v>
      </c>
      <c r="F303" s="18">
        <v>21</v>
      </c>
      <c r="G303" s="18" t="b">
        <v>0</v>
      </c>
      <c r="H303" s="18">
        <v>4</v>
      </c>
      <c r="I303" s="18">
        <v>1</v>
      </c>
      <c r="J303" s="18">
        <v>0.14000000000000001</v>
      </c>
      <c r="K303" s="18">
        <v>0.21210000000000001</v>
      </c>
      <c r="L303" s="18">
        <v>0.39</v>
      </c>
      <c r="M303" s="18">
        <v>0</v>
      </c>
      <c r="N303" s="18">
        <v>2</v>
      </c>
      <c r="O303" s="18">
        <v>70</v>
      </c>
      <c r="P303" s="18">
        <v>72</v>
      </c>
    </row>
    <row r="304" spans="1:16" x14ac:dyDescent="0.25">
      <c r="A304" s="18">
        <v>922</v>
      </c>
      <c r="B304" s="17">
        <v>40584</v>
      </c>
      <c r="C304" s="18">
        <v>1</v>
      </c>
      <c r="D304" s="18">
        <v>0</v>
      </c>
      <c r="E304" s="18">
        <v>2</v>
      </c>
      <c r="F304" s="18">
        <v>22</v>
      </c>
      <c r="G304" s="18" t="b">
        <v>0</v>
      </c>
      <c r="H304" s="18">
        <v>4</v>
      </c>
      <c r="I304" s="18">
        <v>1</v>
      </c>
      <c r="J304" s="18">
        <v>0.12</v>
      </c>
      <c r="K304" s="18">
        <v>0.19700000000000001</v>
      </c>
      <c r="L304" s="18">
        <v>0.39</v>
      </c>
      <c r="M304" s="18">
        <v>0</v>
      </c>
      <c r="N304" s="18">
        <v>4</v>
      </c>
      <c r="O304" s="18">
        <v>47</v>
      </c>
      <c r="P304" s="18">
        <v>51</v>
      </c>
    </row>
    <row r="305" spans="1:16" x14ac:dyDescent="0.25">
      <c r="A305" s="18">
        <v>923</v>
      </c>
      <c r="B305" s="17">
        <v>40584</v>
      </c>
      <c r="C305" s="18">
        <v>1</v>
      </c>
      <c r="D305" s="18">
        <v>0</v>
      </c>
      <c r="E305" s="18">
        <v>2</v>
      </c>
      <c r="F305" s="18">
        <v>23</v>
      </c>
      <c r="G305" s="18" t="b">
        <v>0</v>
      </c>
      <c r="H305" s="18">
        <v>4</v>
      </c>
      <c r="I305" s="18">
        <v>1</v>
      </c>
      <c r="J305" s="18">
        <v>0.12</v>
      </c>
      <c r="K305" s="18">
        <v>0.1515</v>
      </c>
      <c r="L305" s="18">
        <v>0.42</v>
      </c>
      <c r="M305" s="18">
        <v>0.1045</v>
      </c>
      <c r="N305" s="18">
        <v>1</v>
      </c>
      <c r="O305" s="18">
        <v>33</v>
      </c>
      <c r="P305" s="18">
        <v>34</v>
      </c>
    </row>
    <row r="306" spans="1:16" x14ac:dyDescent="0.25">
      <c r="A306" s="18">
        <v>924</v>
      </c>
      <c r="B306" s="17">
        <v>40585</v>
      </c>
      <c r="C306" s="18">
        <v>1</v>
      </c>
      <c r="D306" s="18">
        <v>0</v>
      </c>
      <c r="E306" s="18">
        <v>2</v>
      </c>
      <c r="F306" s="18">
        <v>0</v>
      </c>
      <c r="G306" s="18" t="b">
        <v>0</v>
      </c>
      <c r="H306" s="18">
        <v>5</v>
      </c>
      <c r="I306" s="18">
        <v>1</v>
      </c>
      <c r="J306" s="18">
        <v>0.1</v>
      </c>
      <c r="K306" s="18">
        <v>0.13639999999999999</v>
      </c>
      <c r="L306" s="18">
        <v>0.49</v>
      </c>
      <c r="M306" s="18">
        <v>0.1045</v>
      </c>
      <c r="N306" s="18">
        <v>2</v>
      </c>
      <c r="O306" s="18">
        <v>12</v>
      </c>
      <c r="P306" s="18">
        <v>14</v>
      </c>
    </row>
    <row r="307" spans="1:16" x14ac:dyDescent="0.25">
      <c r="A307" s="18">
        <v>925</v>
      </c>
      <c r="B307" s="17">
        <v>40585</v>
      </c>
      <c r="C307" s="18">
        <v>1</v>
      </c>
      <c r="D307" s="18">
        <v>0</v>
      </c>
      <c r="E307" s="18">
        <v>2</v>
      </c>
      <c r="F307" s="18">
        <v>1</v>
      </c>
      <c r="G307" s="18" t="b">
        <v>0</v>
      </c>
      <c r="H307" s="18">
        <v>5</v>
      </c>
      <c r="I307" s="18">
        <v>1</v>
      </c>
      <c r="J307" s="18">
        <v>0.1</v>
      </c>
      <c r="K307" s="18">
        <v>0.13639999999999999</v>
      </c>
      <c r="L307" s="18">
        <v>0.54</v>
      </c>
      <c r="M307" s="18">
        <v>8.9599999999999999E-2</v>
      </c>
      <c r="N307" s="18">
        <v>1</v>
      </c>
      <c r="O307" s="18">
        <v>6</v>
      </c>
      <c r="P307" s="18">
        <v>7</v>
      </c>
    </row>
    <row r="308" spans="1:16" x14ac:dyDescent="0.25">
      <c r="A308" s="18">
        <v>926</v>
      </c>
      <c r="B308" s="17">
        <v>40585</v>
      </c>
      <c r="C308" s="18">
        <v>1</v>
      </c>
      <c r="D308" s="18">
        <v>0</v>
      </c>
      <c r="E308" s="18">
        <v>2</v>
      </c>
      <c r="F308" s="18">
        <v>2</v>
      </c>
      <c r="G308" s="18" t="b">
        <v>0</v>
      </c>
      <c r="H308" s="18">
        <v>5</v>
      </c>
      <c r="I308" s="18">
        <v>1</v>
      </c>
      <c r="J308" s="18">
        <v>0.1</v>
      </c>
      <c r="K308" s="18">
        <v>0.13639999999999999</v>
      </c>
      <c r="L308" s="18">
        <v>0.54</v>
      </c>
      <c r="M308" s="18">
        <v>8.9599999999999999E-2</v>
      </c>
      <c r="N308" s="18">
        <v>0</v>
      </c>
      <c r="O308" s="18">
        <v>3</v>
      </c>
      <c r="P308" s="18">
        <v>3</v>
      </c>
    </row>
    <row r="309" spans="1:16" x14ac:dyDescent="0.25">
      <c r="A309" s="18">
        <v>927</v>
      </c>
      <c r="B309" s="17">
        <v>40585</v>
      </c>
      <c r="C309" s="18">
        <v>1</v>
      </c>
      <c r="D309" s="18">
        <v>0</v>
      </c>
      <c r="E309" s="18">
        <v>2</v>
      </c>
      <c r="F309" s="18">
        <v>5</v>
      </c>
      <c r="G309" s="18" t="b">
        <v>0</v>
      </c>
      <c r="H309" s="18">
        <v>5</v>
      </c>
      <c r="I309" s="18">
        <v>1</v>
      </c>
      <c r="J309" s="18">
        <v>0.08</v>
      </c>
      <c r="K309" s="18">
        <v>0.1212</v>
      </c>
      <c r="L309" s="18">
        <v>0.63</v>
      </c>
      <c r="M309" s="18">
        <v>8.9599999999999999E-2</v>
      </c>
      <c r="N309" s="18">
        <v>0</v>
      </c>
      <c r="O309" s="18">
        <v>4</v>
      </c>
      <c r="P309" s="18">
        <v>4</v>
      </c>
    </row>
    <row r="310" spans="1:16" x14ac:dyDescent="0.25">
      <c r="A310" s="18">
        <v>928</v>
      </c>
      <c r="B310" s="17">
        <v>40585</v>
      </c>
      <c r="C310" s="18">
        <v>1</v>
      </c>
      <c r="D310" s="18">
        <v>0</v>
      </c>
      <c r="E310" s="18">
        <v>2</v>
      </c>
      <c r="F310" s="18">
        <v>6</v>
      </c>
      <c r="G310" s="18" t="b">
        <v>0</v>
      </c>
      <c r="H310" s="18">
        <v>5</v>
      </c>
      <c r="I310" s="18">
        <v>1</v>
      </c>
      <c r="J310" s="18">
        <v>0.1</v>
      </c>
      <c r="K310" s="18">
        <v>0.18179999999999999</v>
      </c>
      <c r="L310" s="18">
        <v>0.68</v>
      </c>
      <c r="M310" s="18">
        <v>0</v>
      </c>
      <c r="N310" s="18">
        <v>1</v>
      </c>
      <c r="O310" s="18">
        <v>23</v>
      </c>
      <c r="P310" s="18">
        <v>24</v>
      </c>
    </row>
    <row r="311" spans="1:16" x14ac:dyDescent="0.25">
      <c r="A311" s="18">
        <v>929</v>
      </c>
      <c r="B311" s="17">
        <v>40585</v>
      </c>
      <c r="C311" s="18">
        <v>1</v>
      </c>
      <c r="D311" s="18">
        <v>0</v>
      </c>
      <c r="E311" s="18">
        <v>2</v>
      </c>
      <c r="F311" s="18">
        <v>7</v>
      </c>
      <c r="G311" s="18" t="b">
        <v>0</v>
      </c>
      <c r="H311" s="18">
        <v>5</v>
      </c>
      <c r="I311" s="18">
        <v>1</v>
      </c>
      <c r="J311" s="18">
        <v>0.08</v>
      </c>
      <c r="K311" s="18">
        <v>0.16669999999999999</v>
      </c>
      <c r="L311" s="18">
        <v>0.73</v>
      </c>
      <c r="M311" s="18">
        <v>0</v>
      </c>
      <c r="N311" s="18">
        <v>1</v>
      </c>
      <c r="O311" s="18">
        <v>73</v>
      </c>
      <c r="P311" s="18">
        <v>74</v>
      </c>
    </row>
    <row r="312" spans="1:16" x14ac:dyDescent="0.25">
      <c r="A312" s="18">
        <v>930</v>
      </c>
      <c r="B312" s="17">
        <v>40585</v>
      </c>
      <c r="C312" s="18">
        <v>1</v>
      </c>
      <c r="D312" s="18">
        <v>0</v>
      </c>
      <c r="E312" s="18">
        <v>2</v>
      </c>
      <c r="F312" s="18">
        <v>8</v>
      </c>
      <c r="G312" s="18" t="b">
        <v>0</v>
      </c>
      <c r="H312" s="18">
        <v>5</v>
      </c>
      <c r="I312" s="18">
        <v>1</v>
      </c>
      <c r="J312" s="18">
        <v>0.1</v>
      </c>
      <c r="K312" s="18">
        <v>0.1212</v>
      </c>
      <c r="L312" s="18">
        <v>0.74</v>
      </c>
      <c r="M312" s="18">
        <v>0.16420000000000001</v>
      </c>
      <c r="N312" s="18">
        <v>4</v>
      </c>
      <c r="O312" s="18">
        <v>212</v>
      </c>
      <c r="P312" s="18">
        <v>216</v>
      </c>
    </row>
    <row r="313" spans="1:16" x14ac:dyDescent="0.25">
      <c r="A313" s="18">
        <v>931</v>
      </c>
      <c r="B313" s="17">
        <v>40585</v>
      </c>
      <c r="C313" s="18">
        <v>1</v>
      </c>
      <c r="D313" s="18">
        <v>0</v>
      </c>
      <c r="E313" s="18">
        <v>2</v>
      </c>
      <c r="F313" s="18">
        <v>9</v>
      </c>
      <c r="G313" s="18" t="b">
        <v>0</v>
      </c>
      <c r="H313" s="18">
        <v>5</v>
      </c>
      <c r="I313" s="18">
        <v>1</v>
      </c>
      <c r="J313" s="18">
        <v>0.12</v>
      </c>
      <c r="K313" s="18">
        <v>0.1212</v>
      </c>
      <c r="L313" s="18">
        <v>0.74</v>
      </c>
      <c r="M313" s="18">
        <v>0.22389999999999999</v>
      </c>
      <c r="N313" s="18">
        <v>8</v>
      </c>
      <c r="O313" s="18">
        <v>132</v>
      </c>
      <c r="P313" s="18">
        <v>140</v>
      </c>
    </row>
    <row r="314" spans="1:16" x14ac:dyDescent="0.25">
      <c r="A314" s="18">
        <v>932</v>
      </c>
      <c r="B314" s="17">
        <v>40585</v>
      </c>
      <c r="C314" s="18">
        <v>1</v>
      </c>
      <c r="D314" s="18">
        <v>0</v>
      </c>
      <c r="E314" s="18">
        <v>2</v>
      </c>
      <c r="F314" s="18">
        <v>10</v>
      </c>
      <c r="G314" s="18" t="b">
        <v>0</v>
      </c>
      <c r="H314" s="18">
        <v>5</v>
      </c>
      <c r="I314" s="18">
        <v>1</v>
      </c>
      <c r="J314" s="18">
        <v>0.14000000000000001</v>
      </c>
      <c r="K314" s="18">
        <v>0.13639999999999999</v>
      </c>
      <c r="L314" s="18">
        <v>0.69</v>
      </c>
      <c r="M314" s="18">
        <v>0.19400000000000001</v>
      </c>
      <c r="N314" s="18">
        <v>5</v>
      </c>
      <c r="O314" s="18">
        <v>39</v>
      </c>
      <c r="P314" s="18">
        <v>44</v>
      </c>
    </row>
    <row r="315" spans="1:16" x14ac:dyDescent="0.25">
      <c r="A315" s="18">
        <v>933</v>
      </c>
      <c r="B315" s="17">
        <v>40585</v>
      </c>
      <c r="C315" s="18">
        <v>1</v>
      </c>
      <c r="D315" s="18">
        <v>0</v>
      </c>
      <c r="E315" s="18">
        <v>2</v>
      </c>
      <c r="F315" s="18">
        <v>11</v>
      </c>
      <c r="G315" s="18" t="b">
        <v>0</v>
      </c>
      <c r="H315" s="18">
        <v>5</v>
      </c>
      <c r="I315" s="18">
        <v>1</v>
      </c>
      <c r="J315" s="18">
        <v>0.22</v>
      </c>
      <c r="K315" s="18">
        <v>0.2273</v>
      </c>
      <c r="L315" s="18">
        <v>0.47</v>
      </c>
      <c r="M315" s="18">
        <v>0.1343</v>
      </c>
      <c r="N315" s="18">
        <v>12</v>
      </c>
      <c r="O315" s="18">
        <v>52</v>
      </c>
      <c r="P315" s="18">
        <v>64</v>
      </c>
    </row>
    <row r="316" spans="1:16" x14ac:dyDescent="0.25">
      <c r="A316" s="18">
        <v>934</v>
      </c>
      <c r="B316" s="17">
        <v>40585</v>
      </c>
      <c r="C316" s="18">
        <v>1</v>
      </c>
      <c r="D316" s="18">
        <v>0</v>
      </c>
      <c r="E316" s="18">
        <v>2</v>
      </c>
      <c r="F316" s="18">
        <v>12</v>
      </c>
      <c r="G316" s="18" t="b">
        <v>0</v>
      </c>
      <c r="H316" s="18">
        <v>5</v>
      </c>
      <c r="I316" s="18">
        <v>1</v>
      </c>
      <c r="J316" s="18">
        <v>0.22</v>
      </c>
      <c r="K316" s="18">
        <v>0.2273</v>
      </c>
      <c r="L316" s="18">
        <v>0.47</v>
      </c>
      <c r="M316" s="18">
        <v>0.1343</v>
      </c>
      <c r="N316" s="18">
        <v>7</v>
      </c>
      <c r="O316" s="18">
        <v>64</v>
      </c>
      <c r="P316" s="18">
        <v>71</v>
      </c>
    </row>
    <row r="317" spans="1:16" x14ac:dyDescent="0.25">
      <c r="A317" s="18">
        <v>935</v>
      </c>
      <c r="B317" s="17">
        <v>40585</v>
      </c>
      <c r="C317" s="18">
        <v>1</v>
      </c>
      <c r="D317" s="18">
        <v>0</v>
      </c>
      <c r="E317" s="18">
        <v>2</v>
      </c>
      <c r="F317" s="18">
        <v>13</v>
      </c>
      <c r="G317" s="18" t="b">
        <v>0</v>
      </c>
      <c r="H317" s="18">
        <v>5</v>
      </c>
      <c r="I317" s="18">
        <v>1</v>
      </c>
      <c r="J317" s="18">
        <v>0.24</v>
      </c>
      <c r="K317" s="18">
        <v>0.2273</v>
      </c>
      <c r="L317" s="18">
        <v>0.35</v>
      </c>
      <c r="M317" s="18">
        <v>0.19400000000000001</v>
      </c>
      <c r="N317" s="18">
        <v>21</v>
      </c>
      <c r="O317" s="18">
        <v>89</v>
      </c>
      <c r="P317" s="18">
        <v>110</v>
      </c>
    </row>
    <row r="318" spans="1:16" x14ac:dyDescent="0.25">
      <c r="A318" s="18">
        <v>936</v>
      </c>
      <c r="B318" s="17">
        <v>40585</v>
      </c>
      <c r="C318" s="18">
        <v>1</v>
      </c>
      <c r="D318" s="18">
        <v>0</v>
      </c>
      <c r="E318" s="18">
        <v>2</v>
      </c>
      <c r="F318" s="18">
        <v>14</v>
      </c>
      <c r="G318" s="18" t="b">
        <v>0</v>
      </c>
      <c r="H318" s="18">
        <v>5</v>
      </c>
      <c r="I318" s="18">
        <v>1</v>
      </c>
      <c r="J318" s="18">
        <v>0.3</v>
      </c>
      <c r="K318" s="18">
        <v>0.28789999999999999</v>
      </c>
      <c r="L318" s="18">
        <v>0.26</v>
      </c>
      <c r="M318" s="18">
        <v>0.25369999999999998</v>
      </c>
      <c r="N318" s="18">
        <v>17</v>
      </c>
      <c r="O318" s="18">
        <v>67</v>
      </c>
      <c r="P318" s="18">
        <v>84</v>
      </c>
    </row>
    <row r="319" spans="1:16" x14ac:dyDescent="0.25">
      <c r="A319" s="18">
        <v>937</v>
      </c>
      <c r="B319" s="17">
        <v>40585</v>
      </c>
      <c r="C319" s="18">
        <v>1</v>
      </c>
      <c r="D319" s="18">
        <v>0</v>
      </c>
      <c r="E319" s="18">
        <v>2</v>
      </c>
      <c r="F319" s="18">
        <v>15</v>
      </c>
      <c r="G319" s="18" t="b">
        <v>0</v>
      </c>
      <c r="H319" s="18">
        <v>5</v>
      </c>
      <c r="I319" s="18">
        <v>1</v>
      </c>
      <c r="J319" s="18">
        <v>0.32</v>
      </c>
      <c r="K319" s="18">
        <v>0.31819999999999998</v>
      </c>
      <c r="L319" s="18">
        <v>0.21</v>
      </c>
      <c r="M319" s="18">
        <v>0.16420000000000001</v>
      </c>
      <c r="N319" s="18">
        <v>12</v>
      </c>
      <c r="O319" s="18">
        <v>62</v>
      </c>
      <c r="P319" s="18">
        <v>74</v>
      </c>
    </row>
    <row r="320" spans="1:16" x14ac:dyDescent="0.25">
      <c r="A320" s="18">
        <v>938</v>
      </c>
      <c r="B320" s="17">
        <v>40585</v>
      </c>
      <c r="C320" s="18">
        <v>1</v>
      </c>
      <c r="D320" s="18">
        <v>0</v>
      </c>
      <c r="E320" s="18">
        <v>2</v>
      </c>
      <c r="F320" s="18">
        <v>16</v>
      </c>
      <c r="G320" s="18" t="b">
        <v>0</v>
      </c>
      <c r="H320" s="18">
        <v>5</v>
      </c>
      <c r="I320" s="18">
        <v>1</v>
      </c>
      <c r="J320" s="18">
        <v>0.3</v>
      </c>
      <c r="K320" s="18">
        <v>0.28789999999999999</v>
      </c>
      <c r="L320" s="18">
        <v>0.28000000000000003</v>
      </c>
      <c r="M320" s="18">
        <v>0.19400000000000001</v>
      </c>
      <c r="N320" s="18">
        <v>14</v>
      </c>
      <c r="O320" s="18">
        <v>111</v>
      </c>
      <c r="P320" s="18">
        <v>125</v>
      </c>
    </row>
    <row r="321" spans="1:16" x14ac:dyDescent="0.25">
      <c r="A321" s="18">
        <v>939</v>
      </c>
      <c r="B321" s="17">
        <v>40585</v>
      </c>
      <c r="C321" s="18">
        <v>1</v>
      </c>
      <c r="D321" s="18">
        <v>0</v>
      </c>
      <c r="E321" s="18">
        <v>2</v>
      </c>
      <c r="F321" s="18">
        <v>17</v>
      </c>
      <c r="G321" s="18" t="b">
        <v>0</v>
      </c>
      <c r="H321" s="18">
        <v>5</v>
      </c>
      <c r="I321" s="18">
        <v>1</v>
      </c>
      <c r="J321" s="18">
        <v>0.3</v>
      </c>
      <c r="K321" s="18">
        <v>0.33329999999999999</v>
      </c>
      <c r="L321" s="18">
        <v>0.24</v>
      </c>
      <c r="M321" s="18">
        <v>0</v>
      </c>
      <c r="N321" s="18">
        <v>18</v>
      </c>
      <c r="O321" s="18">
        <v>193</v>
      </c>
      <c r="P321" s="18">
        <v>211</v>
      </c>
    </row>
    <row r="322" spans="1:16" x14ac:dyDescent="0.25">
      <c r="A322" s="18">
        <v>940</v>
      </c>
      <c r="B322" s="17">
        <v>40585</v>
      </c>
      <c r="C322" s="18">
        <v>1</v>
      </c>
      <c r="D322" s="18">
        <v>0</v>
      </c>
      <c r="E322" s="18">
        <v>2</v>
      </c>
      <c r="F322" s="18">
        <v>18</v>
      </c>
      <c r="G322" s="18" t="b">
        <v>0</v>
      </c>
      <c r="H322" s="18">
        <v>5</v>
      </c>
      <c r="I322" s="18">
        <v>1</v>
      </c>
      <c r="J322" s="18">
        <v>0.28000000000000003</v>
      </c>
      <c r="K322" s="18">
        <v>0.31819999999999998</v>
      </c>
      <c r="L322" s="18">
        <v>0.28000000000000003</v>
      </c>
      <c r="M322" s="18">
        <v>0</v>
      </c>
      <c r="N322" s="18">
        <v>9</v>
      </c>
      <c r="O322" s="18">
        <v>165</v>
      </c>
      <c r="P322" s="18">
        <v>174</v>
      </c>
    </row>
    <row r="323" spans="1:16" x14ac:dyDescent="0.25">
      <c r="A323" s="18">
        <v>941</v>
      </c>
      <c r="B323" s="17">
        <v>40585</v>
      </c>
      <c r="C323" s="18">
        <v>1</v>
      </c>
      <c r="D323" s="18">
        <v>0</v>
      </c>
      <c r="E323" s="18">
        <v>2</v>
      </c>
      <c r="F323" s="18">
        <v>19</v>
      </c>
      <c r="G323" s="18" t="b">
        <v>0</v>
      </c>
      <c r="H323" s="18">
        <v>5</v>
      </c>
      <c r="I323" s="18">
        <v>1</v>
      </c>
      <c r="J323" s="18">
        <v>0.26</v>
      </c>
      <c r="K323" s="18">
        <v>0.30299999999999999</v>
      </c>
      <c r="L323" s="18">
        <v>0.33</v>
      </c>
      <c r="M323" s="18">
        <v>0</v>
      </c>
      <c r="N323" s="18">
        <v>7</v>
      </c>
      <c r="O323" s="18">
        <v>94</v>
      </c>
      <c r="P323" s="18">
        <v>101</v>
      </c>
    </row>
    <row r="324" spans="1:16" x14ac:dyDescent="0.25">
      <c r="A324" s="18">
        <v>942</v>
      </c>
      <c r="B324" s="17">
        <v>40585</v>
      </c>
      <c r="C324" s="18">
        <v>1</v>
      </c>
      <c r="D324" s="18">
        <v>0</v>
      </c>
      <c r="E324" s="18">
        <v>2</v>
      </c>
      <c r="F324" s="18">
        <v>20</v>
      </c>
      <c r="G324" s="18" t="b">
        <v>0</v>
      </c>
      <c r="H324" s="18">
        <v>5</v>
      </c>
      <c r="I324" s="18">
        <v>1</v>
      </c>
      <c r="J324" s="18">
        <v>0.22</v>
      </c>
      <c r="K324" s="18">
        <v>0.2273</v>
      </c>
      <c r="L324" s="18">
        <v>0.55000000000000004</v>
      </c>
      <c r="M324" s="18">
        <v>0.1343</v>
      </c>
      <c r="N324" s="18">
        <v>2</v>
      </c>
      <c r="O324" s="18">
        <v>61</v>
      </c>
      <c r="P324" s="18">
        <v>63</v>
      </c>
    </row>
    <row r="325" spans="1:16" x14ac:dyDescent="0.25">
      <c r="A325" s="18">
        <v>943</v>
      </c>
      <c r="B325" s="17">
        <v>40585</v>
      </c>
      <c r="C325" s="18">
        <v>1</v>
      </c>
      <c r="D325" s="18">
        <v>0</v>
      </c>
      <c r="E325" s="18">
        <v>2</v>
      </c>
      <c r="F325" s="18">
        <v>21</v>
      </c>
      <c r="G325" s="18" t="b">
        <v>0</v>
      </c>
      <c r="H325" s="18">
        <v>5</v>
      </c>
      <c r="I325" s="18">
        <v>1</v>
      </c>
      <c r="J325" s="18">
        <v>0.2</v>
      </c>
      <c r="K325" s="18">
        <v>0.21210000000000001</v>
      </c>
      <c r="L325" s="18">
        <v>0.59</v>
      </c>
      <c r="M325" s="18">
        <v>0.1343</v>
      </c>
      <c r="N325" s="18">
        <v>1</v>
      </c>
      <c r="O325" s="18">
        <v>46</v>
      </c>
      <c r="P325" s="18">
        <v>47</v>
      </c>
    </row>
    <row r="326" spans="1:16" x14ac:dyDescent="0.25">
      <c r="A326" s="18">
        <v>944</v>
      </c>
      <c r="B326" s="17">
        <v>40585</v>
      </c>
      <c r="C326" s="18">
        <v>1</v>
      </c>
      <c r="D326" s="18">
        <v>0</v>
      </c>
      <c r="E326" s="18">
        <v>2</v>
      </c>
      <c r="F326" s="18">
        <v>22</v>
      </c>
      <c r="G326" s="18" t="b">
        <v>0</v>
      </c>
      <c r="H326" s="18">
        <v>5</v>
      </c>
      <c r="I326" s="18">
        <v>1</v>
      </c>
      <c r="J326" s="18">
        <v>0.2</v>
      </c>
      <c r="K326" s="18">
        <v>0.2273</v>
      </c>
      <c r="L326" s="18">
        <v>0.64</v>
      </c>
      <c r="M326" s="18">
        <v>8.9599999999999999E-2</v>
      </c>
      <c r="N326" s="18">
        <v>2</v>
      </c>
      <c r="O326" s="18">
        <v>41</v>
      </c>
      <c r="P326" s="18">
        <v>43</v>
      </c>
    </row>
    <row r="327" spans="1:16" x14ac:dyDescent="0.25">
      <c r="A327" s="18">
        <v>945</v>
      </c>
      <c r="B327" s="17">
        <v>40585</v>
      </c>
      <c r="C327" s="18">
        <v>1</v>
      </c>
      <c r="D327" s="18">
        <v>0</v>
      </c>
      <c r="E327" s="18">
        <v>2</v>
      </c>
      <c r="F327" s="18">
        <v>23</v>
      </c>
      <c r="G327" s="18" t="b">
        <v>0</v>
      </c>
      <c r="H327" s="18">
        <v>5</v>
      </c>
      <c r="I327" s="18">
        <v>1</v>
      </c>
      <c r="J327" s="18">
        <v>0.18</v>
      </c>
      <c r="K327" s="18">
        <v>0.2424</v>
      </c>
      <c r="L327" s="18">
        <v>0.69</v>
      </c>
      <c r="M327" s="18">
        <v>0</v>
      </c>
      <c r="N327" s="18">
        <v>5</v>
      </c>
      <c r="O327" s="18">
        <v>48</v>
      </c>
      <c r="P327" s="18">
        <v>53</v>
      </c>
    </row>
    <row r="328" spans="1:16" x14ac:dyDescent="0.25">
      <c r="A328" s="18">
        <v>946</v>
      </c>
      <c r="B328" s="17">
        <v>40586</v>
      </c>
      <c r="C328" s="18">
        <v>1</v>
      </c>
      <c r="D328" s="18">
        <v>0</v>
      </c>
      <c r="E328" s="18">
        <v>2</v>
      </c>
      <c r="F328" s="18">
        <v>0</v>
      </c>
      <c r="G328" s="18" t="b">
        <v>0</v>
      </c>
      <c r="H328" s="18">
        <v>6</v>
      </c>
      <c r="I328" s="18">
        <v>1</v>
      </c>
      <c r="J328" s="18">
        <v>0.16</v>
      </c>
      <c r="K328" s="18">
        <v>0.19700000000000001</v>
      </c>
      <c r="L328" s="18">
        <v>0.69</v>
      </c>
      <c r="M328" s="18">
        <v>8.9599999999999999E-2</v>
      </c>
      <c r="N328" s="18">
        <v>3</v>
      </c>
      <c r="O328" s="18">
        <v>27</v>
      </c>
      <c r="P328" s="18">
        <v>30</v>
      </c>
    </row>
    <row r="329" spans="1:16" x14ac:dyDescent="0.25">
      <c r="A329" s="18">
        <v>947</v>
      </c>
      <c r="B329" s="17">
        <v>40586</v>
      </c>
      <c r="C329" s="18">
        <v>1</v>
      </c>
      <c r="D329" s="18">
        <v>0</v>
      </c>
      <c r="E329" s="18">
        <v>2</v>
      </c>
      <c r="F329" s="18">
        <v>1</v>
      </c>
      <c r="G329" s="18" t="b">
        <v>0</v>
      </c>
      <c r="H329" s="18">
        <v>6</v>
      </c>
      <c r="I329" s="18">
        <v>1</v>
      </c>
      <c r="J329" s="18">
        <v>0.14000000000000001</v>
      </c>
      <c r="K329" s="18">
        <v>0.21210000000000001</v>
      </c>
      <c r="L329" s="18">
        <v>0.86</v>
      </c>
      <c r="M329" s="18">
        <v>0</v>
      </c>
      <c r="N329" s="18">
        <v>2</v>
      </c>
      <c r="O329" s="18">
        <v>22</v>
      </c>
      <c r="P329" s="18">
        <v>24</v>
      </c>
    </row>
    <row r="330" spans="1:16" x14ac:dyDescent="0.25">
      <c r="A330" s="18">
        <v>948</v>
      </c>
      <c r="B330" s="17">
        <v>40586</v>
      </c>
      <c r="C330" s="18">
        <v>1</v>
      </c>
      <c r="D330" s="18">
        <v>0</v>
      </c>
      <c r="E330" s="18">
        <v>2</v>
      </c>
      <c r="F330" s="18">
        <v>2</v>
      </c>
      <c r="G330" s="18" t="b">
        <v>0</v>
      </c>
      <c r="H330" s="18">
        <v>6</v>
      </c>
      <c r="I330" s="18">
        <v>1</v>
      </c>
      <c r="J330" s="18">
        <v>0.14000000000000001</v>
      </c>
      <c r="K330" s="18">
        <v>0.21210000000000001</v>
      </c>
      <c r="L330" s="18">
        <v>0.8</v>
      </c>
      <c r="M330" s="18">
        <v>0</v>
      </c>
      <c r="N330" s="18">
        <v>2</v>
      </c>
      <c r="O330" s="18">
        <v>13</v>
      </c>
      <c r="P330" s="18">
        <v>15</v>
      </c>
    </row>
    <row r="331" spans="1:16" x14ac:dyDescent="0.25">
      <c r="A331" s="18">
        <v>949</v>
      </c>
      <c r="B331" s="17">
        <v>40586</v>
      </c>
      <c r="C331" s="18">
        <v>1</v>
      </c>
      <c r="D331" s="18">
        <v>0</v>
      </c>
      <c r="E331" s="18">
        <v>2</v>
      </c>
      <c r="F331" s="18">
        <v>3</v>
      </c>
      <c r="G331" s="18" t="b">
        <v>0</v>
      </c>
      <c r="H331" s="18">
        <v>6</v>
      </c>
      <c r="I331" s="18">
        <v>1</v>
      </c>
      <c r="J331" s="18">
        <v>0.12</v>
      </c>
      <c r="K331" s="18">
        <v>0.19700000000000001</v>
      </c>
      <c r="L331" s="18">
        <v>0.8</v>
      </c>
      <c r="M331" s="18">
        <v>0</v>
      </c>
      <c r="N331" s="18">
        <v>3</v>
      </c>
      <c r="O331" s="18">
        <v>7</v>
      </c>
      <c r="P331" s="18">
        <v>10</v>
      </c>
    </row>
    <row r="332" spans="1:16" x14ac:dyDescent="0.25">
      <c r="A332" s="18">
        <v>950</v>
      </c>
      <c r="B332" s="17">
        <v>40586</v>
      </c>
      <c r="C332" s="18">
        <v>1</v>
      </c>
      <c r="D332" s="18">
        <v>0</v>
      </c>
      <c r="E332" s="18">
        <v>2</v>
      </c>
      <c r="F332" s="18">
        <v>4</v>
      </c>
      <c r="G332" s="18" t="b">
        <v>0</v>
      </c>
      <c r="H332" s="18">
        <v>6</v>
      </c>
      <c r="I332" s="18">
        <v>1</v>
      </c>
      <c r="J332" s="18">
        <v>0.12</v>
      </c>
      <c r="K332" s="18">
        <v>0.16669999999999999</v>
      </c>
      <c r="L332" s="18">
        <v>0.74</v>
      </c>
      <c r="M332" s="18">
        <v>8.9599999999999999E-2</v>
      </c>
      <c r="N332" s="18">
        <v>0</v>
      </c>
      <c r="O332" s="18">
        <v>4</v>
      </c>
      <c r="P332" s="18">
        <v>4</v>
      </c>
    </row>
    <row r="333" spans="1:16" x14ac:dyDescent="0.25">
      <c r="A333" s="18">
        <v>951</v>
      </c>
      <c r="B333" s="17">
        <v>40586</v>
      </c>
      <c r="C333" s="18">
        <v>1</v>
      </c>
      <c r="D333" s="18">
        <v>0</v>
      </c>
      <c r="E333" s="18">
        <v>2</v>
      </c>
      <c r="F333" s="18">
        <v>5</v>
      </c>
      <c r="G333" s="18" t="b">
        <v>0</v>
      </c>
      <c r="H333" s="18">
        <v>6</v>
      </c>
      <c r="I333" s="18">
        <v>1</v>
      </c>
      <c r="J333" s="18">
        <v>0.12</v>
      </c>
      <c r="K333" s="18">
        <v>0.16669999999999999</v>
      </c>
      <c r="L333" s="18">
        <v>0.74</v>
      </c>
      <c r="M333" s="18">
        <v>8.9599999999999999E-2</v>
      </c>
      <c r="N333" s="18">
        <v>0</v>
      </c>
      <c r="O333" s="18">
        <v>1</v>
      </c>
      <c r="P333" s="18">
        <v>1</v>
      </c>
    </row>
    <row r="334" spans="1:16" x14ac:dyDescent="0.25">
      <c r="A334" s="18">
        <v>952</v>
      </c>
      <c r="B334" s="17">
        <v>40586</v>
      </c>
      <c r="C334" s="18">
        <v>1</v>
      </c>
      <c r="D334" s="18">
        <v>0</v>
      </c>
      <c r="E334" s="18">
        <v>2</v>
      </c>
      <c r="F334" s="18">
        <v>6</v>
      </c>
      <c r="G334" s="18" t="b">
        <v>0</v>
      </c>
      <c r="H334" s="18">
        <v>6</v>
      </c>
      <c r="I334" s="18">
        <v>1</v>
      </c>
      <c r="J334" s="18">
        <v>0.12</v>
      </c>
      <c r="K334" s="18">
        <v>0.13639999999999999</v>
      </c>
      <c r="L334" s="18">
        <v>0.93</v>
      </c>
      <c r="M334" s="18">
        <v>0.19400000000000001</v>
      </c>
      <c r="N334" s="18">
        <v>1</v>
      </c>
      <c r="O334" s="18">
        <v>1</v>
      </c>
      <c r="P334" s="18">
        <v>2</v>
      </c>
    </row>
    <row r="335" spans="1:16" x14ac:dyDescent="0.25">
      <c r="A335" s="18">
        <v>953</v>
      </c>
      <c r="B335" s="17">
        <v>40586</v>
      </c>
      <c r="C335" s="18">
        <v>1</v>
      </c>
      <c r="D335" s="18">
        <v>0</v>
      </c>
      <c r="E335" s="18">
        <v>2</v>
      </c>
      <c r="F335" s="18">
        <v>7</v>
      </c>
      <c r="G335" s="18" t="b">
        <v>0</v>
      </c>
      <c r="H335" s="18">
        <v>6</v>
      </c>
      <c r="I335" s="18">
        <v>1</v>
      </c>
      <c r="J335" s="18">
        <v>0.12</v>
      </c>
      <c r="K335" s="18">
        <v>0.1515</v>
      </c>
      <c r="L335" s="18">
        <v>0.8</v>
      </c>
      <c r="M335" s="18">
        <v>0.1045</v>
      </c>
      <c r="N335" s="18">
        <v>2</v>
      </c>
      <c r="O335" s="18">
        <v>9</v>
      </c>
      <c r="P335" s="18">
        <v>11</v>
      </c>
    </row>
    <row r="336" spans="1:16" x14ac:dyDescent="0.25">
      <c r="A336" s="18">
        <v>954</v>
      </c>
      <c r="B336" s="17">
        <v>40586</v>
      </c>
      <c r="C336" s="18">
        <v>1</v>
      </c>
      <c r="D336" s="18">
        <v>0</v>
      </c>
      <c r="E336" s="18">
        <v>2</v>
      </c>
      <c r="F336" s="18">
        <v>8</v>
      </c>
      <c r="G336" s="18" t="b">
        <v>0</v>
      </c>
      <c r="H336" s="18">
        <v>6</v>
      </c>
      <c r="I336" s="18">
        <v>1</v>
      </c>
      <c r="J336" s="18">
        <v>0.14000000000000001</v>
      </c>
      <c r="K336" s="18">
        <v>0.1515</v>
      </c>
      <c r="L336" s="18">
        <v>0.86</v>
      </c>
      <c r="M336" s="18">
        <v>0.1343</v>
      </c>
      <c r="N336" s="18">
        <v>2</v>
      </c>
      <c r="O336" s="18">
        <v>28</v>
      </c>
      <c r="P336" s="18">
        <v>30</v>
      </c>
    </row>
    <row r="337" spans="1:16" x14ac:dyDescent="0.25">
      <c r="A337" s="18">
        <v>955</v>
      </c>
      <c r="B337" s="17">
        <v>40586</v>
      </c>
      <c r="C337" s="18">
        <v>1</v>
      </c>
      <c r="D337" s="18">
        <v>0</v>
      </c>
      <c r="E337" s="18">
        <v>2</v>
      </c>
      <c r="F337" s="18">
        <v>9</v>
      </c>
      <c r="G337" s="18" t="b">
        <v>0</v>
      </c>
      <c r="H337" s="18">
        <v>6</v>
      </c>
      <c r="I337" s="18">
        <v>1</v>
      </c>
      <c r="J337" s="18">
        <v>0.16</v>
      </c>
      <c r="K337" s="18">
        <v>0.18179999999999999</v>
      </c>
      <c r="L337" s="18">
        <v>0.64</v>
      </c>
      <c r="M337" s="18">
        <v>0.1343</v>
      </c>
      <c r="N337" s="18">
        <v>5</v>
      </c>
      <c r="O337" s="18">
        <v>38</v>
      </c>
      <c r="P337" s="18">
        <v>43</v>
      </c>
    </row>
    <row r="338" spans="1:16" x14ac:dyDescent="0.25">
      <c r="A338" s="18">
        <v>956</v>
      </c>
      <c r="B338" s="17">
        <v>40586</v>
      </c>
      <c r="C338" s="18">
        <v>1</v>
      </c>
      <c r="D338" s="18">
        <v>0</v>
      </c>
      <c r="E338" s="18">
        <v>2</v>
      </c>
      <c r="F338" s="18">
        <v>10</v>
      </c>
      <c r="G338" s="18" t="b">
        <v>0</v>
      </c>
      <c r="H338" s="18">
        <v>6</v>
      </c>
      <c r="I338" s="18">
        <v>1</v>
      </c>
      <c r="J338" s="18">
        <v>0.22</v>
      </c>
      <c r="K338" s="18">
        <v>0.21210000000000001</v>
      </c>
      <c r="L338" s="18">
        <v>0.41</v>
      </c>
      <c r="M338" s="18">
        <v>0.25369999999999998</v>
      </c>
      <c r="N338" s="18">
        <v>13</v>
      </c>
      <c r="O338" s="18">
        <v>71</v>
      </c>
      <c r="P338" s="18">
        <v>84</v>
      </c>
    </row>
    <row r="339" spans="1:16" x14ac:dyDescent="0.25">
      <c r="A339" s="18">
        <v>957</v>
      </c>
      <c r="B339" s="17">
        <v>40586</v>
      </c>
      <c r="C339" s="18">
        <v>1</v>
      </c>
      <c r="D339" s="18">
        <v>0</v>
      </c>
      <c r="E339" s="18">
        <v>2</v>
      </c>
      <c r="F339" s="18">
        <v>11</v>
      </c>
      <c r="G339" s="18" t="b">
        <v>0</v>
      </c>
      <c r="H339" s="18">
        <v>6</v>
      </c>
      <c r="I339" s="18">
        <v>1</v>
      </c>
      <c r="J339" s="18">
        <v>0.3</v>
      </c>
      <c r="K339" s="18">
        <v>0.2727</v>
      </c>
      <c r="L339" s="18">
        <v>0.28000000000000003</v>
      </c>
      <c r="M339" s="18">
        <v>0.32840000000000003</v>
      </c>
      <c r="N339" s="18">
        <v>30</v>
      </c>
      <c r="O339" s="18">
        <v>84</v>
      </c>
      <c r="P339" s="18">
        <v>114</v>
      </c>
    </row>
    <row r="340" spans="1:16" x14ac:dyDescent="0.25">
      <c r="A340" s="18">
        <v>958</v>
      </c>
      <c r="B340" s="17">
        <v>40586</v>
      </c>
      <c r="C340" s="18">
        <v>1</v>
      </c>
      <c r="D340" s="18">
        <v>0</v>
      </c>
      <c r="E340" s="18">
        <v>2</v>
      </c>
      <c r="F340" s="18">
        <v>12</v>
      </c>
      <c r="G340" s="18" t="b">
        <v>0</v>
      </c>
      <c r="H340" s="18">
        <v>6</v>
      </c>
      <c r="I340" s="18">
        <v>1</v>
      </c>
      <c r="J340" s="18">
        <v>0.3</v>
      </c>
      <c r="K340" s="18">
        <v>0.2727</v>
      </c>
      <c r="L340" s="18">
        <v>0.39</v>
      </c>
      <c r="M340" s="18">
        <v>0.4627</v>
      </c>
      <c r="N340" s="18">
        <v>27</v>
      </c>
      <c r="O340" s="18">
        <v>93</v>
      </c>
      <c r="P340" s="18">
        <v>120</v>
      </c>
    </row>
    <row r="341" spans="1:16" x14ac:dyDescent="0.25">
      <c r="A341" s="18">
        <v>959</v>
      </c>
      <c r="B341" s="17">
        <v>40586</v>
      </c>
      <c r="C341" s="18">
        <v>1</v>
      </c>
      <c r="D341" s="18">
        <v>0</v>
      </c>
      <c r="E341" s="18">
        <v>2</v>
      </c>
      <c r="F341" s="18">
        <v>13</v>
      </c>
      <c r="G341" s="18" t="b">
        <v>0</v>
      </c>
      <c r="H341" s="18">
        <v>6</v>
      </c>
      <c r="I341" s="18">
        <v>1</v>
      </c>
      <c r="J341" s="18">
        <v>0.3</v>
      </c>
      <c r="K341" s="18">
        <v>0.2727</v>
      </c>
      <c r="L341" s="18">
        <v>0.39</v>
      </c>
      <c r="M341" s="18">
        <v>0.41789999999999999</v>
      </c>
      <c r="N341" s="18">
        <v>32</v>
      </c>
      <c r="O341" s="18">
        <v>103</v>
      </c>
      <c r="P341" s="18">
        <v>135</v>
      </c>
    </row>
    <row r="342" spans="1:16" x14ac:dyDescent="0.25">
      <c r="A342" s="18">
        <v>960</v>
      </c>
      <c r="B342" s="17">
        <v>40586</v>
      </c>
      <c r="C342" s="18">
        <v>1</v>
      </c>
      <c r="D342" s="18">
        <v>0</v>
      </c>
      <c r="E342" s="18">
        <v>2</v>
      </c>
      <c r="F342" s="18">
        <v>14</v>
      </c>
      <c r="G342" s="18" t="b">
        <v>0</v>
      </c>
      <c r="H342" s="18">
        <v>6</v>
      </c>
      <c r="I342" s="18">
        <v>1</v>
      </c>
      <c r="J342" s="18">
        <v>0.34</v>
      </c>
      <c r="K342" s="18">
        <v>0.31819999999999998</v>
      </c>
      <c r="L342" s="18">
        <v>0.31</v>
      </c>
      <c r="M342" s="18">
        <v>0.28360000000000002</v>
      </c>
      <c r="N342" s="18">
        <v>30</v>
      </c>
      <c r="O342" s="18">
        <v>90</v>
      </c>
      <c r="P342" s="18">
        <v>120</v>
      </c>
    </row>
    <row r="343" spans="1:16" x14ac:dyDescent="0.25">
      <c r="A343" s="18">
        <v>961</v>
      </c>
      <c r="B343" s="17">
        <v>40586</v>
      </c>
      <c r="C343" s="18">
        <v>1</v>
      </c>
      <c r="D343" s="18">
        <v>0</v>
      </c>
      <c r="E343" s="18">
        <v>2</v>
      </c>
      <c r="F343" s="18">
        <v>15</v>
      </c>
      <c r="G343" s="18" t="b">
        <v>0</v>
      </c>
      <c r="H343" s="18">
        <v>6</v>
      </c>
      <c r="I343" s="18">
        <v>1</v>
      </c>
      <c r="J343" s="18">
        <v>0.34</v>
      </c>
      <c r="K343" s="18">
        <v>0.30299999999999999</v>
      </c>
      <c r="L343" s="18">
        <v>0.28999999999999998</v>
      </c>
      <c r="M343" s="18">
        <v>0.41789999999999999</v>
      </c>
      <c r="N343" s="18">
        <v>47</v>
      </c>
      <c r="O343" s="18">
        <v>127</v>
      </c>
      <c r="P343" s="18">
        <v>174</v>
      </c>
    </row>
    <row r="344" spans="1:16" x14ac:dyDescent="0.25">
      <c r="A344" s="18">
        <v>962</v>
      </c>
      <c r="B344" s="17">
        <v>40586</v>
      </c>
      <c r="C344" s="18">
        <v>1</v>
      </c>
      <c r="D344" s="18">
        <v>0</v>
      </c>
      <c r="E344" s="18">
        <v>2</v>
      </c>
      <c r="F344" s="18">
        <v>16</v>
      </c>
      <c r="G344" s="18" t="b">
        <v>0</v>
      </c>
      <c r="H344" s="18">
        <v>6</v>
      </c>
      <c r="I344" s="18">
        <v>1</v>
      </c>
      <c r="J344" s="18">
        <v>0.34</v>
      </c>
      <c r="K344" s="18">
        <v>0.30299999999999999</v>
      </c>
      <c r="L344" s="18">
        <v>0.28999999999999998</v>
      </c>
      <c r="M344" s="18">
        <v>0.41789999999999999</v>
      </c>
      <c r="N344" s="18">
        <v>42</v>
      </c>
      <c r="O344" s="18">
        <v>103</v>
      </c>
      <c r="P344" s="18">
        <v>145</v>
      </c>
    </row>
    <row r="345" spans="1:16" x14ac:dyDescent="0.25">
      <c r="A345" s="18">
        <v>963</v>
      </c>
      <c r="B345" s="17">
        <v>40586</v>
      </c>
      <c r="C345" s="18">
        <v>1</v>
      </c>
      <c r="D345" s="18">
        <v>0</v>
      </c>
      <c r="E345" s="18">
        <v>2</v>
      </c>
      <c r="F345" s="18">
        <v>17</v>
      </c>
      <c r="G345" s="18" t="b">
        <v>0</v>
      </c>
      <c r="H345" s="18">
        <v>6</v>
      </c>
      <c r="I345" s="18">
        <v>1</v>
      </c>
      <c r="J345" s="18">
        <v>0.32</v>
      </c>
      <c r="K345" s="18">
        <v>0.28789999999999999</v>
      </c>
      <c r="L345" s="18">
        <v>0.31</v>
      </c>
      <c r="M345" s="18">
        <v>0.52239999999999998</v>
      </c>
      <c r="N345" s="18">
        <v>24</v>
      </c>
      <c r="O345" s="18">
        <v>113</v>
      </c>
      <c r="P345" s="18">
        <v>137</v>
      </c>
    </row>
    <row r="346" spans="1:16" x14ac:dyDescent="0.25">
      <c r="A346" s="18">
        <v>964</v>
      </c>
      <c r="B346" s="17">
        <v>40586</v>
      </c>
      <c r="C346" s="18">
        <v>1</v>
      </c>
      <c r="D346" s="18">
        <v>0</v>
      </c>
      <c r="E346" s="18">
        <v>2</v>
      </c>
      <c r="F346" s="18">
        <v>18</v>
      </c>
      <c r="G346" s="18" t="b">
        <v>0</v>
      </c>
      <c r="H346" s="18">
        <v>6</v>
      </c>
      <c r="I346" s="18">
        <v>1</v>
      </c>
      <c r="J346" s="18">
        <v>0.28000000000000003</v>
      </c>
      <c r="K346" s="18">
        <v>0.2576</v>
      </c>
      <c r="L346" s="18">
        <v>0.38</v>
      </c>
      <c r="M346" s="18">
        <v>0.32840000000000003</v>
      </c>
      <c r="N346" s="18">
        <v>4</v>
      </c>
      <c r="O346" s="18">
        <v>60</v>
      </c>
      <c r="P346" s="18">
        <v>64</v>
      </c>
    </row>
    <row r="347" spans="1:16" x14ac:dyDescent="0.25">
      <c r="A347" s="18">
        <v>965</v>
      </c>
      <c r="B347" s="17">
        <v>40586</v>
      </c>
      <c r="C347" s="18">
        <v>1</v>
      </c>
      <c r="D347" s="18">
        <v>0</v>
      </c>
      <c r="E347" s="18">
        <v>2</v>
      </c>
      <c r="F347" s="18">
        <v>19</v>
      </c>
      <c r="G347" s="18" t="b">
        <v>0</v>
      </c>
      <c r="H347" s="18">
        <v>6</v>
      </c>
      <c r="I347" s="18">
        <v>1</v>
      </c>
      <c r="J347" s="18">
        <v>0.28000000000000003</v>
      </c>
      <c r="K347" s="18">
        <v>0.2727</v>
      </c>
      <c r="L347" s="18">
        <v>0.38</v>
      </c>
      <c r="M347" s="18">
        <v>0.16420000000000001</v>
      </c>
      <c r="N347" s="18">
        <v>2</v>
      </c>
      <c r="O347" s="18">
        <v>39</v>
      </c>
      <c r="P347" s="18">
        <v>41</v>
      </c>
    </row>
    <row r="348" spans="1:16" x14ac:dyDescent="0.25">
      <c r="A348" s="18">
        <v>966</v>
      </c>
      <c r="B348" s="17">
        <v>40586</v>
      </c>
      <c r="C348" s="18">
        <v>1</v>
      </c>
      <c r="D348" s="18">
        <v>0</v>
      </c>
      <c r="E348" s="18">
        <v>2</v>
      </c>
      <c r="F348" s="18">
        <v>20</v>
      </c>
      <c r="G348" s="18" t="b">
        <v>0</v>
      </c>
      <c r="H348" s="18">
        <v>6</v>
      </c>
      <c r="I348" s="18">
        <v>1</v>
      </c>
      <c r="J348" s="18">
        <v>0.26</v>
      </c>
      <c r="K348" s="18">
        <v>0.2576</v>
      </c>
      <c r="L348" s="18">
        <v>0.41</v>
      </c>
      <c r="M348" s="18">
        <v>0.22389999999999999</v>
      </c>
      <c r="N348" s="18">
        <v>1</v>
      </c>
      <c r="O348" s="18">
        <v>39</v>
      </c>
      <c r="P348" s="18">
        <v>40</v>
      </c>
    </row>
    <row r="349" spans="1:16" x14ac:dyDescent="0.25">
      <c r="A349" s="18">
        <v>967</v>
      </c>
      <c r="B349" s="17">
        <v>40586</v>
      </c>
      <c r="C349" s="18">
        <v>1</v>
      </c>
      <c r="D349" s="18">
        <v>0</v>
      </c>
      <c r="E349" s="18">
        <v>2</v>
      </c>
      <c r="F349" s="18">
        <v>21</v>
      </c>
      <c r="G349" s="18" t="b">
        <v>0</v>
      </c>
      <c r="H349" s="18">
        <v>6</v>
      </c>
      <c r="I349" s="18">
        <v>1</v>
      </c>
      <c r="J349" s="18">
        <v>0.26</v>
      </c>
      <c r="K349" s="18">
        <v>0.30299999999999999</v>
      </c>
      <c r="L349" s="18">
        <v>0.41</v>
      </c>
      <c r="M349" s="18">
        <v>0</v>
      </c>
      <c r="N349" s="18">
        <v>9</v>
      </c>
      <c r="O349" s="18">
        <v>42</v>
      </c>
      <c r="P349" s="18">
        <v>51</v>
      </c>
    </row>
    <row r="350" spans="1:16" x14ac:dyDescent="0.25">
      <c r="A350" s="18">
        <v>968</v>
      </c>
      <c r="B350" s="17">
        <v>40586</v>
      </c>
      <c r="C350" s="18">
        <v>1</v>
      </c>
      <c r="D350" s="18">
        <v>0</v>
      </c>
      <c r="E350" s="18">
        <v>2</v>
      </c>
      <c r="F350" s="18">
        <v>22</v>
      </c>
      <c r="G350" s="18" t="b">
        <v>0</v>
      </c>
      <c r="H350" s="18">
        <v>6</v>
      </c>
      <c r="I350" s="18">
        <v>1</v>
      </c>
      <c r="J350" s="18">
        <v>0.24</v>
      </c>
      <c r="K350" s="18">
        <v>0.2576</v>
      </c>
      <c r="L350" s="18">
        <v>0.44</v>
      </c>
      <c r="M350" s="18">
        <v>8.9599999999999999E-2</v>
      </c>
      <c r="N350" s="18">
        <v>6</v>
      </c>
      <c r="O350" s="18">
        <v>39</v>
      </c>
      <c r="P350" s="18">
        <v>45</v>
      </c>
    </row>
    <row r="351" spans="1:16" x14ac:dyDescent="0.25">
      <c r="A351" s="18">
        <v>969</v>
      </c>
      <c r="B351" s="17">
        <v>40586</v>
      </c>
      <c r="C351" s="18">
        <v>1</v>
      </c>
      <c r="D351" s="18">
        <v>0</v>
      </c>
      <c r="E351" s="18">
        <v>2</v>
      </c>
      <c r="F351" s="18">
        <v>23</v>
      </c>
      <c r="G351" s="18" t="b">
        <v>0</v>
      </c>
      <c r="H351" s="18">
        <v>6</v>
      </c>
      <c r="I351" s="18">
        <v>1</v>
      </c>
      <c r="J351" s="18">
        <v>0.22</v>
      </c>
      <c r="K351" s="18">
        <v>0.2273</v>
      </c>
      <c r="L351" s="18">
        <v>0.51</v>
      </c>
      <c r="M351" s="18">
        <v>0.1343</v>
      </c>
      <c r="N351" s="18">
        <v>1</v>
      </c>
      <c r="O351" s="18">
        <v>31</v>
      </c>
      <c r="P351" s="18">
        <v>32</v>
      </c>
    </row>
    <row r="352" spans="1:16" x14ac:dyDescent="0.25">
      <c r="A352" s="18">
        <v>970</v>
      </c>
      <c r="B352" s="17">
        <v>40587</v>
      </c>
      <c r="C352" s="18">
        <v>1</v>
      </c>
      <c r="D352" s="18">
        <v>0</v>
      </c>
      <c r="E352" s="18">
        <v>2</v>
      </c>
      <c r="F352" s="18">
        <v>0</v>
      </c>
      <c r="G352" s="18" t="b">
        <v>0</v>
      </c>
      <c r="H352" s="18">
        <v>0</v>
      </c>
      <c r="I352" s="18">
        <v>1</v>
      </c>
      <c r="J352" s="18">
        <v>0.2</v>
      </c>
      <c r="K352" s="18">
        <v>0.2273</v>
      </c>
      <c r="L352" s="18">
        <v>0.64</v>
      </c>
      <c r="M352" s="18">
        <v>0.1045</v>
      </c>
      <c r="N352" s="18">
        <v>5</v>
      </c>
      <c r="O352" s="18">
        <v>34</v>
      </c>
      <c r="P352" s="18">
        <v>39</v>
      </c>
    </row>
    <row r="353" spans="1:16" x14ac:dyDescent="0.25">
      <c r="A353" s="18">
        <v>971</v>
      </c>
      <c r="B353" s="17">
        <v>40587</v>
      </c>
      <c r="C353" s="18">
        <v>1</v>
      </c>
      <c r="D353" s="18">
        <v>0</v>
      </c>
      <c r="E353" s="18">
        <v>2</v>
      </c>
      <c r="F353" s="18">
        <v>1</v>
      </c>
      <c r="G353" s="18" t="b">
        <v>0</v>
      </c>
      <c r="H353" s="18">
        <v>0</v>
      </c>
      <c r="I353" s="18">
        <v>1</v>
      </c>
      <c r="J353" s="18">
        <v>0.2</v>
      </c>
      <c r="K353" s="18">
        <v>0.2273</v>
      </c>
      <c r="L353" s="18">
        <v>0.59</v>
      </c>
      <c r="M353" s="18">
        <v>8.9599999999999999E-2</v>
      </c>
      <c r="N353" s="18">
        <v>1</v>
      </c>
      <c r="O353" s="18">
        <v>23</v>
      </c>
      <c r="P353" s="18">
        <v>24</v>
      </c>
    </row>
    <row r="354" spans="1:16" x14ac:dyDescent="0.25">
      <c r="A354" s="18">
        <v>972</v>
      </c>
      <c r="B354" s="17">
        <v>40587</v>
      </c>
      <c r="C354" s="18">
        <v>1</v>
      </c>
      <c r="D354" s="18">
        <v>0</v>
      </c>
      <c r="E354" s="18">
        <v>2</v>
      </c>
      <c r="F354" s="18">
        <v>2</v>
      </c>
      <c r="G354" s="18" t="b">
        <v>0</v>
      </c>
      <c r="H354" s="18">
        <v>0</v>
      </c>
      <c r="I354" s="18">
        <v>2</v>
      </c>
      <c r="J354" s="18">
        <v>0.2</v>
      </c>
      <c r="K354" s="18">
        <v>0.2273</v>
      </c>
      <c r="L354" s="18">
        <v>0.75</v>
      </c>
      <c r="M354" s="18">
        <v>8.9599999999999999E-2</v>
      </c>
      <c r="N354" s="18">
        <v>1</v>
      </c>
      <c r="O354" s="18">
        <v>19</v>
      </c>
      <c r="P354" s="18">
        <v>20</v>
      </c>
    </row>
    <row r="355" spans="1:16" x14ac:dyDescent="0.25">
      <c r="A355" s="18">
        <v>973</v>
      </c>
      <c r="B355" s="17">
        <v>40587</v>
      </c>
      <c r="C355" s="18">
        <v>1</v>
      </c>
      <c r="D355" s="18">
        <v>0</v>
      </c>
      <c r="E355" s="18">
        <v>2</v>
      </c>
      <c r="F355" s="18">
        <v>3</v>
      </c>
      <c r="G355" s="18" t="b">
        <v>0</v>
      </c>
      <c r="H355" s="18">
        <v>0</v>
      </c>
      <c r="I355" s="18">
        <v>2</v>
      </c>
      <c r="J355" s="18">
        <v>0.2</v>
      </c>
      <c r="K355" s="18">
        <v>0.2273</v>
      </c>
      <c r="L355" s="18">
        <v>0.69</v>
      </c>
      <c r="M355" s="18">
        <v>0.1045</v>
      </c>
      <c r="N355" s="18">
        <v>4</v>
      </c>
      <c r="O355" s="18">
        <v>8</v>
      </c>
      <c r="P355" s="18">
        <v>12</v>
      </c>
    </row>
    <row r="356" spans="1:16" x14ac:dyDescent="0.25">
      <c r="A356" s="18">
        <v>974</v>
      </c>
      <c r="B356" s="17">
        <v>40587</v>
      </c>
      <c r="C356" s="18">
        <v>1</v>
      </c>
      <c r="D356" s="18">
        <v>0</v>
      </c>
      <c r="E356" s="18">
        <v>2</v>
      </c>
      <c r="F356" s="18">
        <v>4</v>
      </c>
      <c r="G356" s="18" t="b">
        <v>0</v>
      </c>
      <c r="H356" s="18">
        <v>0</v>
      </c>
      <c r="I356" s="18">
        <v>2</v>
      </c>
      <c r="J356" s="18">
        <v>0.2</v>
      </c>
      <c r="K356" s="18">
        <v>0.21210000000000001</v>
      </c>
      <c r="L356" s="18">
        <v>0.69</v>
      </c>
      <c r="M356" s="18">
        <v>0.16420000000000001</v>
      </c>
      <c r="N356" s="18">
        <v>0</v>
      </c>
      <c r="O356" s="18">
        <v>2</v>
      </c>
      <c r="P356" s="18">
        <v>2</v>
      </c>
    </row>
    <row r="357" spans="1:16" x14ac:dyDescent="0.25">
      <c r="A357" s="18">
        <v>975</v>
      </c>
      <c r="B357" s="17">
        <v>40587</v>
      </c>
      <c r="C357" s="18">
        <v>1</v>
      </c>
      <c r="D357" s="18">
        <v>0</v>
      </c>
      <c r="E357" s="18">
        <v>2</v>
      </c>
      <c r="F357" s="18">
        <v>6</v>
      </c>
      <c r="G357" s="18" t="b">
        <v>0</v>
      </c>
      <c r="H357" s="18">
        <v>0</v>
      </c>
      <c r="I357" s="18">
        <v>2</v>
      </c>
      <c r="J357" s="18">
        <v>0.2</v>
      </c>
      <c r="K357" s="18">
        <v>0.21210000000000001</v>
      </c>
      <c r="L357" s="18">
        <v>0.69</v>
      </c>
      <c r="M357" s="18">
        <v>0.1343</v>
      </c>
      <c r="N357" s="18">
        <v>2</v>
      </c>
      <c r="O357" s="18">
        <v>3</v>
      </c>
      <c r="P357" s="18">
        <v>5</v>
      </c>
    </row>
    <row r="358" spans="1:16" x14ac:dyDescent="0.25">
      <c r="A358" s="18">
        <v>976</v>
      </c>
      <c r="B358" s="17">
        <v>40587</v>
      </c>
      <c r="C358" s="18">
        <v>1</v>
      </c>
      <c r="D358" s="18">
        <v>0</v>
      </c>
      <c r="E358" s="18">
        <v>2</v>
      </c>
      <c r="F358" s="18">
        <v>7</v>
      </c>
      <c r="G358" s="18" t="b">
        <v>0</v>
      </c>
      <c r="H358" s="18">
        <v>0</v>
      </c>
      <c r="I358" s="18">
        <v>2</v>
      </c>
      <c r="J358" s="18">
        <v>0.22</v>
      </c>
      <c r="K358" s="18">
        <v>0.2727</v>
      </c>
      <c r="L358" s="18">
        <v>0.55000000000000004</v>
      </c>
      <c r="M358" s="18">
        <v>0</v>
      </c>
      <c r="N358" s="18">
        <v>0</v>
      </c>
      <c r="O358" s="18">
        <v>3</v>
      </c>
      <c r="P358" s="18">
        <v>3</v>
      </c>
    </row>
    <row r="359" spans="1:16" x14ac:dyDescent="0.25">
      <c r="A359" s="18">
        <v>977</v>
      </c>
      <c r="B359" s="17">
        <v>40587</v>
      </c>
      <c r="C359" s="18">
        <v>1</v>
      </c>
      <c r="D359" s="18">
        <v>0</v>
      </c>
      <c r="E359" s="18">
        <v>2</v>
      </c>
      <c r="F359" s="18">
        <v>8</v>
      </c>
      <c r="G359" s="18" t="b">
        <v>0</v>
      </c>
      <c r="H359" s="18">
        <v>0</v>
      </c>
      <c r="I359" s="18">
        <v>2</v>
      </c>
      <c r="J359" s="18">
        <v>0.22</v>
      </c>
      <c r="K359" s="18">
        <v>0.2273</v>
      </c>
      <c r="L359" s="18">
        <v>0.64</v>
      </c>
      <c r="M359" s="18">
        <v>0.19400000000000001</v>
      </c>
      <c r="N359" s="18">
        <v>1</v>
      </c>
      <c r="O359" s="18">
        <v>11</v>
      </c>
      <c r="P359" s="18">
        <v>12</v>
      </c>
    </row>
    <row r="360" spans="1:16" x14ac:dyDescent="0.25">
      <c r="A360" s="18">
        <v>978</v>
      </c>
      <c r="B360" s="17">
        <v>40587</v>
      </c>
      <c r="C360" s="18">
        <v>1</v>
      </c>
      <c r="D360" s="18">
        <v>0</v>
      </c>
      <c r="E360" s="18">
        <v>2</v>
      </c>
      <c r="F360" s="18">
        <v>9</v>
      </c>
      <c r="G360" s="18" t="b">
        <v>0</v>
      </c>
      <c r="H360" s="18">
        <v>0</v>
      </c>
      <c r="I360" s="18">
        <v>2</v>
      </c>
      <c r="J360" s="18">
        <v>0.24</v>
      </c>
      <c r="K360" s="18">
        <v>0.2273</v>
      </c>
      <c r="L360" s="18">
        <v>0.6</v>
      </c>
      <c r="M360" s="18">
        <v>0.22389999999999999</v>
      </c>
      <c r="N360" s="18">
        <v>12</v>
      </c>
      <c r="O360" s="18">
        <v>35</v>
      </c>
      <c r="P360" s="18">
        <v>47</v>
      </c>
    </row>
    <row r="361" spans="1:16" x14ac:dyDescent="0.25">
      <c r="A361" s="18">
        <v>979</v>
      </c>
      <c r="B361" s="17">
        <v>40587</v>
      </c>
      <c r="C361" s="18">
        <v>1</v>
      </c>
      <c r="D361" s="18">
        <v>0</v>
      </c>
      <c r="E361" s="18">
        <v>2</v>
      </c>
      <c r="F361" s="18">
        <v>10</v>
      </c>
      <c r="G361" s="18" t="b">
        <v>0</v>
      </c>
      <c r="H361" s="18">
        <v>0</v>
      </c>
      <c r="I361" s="18">
        <v>1</v>
      </c>
      <c r="J361" s="18">
        <v>0.3</v>
      </c>
      <c r="K361" s="18">
        <v>0.2727</v>
      </c>
      <c r="L361" s="18">
        <v>0.45</v>
      </c>
      <c r="M361" s="18">
        <v>0.32840000000000003</v>
      </c>
      <c r="N361" s="18">
        <v>19</v>
      </c>
      <c r="O361" s="18">
        <v>86</v>
      </c>
      <c r="P361" s="18">
        <v>105</v>
      </c>
    </row>
    <row r="362" spans="1:16" x14ac:dyDescent="0.25">
      <c r="A362" s="18">
        <v>980</v>
      </c>
      <c r="B362" s="17">
        <v>40587</v>
      </c>
      <c r="C362" s="18">
        <v>1</v>
      </c>
      <c r="D362" s="18">
        <v>0</v>
      </c>
      <c r="E362" s="18">
        <v>2</v>
      </c>
      <c r="F362" s="18">
        <v>11</v>
      </c>
      <c r="G362" s="18" t="b">
        <v>0</v>
      </c>
      <c r="H362" s="18">
        <v>0</v>
      </c>
      <c r="I362" s="18">
        <v>1</v>
      </c>
      <c r="J362" s="18">
        <v>0.32</v>
      </c>
      <c r="K362" s="18">
        <v>0.28789999999999999</v>
      </c>
      <c r="L362" s="18">
        <v>0.39</v>
      </c>
      <c r="M362" s="18">
        <v>0.44779999999999998</v>
      </c>
      <c r="N362" s="18">
        <v>26</v>
      </c>
      <c r="O362" s="18">
        <v>86</v>
      </c>
      <c r="P362" s="18">
        <v>112</v>
      </c>
    </row>
    <row r="363" spans="1:16" x14ac:dyDescent="0.25">
      <c r="A363" s="18">
        <v>981</v>
      </c>
      <c r="B363" s="17">
        <v>40587</v>
      </c>
      <c r="C363" s="18">
        <v>1</v>
      </c>
      <c r="D363" s="18">
        <v>0</v>
      </c>
      <c r="E363" s="18">
        <v>2</v>
      </c>
      <c r="F363" s="18">
        <v>12</v>
      </c>
      <c r="G363" s="18" t="b">
        <v>0</v>
      </c>
      <c r="H363" s="18">
        <v>0</v>
      </c>
      <c r="I363" s="18">
        <v>1</v>
      </c>
      <c r="J363" s="18">
        <v>0.36</v>
      </c>
      <c r="K363" s="18">
        <v>0.31819999999999998</v>
      </c>
      <c r="L363" s="18">
        <v>0.32</v>
      </c>
      <c r="M363" s="18">
        <v>0.4627</v>
      </c>
      <c r="N363" s="18">
        <v>58</v>
      </c>
      <c r="O363" s="18">
        <v>94</v>
      </c>
      <c r="P363" s="18">
        <v>152</v>
      </c>
    </row>
    <row r="364" spans="1:16" x14ac:dyDescent="0.25">
      <c r="A364" s="18">
        <v>982</v>
      </c>
      <c r="B364" s="17">
        <v>40587</v>
      </c>
      <c r="C364" s="18">
        <v>1</v>
      </c>
      <c r="D364" s="18">
        <v>0</v>
      </c>
      <c r="E364" s="18">
        <v>2</v>
      </c>
      <c r="F364" s="18">
        <v>13</v>
      </c>
      <c r="G364" s="18" t="b">
        <v>0</v>
      </c>
      <c r="H364" s="18">
        <v>0</v>
      </c>
      <c r="I364" s="18">
        <v>1</v>
      </c>
      <c r="J364" s="18">
        <v>0.38</v>
      </c>
      <c r="K364" s="18">
        <v>0.39389999999999997</v>
      </c>
      <c r="L364" s="18">
        <v>0.28999999999999998</v>
      </c>
      <c r="M364" s="18">
        <v>0.35820000000000002</v>
      </c>
      <c r="N364" s="18">
        <v>62</v>
      </c>
      <c r="O364" s="18">
        <v>92</v>
      </c>
      <c r="P364" s="18">
        <v>154</v>
      </c>
    </row>
    <row r="365" spans="1:16" x14ac:dyDescent="0.25">
      <c r="A365" s="18">
        <v>983</v>
      </c>
      <c r="B365" s="17">
        <v>40587</v>
      </c>
      <c r="C365" s="18">
        <v>1</v>
      </c>
      <c r="D365" s="18">
        <v>0</v>
      </c>
      <c r="E365" s="18">
        <v>2</v>
      </c>
      <c r="F365" s="18">
        <v>14</v>
      </c>
      <c r="G365" s="18" t="b">
        <v>0</v>
      </c>
      <c r="H365" s="18">
        <v>0</v>
      </c>
      <c r="I365" s="18">
        <v>2</v>
      </c>
      <c r="J365" s="18">
        <v>0.4</v>
      </c>
      <c r="K365" s="18">
        <v>0.40910000000000002</v>
      </c>
      <c r="L365" s="18">
        <v>0.3</v>
      </c>
      <c r="M365" s="18">
        <v>0.41789999999999999</v>
      </c>
      <c r="N365" s="18">
        <v>51</v>
      </c>
      <c r="O365" s="18">
        <v>110</v>
      </c>
      <c r="P365" s="18">
        <v>161</v>
      </c>
    </row>
    <row r="366" spans="1:16" x14ac:dyDescent="0.25">
      <c r="A366" s="18">
        <v>984</v>
      </c>
      <c r="B366" s="17">
        <v>40587</v>
      </c>
      <c r="C366" s="18">
        <v>1</v>
      </c>
      <c r="D366" s="18">
        <v>0</v>
      </c>
      <c r="E366" s="18">
        <v>2</v>
      </c>
      <c r="F366" s="18">
        <v>15</v>
      </c>
      <c r="G366" s="18" t="b">
        <v>0</v>
      </c>
      <c r="H366" s="18">
        <v>0</v>
      </c>
      <c r="I366" s="18">
        <v>2</v>
      </c>
      <c r="J366" s="18">
        <v>0.4</v>
      </c>
      <c r="K366" s="18">
        <v>0.40910000000000002</v>
      </c>
      <c r="L366" s="18">
        <v>0.3</v>
      </c>
      <c r="M366" s="18">
        <v>0.29849999999999999</v>
      </c>
      <c r="N366" s="18">
        <v>40</v>
      </c>
      <c r="O366" s="18">
        <v>122</v>
      </c>
      <c r="P366" s="18">
        <v>162</v>
      </c>
    </row>
    <row r="367" spans="1:16" x14ac:dyDescent="0.25">
      <c r="A367" s="18">
        <v>985</v>
      </c>
      <c r="B367" s="17">
        <v>40587</v>
      </c>
      <c r="C367" s="18">
        <v>1</v>
      </c>
      <c r="D367" s="18">
        <v>0</v>
      </c>
      <c r="E367" s="18">
        <v>2</v>
      </c>
      <c r="F367" s="18">
        <v>16</v>
      </c>
      <c r="G367" s="18" t="b">
        <v>0</v>
      </c>
      <c r="H367" s="18">
        <v>0</v>
      </c>
      <c r="I367" s="18">
        <v>2</v>
      </c>
      <c r="J367" s="18">
        <v>0.42</v>
      </c>
      <c r="K367" s="18">
        <v>0.42420000000000002</v>
      </c>
      <c r="L367" s="18">
        <v>0.28000000000000003</v>
      </c>
      <c r="M367" s="18">
        <v>0.32840000000000003</v>
      </c>
      <c r="N367" s="18">
        <v>28</v>
      </c>
      <c r="O367" s="18">
        <v>106</v>
      </c>
      <c r="P367" s="18">
        <v>134</v>
      </c>
    </row>
    <row r="368" spans="1:16" x14ac:dyDescent="0.25">
      <c r="A368" s="18">
        <v>986</v>
      </c>
      <c r="B368" s="17">
        <v>40587</v>
      </c>
      <c r="C368" s="18">
        <v>1</v>
      </c>
      <c r="D368" s="18">
        <v>0</v>
      </c>
      <c r="E368" s="18">
        <v>2</v>
      </c>
      <c r="F368" s="18">
        <v>17</v>
      </c>
      <c r="G368" s="18" t="b">
        <v>0</v>
      </c>
      <c r="H368" s="18">
        <v>0</v>
      </c>
      <c r="I368" s="18">
        <v>1</v>
      </c>
      <c r="J368" s="18">
        <v>0.42</v>
      </c>
      <c r="K368" s="18">
        <v>0.42420000000000002</v>
      </c>
      <c r="L368" s="18">
        <v>0.28000000000000003</v>
      </c>
      <c r="M368" s="18">
        <v>0.32840000000000003</v>
      </c>
      <c r="N368" s="18">
        <v>30</v>
      </c>
      <c r="O368" s="18">
        <v>95</v>
      </c>
      <c r="P368" s="18">
        <v>125</v>
      </c>
    </row>
    <row r="369" spans="1:16" x14ac:dyDescent="0.25">
      <c r="A369" s="18">
        <v>987</v>
      </c>
      <c r="B369" s="17">
        <v>40587</v>
      </c>
      <c r="C369" s="18">
        <v>1</v>
      </c>
      <c r="D369" s="18">
        <v>0</v>
      </c>
      <c r="E369" s="18">
        <v>2</v>
      </c>
      <c r="F369" s="18">
        <v>18</v>
      </c>
      <c r="G369" s="18" t="b">
        <v>0</v>
      </c>
      <c r="H369" s="18">
        <v>0</v>
      </c>
      <c r="I369" s="18">
        <v>1</v>
      </c>
      <c r="J369" s="18">
        <v>0.4</v>
      </c>
      <c r="K369" s="18">
        <v>0.40910000000000002</v>
      </c>
      <c r="L369" s="18">
        <v>0.32</v>
      </c>
      <c r="M369" s="18">
        <v>0.29849999999999999</v>
      </c>
      <c r="N369" s="18">
        <v>17</v>
      </c>
      <c r="O369" s="18">
        <v>78</v>
      </c>
      <c r="P369" s="18">
        <v>95</v>
      </c>
    </row>
    <row r="370" spans="1:16" x14ac:dyDescent="0.25">
      <c r="A370" s="18">
        <v>988</v>
      </c>
      <c r="B370" s="17">
        <v>40587</v>
      </c>
      <c r="C370" s="18">
        <v>1</v>
      </c>
      <c r="D370" s="18">
        <v>0</v>
      </c>
      <c r="E370" s="18">
        <v>2</v>
      </c>
      <c r="F370" s="18">
        <v>19</v>
      </c>
      <c r="G370" s="18" t="b">
        <v>0</v>
      </c>
      <c r="H370" s="18">
        <v>0</v>
      </c>
      <c r="I370" s="18">
        <v>1</v>
      </c>
      <c r="J370" s="18">
        <v>0.4</v>
      </c>
      <c r="K370" s="18">
        <v>0.40910000000000002</v>
      </c>
      <c r="L370" s="18">
        <v>0.35</v>
      </c>
      <c r="M370" s="18">
        <v>0.28360000000000002</v>
      </c>
      <c r="N370" s="18">
        <v>11</v>
      </c>
      <c r="O370" s="18">
        <v>50</v>
      </c>
      <c r="P370" s="18">
        <v>61</v>
      </c>
    </row>
    <row r="371" spans="1:16" x14ac:dyDescent="0.25">
      <c r="A371" s="18">
        <v>989</v>
      </c>
      <c r="B371" s="17">
        <v>40587</v>
      </c>
      <c r="C371" s="18">
        <v>1</v>
      </c>
      <c r="D371" s="18">
        <v>0</v>
      </c>
      <c r="E371" s="18">
        <v>2</v>
      </c>
      <c r="F371" s="18">
        <v>20</v>
      </c>
      <c r="G371" s="18" t="b">
        <v>0</v>
      </c>
      <c r="H371" s="18">
        <v>0</v>
      </c>
      <c r="I371" s="18">
        <v>1</v>
      </c>
      <c r="J371" s="18">
        <v>0.4</v>
      </c>
      <c r="K371" s="18">
        <v>0.40910000000000002</v>
      </c>
      <c r="L371" s="18">
        <v>0.35</v>
      </c>
      <c r="M371" s="18">
        <v>0.32840000000000003</v>
      </c>
      <c r="N371" s="18">
        <v>15</v>
      </c>
      <c r="O371" s="18">
        <v>32</v>
      </c>
      <c r="P371" s="18">
        <v>47</v>
      </c>
    </row>
    <row r="372" spans="1:16" x14ac:dyDescent="0.25">
      <c r="A372" s="18">
        <v>990</v>
      </c>
      <c r="B372" s="17">
        <v>40587</v>
      </c>
      <c r="C372" s="18">
        <v>1</v>
      </c>
      <c r="D372" s="18">
        <v>0</v>
      </c>
      <c r="E372" s="18">
        <v>2</v>
      </c>
      <c r="F372" s="18">
        <v>21</v>
      </c>
      <c r="G372" s="18" t="b">
        <v>0</v>
      </c>
      <c r="H372" s="18">
        <v>0</v>
      </c>
      <c r="I372" s="18">
        <v>1</v>
      </c>
      <c r="J372" s="18">
        <v>0.4</v>
      </c>
      <c r="K372" s="18">
        <v>0.40910000000000002</v>
      </c>
      <c r="L372" s="18">
        <v>0.35</v>
      </c>
      <c r="M372" s="18">
        <v>0.35820000000000002</v>
      </c>
      <c r="N372" s="18">
        <v>6</v>
      </c>
      <c r="O372" s="18">
        <v>45</v>
      </c>
      <c r="P372" s="18">
        <v>51</v>
      </c>
    </row>
    <row r="373" spans="1:16" x14ac:dyDescent="0.25">
      <c r="A373" s="18">
        <v>991</v>
      </c>
      <c r="B373" s="17">
        <v>40587</v>
      </c>
      <c r="C373" s="18">
        <v>1</v>
      </c>
      <c r="D373" s="18">
        <v>0</v>
      </c>
      <c r="E373" s="18">
        <v>2</v>
      </c>
      <c r="F373" s="18">
        <v>22</v>
      </c>
      <c r="G373" s="18" t="b">
        <v>0</v>
      </c>
      <c r="H373" s="18">
        <v>0</v>
      </c>
      <c r="I373" s="18">
        <v>1</v>
      </c>
      <c r="J373" s="18">
        <v>0.4</v>
      </c>
      <c r="K373" s="18">
        <v>0.40910000000000002</v>
      </c>
      <c r="L373" s="18">
        <v>0.35</v>
      </c>
      <c r="M373" s="18">
        <v>0.29849999999999999</v>
      </c>
      <c r="N373" s="18">
        <v>5</v>
      </c>
      <c r="O373" s="18">
        <v>31</v>
      </c>
      <c r="P373" s="18">
        <v>36</v>
      </c>
    </row>
    <row r="374" spans="1:16" x14ac:dyDescent="0.25">
      <c r="A374" s="18">
        <v>992</v>
      </c>
      <c r="B374" s="17">
        <v>40587</v>
      </c>
      <c r="C374" s="18">
        <v>1</v>
      </c>
      <c r="D374" s="18">
        <v>0</v>
      </c>
      <c r="E374" s="18">
        <v>2</v>
      </c>
      <c r="F374" s="18">
        <v>23</v>
      </c>
      <c r="G374" s="18" t="b">
        <v>0</v>
      </c>
      <c r="H374" s="18">
        <v>0</v>
      </c>
      <c r="I374" s="18">
        <v>1</v>
      </c>
      <c r="J374" s="18">
        <v>0.4</v>
      </c>
      <c r="K374" s="18">
        <v>0.40910000000000002</v>
      </c>
      <c r="L374" s="18">
        <v>0.35</v>
      </c>
      <c r="M374" s="18">
        <v>0.35820000000000002</v>
      </c>
      <c r="N374" s="18">
        <v>3</v>
      </c>
      <c r="O374" s="18">
        <v>27</v>
      </c>
      <c r="P374" s="18">
        <v>30</v>
      </c>
    </row>
    <row r="375" spans="1:16" x14ac:dyDescent="0.25">
      <c r="A375" s="18">
        <v>993</v>
      </c>
      <c r="B375" s="17">
        <v>40588</v>
      </c>
      <c r="C375" s="18">
        <v>1</v>
      </c>
      <c r="D375" s="18">
        <v>0</v>
      </c>
      <c r="E375" s="18">
        <v>2</v>
      </c>
      <c r="F375" s="18">
        <v>0</v>
      </c>
      <c r="G375" s="18" t="b">
        <v>0</v>
      </c>
      <c r="H375" s="18">
        <v>1</v>
      </c>
      <c r="I375" s="18">
        <v>1</v>
      </c>
      <c r="J375" s="18">
        <v>0.38</v>
      </c>
      <c r="K375" s="18">
        <v>0.39389999999999997</v>
      </c>
      <c r="L375" s="18">
        <v>0.37</v>
      </c>
      <c r="M375" s="18">
        <v>0.35820000000000002</v>
      </c>
      <c r="N375" s="18">
        <v>3</v>
      </c>
      <c r="O375" s="18">
        <v>8</v>
      </c>
      <c r="P375" s="18">
        <v>11</v>
      </c>
    </row>
    <row r="376" spans="1:16" x14ac:dyDescent="0.25">
      <c r="A376" s="18">
        <v>994</v>
      </c>
      <c r="B376" s="17">
        <v>40588</v>
      </c>
      <c r="C376" s="18">
        <v>1</v>
      </c>
      <c r="D376" s="18">
        <v>0</v>
      </c>
      <c r="E376" s="18">
        <v>2</v>
      </c>
      <c r="F376" s="18">
        <v>1</v>
      </c>
      <c r="G376" s="18" t="b">
        <v>0</v>
      </c>
      <c r="H376" s="18">
        <v>1</v>
      </c>
      <c r="I376" s="18">
        <v>1</v>
      </c>
      <c r="J376" s="18">
        <v>0.38</v>
      </c>
      <c r="K376" s="18">
        <v>0.39389999999999997</v>
      </c>
      <c r="L376" s="18">
        <v>0.37</v>
      </c>
      <c r="M376" s="18">
        <v>0.35820000000000002</v>
      </c>
      <c r="N376" s="18">
        <v>1</v>
      </c>
      <c r="O376" s="18">
        <v>6</v>
      </c>
      <c r="P376" s="18">
        <v>7</v>
      </c>
    </row>
    <row r="377" spans="1:16" x14ac:dyDescent="0.25">
      <c r="A377" s="18">
        <v>995</v>
      </c>
      <c r="B377" s="17">
        <v>40588</v>
      </c>
      <c r="C377" s="18">
        <v>1</v>
      </c>
      <c r="D377" s="18">
        <v>0</v>
      </c>
      <c r="E377" s="18">
        <v>2</v>
      </c>
      <c r="F377" s="18">
        <v>2</v>
      </c>
      <c r="G377" s="18" t="b">
        <v>0</v>
      </c>
      <c r="H377" s="18">
        <v>1</v>
      </c>
      <c r="I377" s="18">
        <v>1</v>
      </c>
      <c r="J377" s="18">
        <v>0.36</v>
      </c>
      <c r="K377" s="18">
        <v>0.33329999999999999</v>
      </c>
      <c r="L377" s="18">
        <v>0.4</v>
      </c>
      <c r="M377" s="18">
        <v>0.29849999999999999</v>
      </c>
      <c r="N377" s="18">
        <v>0</v>
      </c>
      <c r="O377" s="18">
        <v>2</v>
      </c>
      <c r="P377" s="18">
        <v>2</v>
      </c>
    </row>
    <row r="378" spans="1:16" x14ac:dyDescent="0.25">
      <c r="A378" s="18">
        <v>996</v>
      </c>
      <c r="B378" s="17">
        <v>40588</v>
      </c>
      <c r="C378" s="18">
        <v>1</v>
      </c>
      <c r="D378" s="18">
        <v>0</v>
      </c>
      <c r="E378" s="18">
        <v>2</v>
      </c>
      <c r="F378" s="18">
        <v>3</v>
      </c>
      <c r="G378" s="18" t="b">
        <v>0</v>
      </c>
      <c r="H378" s="18">
        <v>1</v>
      </c>
      <c r="I378" s="18">
        <v>1</v>
      </c>
      <c r="J378" s="18">
        <v>0.34</v>
      </c>
      <c r="K378" s="18">
        <v>0.31819999999999998</v>
      </c>
      <c r="L378" s="18">
        <v>0.46</v>
      </c>
      <c r="M378" s="18">
        <v>0.22389999999999999</v>
      </c>
      <c r="N378" s="18">
        <v>1</v>
      </c>
      <c r="O378" s="18">
        <v>1</v>
      </c>
      <c r="P378" s="18">
        <v>2</v>
      </c>
    </row>
    <row r="379" spans="1:16" x14ac:dyDescent="0.25">
      <c r="A379" s="18">
        <v>997</v>
      </c>
      <c r="B379" s="17">
        <v>40588</v>
      </c>
      <c r="C379" s="18">
        <v>1</v>
      </c>
      <c r="D379" s="18">
        <v>0</v>
      </c>
      <c r="E379" s="18">
        <v>2</v>
      </c>
      <c r="F379" s="18">
        <v>4</v>
      </c>
      <c r="G379" s="18" t="b">
        <v>0</v>
      </c>
      <c r="H379" s="18">
        <v>1</v>
      </c>
      <c r="I379" s="18">
        <v>1</v>
      </c>
      <c r="J379" s="18">
        <v>0.32</v>
      </c>
      <c r="K379" s="18">
        <v>0.30299999999999999</v>
      </c>
      <c r="L379" s="18">
        <v>0.53</v>
      </c>
      <c r="M379" s="18">
        <v>0.28360000000000002</v>
      </c>
      <c r="N379" s="18">
        <v>0</v>
      </c>
      <c r="O379" s="18">
        <v>2</v>
      </c>
      <c r="P379" s="18">
        <v>2</v>
      </c>
    </row>
    <row r="380" spans="1:16" x14ac:dyDescent="0.25">
      <c r="A380" s="18">
        <v>998</v>
      </c>
      <c r="B380" s="17">
        <v>40588</v>
      </c>
      <c r="C380" s="18">
        <v>1</v>
      </c>
      <c r="D380" s="18">
        <v>0</v>
      </c>
      <c r="E380" s="18">
        <v>2</v>
      </c>
      <c r="F380" s="18">
        <v>5</v>
      </c>
      <c r="G380" s="18" t="b">
        <v>0</v>
      </c>
      <c r="H380" s="18">
        <v>1</v>
      </c>
      <c r="I380" s="18">
        <v>1</v>
      </c>
      <c r="J380" s="18">
        <v>0.32</v>
      </c>
      <c r="K380" s="18">
        <v>0.30299999999999999</v>
      </c>
      <c r="L380" s="18">
        <v>0.53</v>
      </c>
      <c r="M380" s="18">
        <v>0.28360000000000002</v>
      </c>
      <c r="N380" s="18">
        <v>0</v>
      </c>
      <c r="O380" s="18">
        <v>3</v>
      </c>
      <c r="P380" s="18">
        <v>3</v>
      </c>
    </row>
    <row r="381" spans="1:16" x14ac:dyDescent="0.25">
      <c r="A381" s="18">
        <v>999</v>
      </c>
      <c r="B381" s="17">
        <v>40588</v>
      </c>
      <c r="C381" s="18">
        <v>1</v>
      </c>
      <c r="D381" s="18">
        <v>0</v>
      </c>
      <c r="E381" s="18">
        <v>2</v>
      </c>
      <c r="F381" s="18">
        <v>6</v>
      </c>
      <c r="G381" s="18" t="b">
        <v>0</v>
      </c>
      <c r="H381" s="18">
        <v>1</v>
      </c>
      <c r="I381" s="18">
        <v>1</v>
      </c>
      <c r="J381" s="18">
        <v>0.34</v>
      </c>
      <c r="K381" s="18">
        <v>0.30299999999999999</v>
      </c>
      <c r="L381" s="18">
        <v>0.46</v>
      </c>
      <c r="M381" s="18">
        <v>0.29849999999999999</v>
      </c>
      <c r="N381" s="18">
        <v>1</v>
      </c>
      <c r="O381" s="18">
        <v>25</v>
      </c>
      <c r="P381" s="18">
        <v>26</v>
      </c>
    </row>
    <row r="382" spans="1:16" x14ac:dyDescent="0.25">
      <c r="A382" s="18">
        <v>1000</v>
      </c>
      <c r="B382" s="17">
        <v>40588</v>
      </c>
      <c r="C382" s="18">
        <v>1</v>
      </c>
      <c r="D382" s="18">
        <v>0</v>
      </c>
      <c r="E382" s="18">
        <v>2</v>
      </c>
      <c r="F382" s="18">
        <v>7</v>
      </c>
      <c r="G382" s="18" t="b">
        <v>0</v>
      </c>
      <c r="H382" s="18">
        <v>1</v>
      </c>
      <c r="I382" s="18">
        <v>1</v>
      </c>
      <c r="J382" s="18">
        <v>0.34</v>
      </c>
      <c r="K382" s="18">
        <v>0.30299999999999999</v>
      </c>
      <c r="L382" s="18">
        <v>0.46</v>
      </c>
      <c r="M382" s="18">
        <v>0.29849999999999999</v>
      </c>
      <c r="N382" s="18">
        <v>2</v>
      </c>
      <c r="O382" s="18">
        <v>96</v>
      </c>
      <c r="P382" s="18">
        <v>98</v>
      </c>
    </row>
    <row r="383" spans="1:16" x14ac:dyDescent="0.25">
      <c r="A383" s="18">
        <v>611</v>
      </c>
      <c r="B383" s="17">
        <v>40571</v>
      </c>
      <c r="C383" s="18">
        <v>1</v>
      </c>
      <c r="D383" s="18">
        <v>0</v>
      </c>
      <c r="E383" s="18">
        <v>1</v>
      </c>
      <c r="F383" s="18">
        <v>16</v>
      </c>
      <c r="G383" s="18" t="b">
        <v>0</v>
      </c>
      <c r="H383" s="18">
        <v>5</v>
      </c>
      <c r="I383" s="18">
        <v>1</v>
      </c>
      <c r="J383" s="18">
        <v>0.22</v>
      </c>
      <c r="K383" s="18">
        <v>0.2727</v>
      </c>
      <c r="L383" s="18">
        <v>0.8</v>
      </c>
      <c r="M383" s="18">
        <v>0</v>
      </c>
      <c r="N383" s="18">
        <v>10</v>
      </c>
      <c r="O383" s="18">
        <v>70</v>
      </c>
      <c r="P383" s="18">
        <v>80</v>
      </c>
    </row>
    <row r="384" spans="1:16" x14ac:dyDescent="0.25">
      <c r="A384" s="18">
        <v>612</v>
      </c>
      <c r="B384" s="17">
        <v>40571</v>
      </c>
      <c r="C384" s="18">
        <v>1</v>
      </c>
      <c r="D384" s="18">
        <v>0</v>
      </c>
      <c r="E384" s="18">
        <v>1</v>
      </c>
      <c r="F384" s="18">
        <v>17</v>
      </c>
      <c r="G384" s="18" t="b">
        <v>0</v>
      </c>
      <c r="H384" s="18">
        <v>5</v>
      </c>
      <c r="I384" s="18">
        <v>1</v>
      </c>
      <c r="J384" s="18">
        <v>0.24</v>
      </c>
      <c r="K384" s="18">
        <v>0.2424</v>
      </c>
      <c r="L384" s="18">
        <v>0.75</v>
      </c>
      <c r="M384" s="18">
        <v>0.1343</v>
      </c>
      <c r="N384" s="18">
        <v>2</v>
      </c>
      <c r="O384" s="18">
        <v>147</v>
      </c>
      <c r="P384" s="18">
        <v>149</v>
      </c>
    </row>
    <row r="385" spans="1:16" x14ac:dyDescent="0.25">
      <c r="A385" s="18">
        <v>613</v>
      </c>
      <c r="B385" s="17">
        <v>40571</v>
      </c>
      <c r="C385" s="18">
        <v>1</v>
      </c>
      <c r="D385" s="18">
        <v>0</v>
      </c>
      <c r="E385" s="18">
        <v>1</v>
      </c>
      <c r="F385" s="18">
        <v>18</v>
      </c>
      <c r="G385" s="18" t="b">
        <v>0</v>
      </c>
      <c r="H385" s="18">
        <v>5</v>
      </c>
      <c r="I385" s="18">
        <v>1</v>
      </c>
      <c r="J385" s="18">
        <v>0.24</v>
      </c>
      <c r="K385" s="18">
        <v>0.2273</v>
      </c>
      <c r="L385" s="18">
        <v>0.75</v>
      </c>
      <c r="M385" s="18">
        <v>0.19400000000000001</v>
      </c>
      <c r="N385" s="18">
        <v>2</v>
      </c>
      <c r="O385" s="18">
        <v>107</v>
      </c>
      <c r="P385" s="18">
        <v>109</v>
      </c>
    </row>
    <row r="386" spans="1:16" x14ac:dyDescent="0.25">
      <c r="A386" s="18">
        <v>614</v>
      </c>
      <c r="B386" s="17">
        <v>40571</v>
      </c>
      <c r="C386" s="18">
        <v>1</v>
      </c>
      <c r="D386" s="18">
        <v>0</v>
      </c>
      <c r="E386" s="18">
        <v>1</v>
      </c>
      <c r="F386" s="18">
        <v>19</v>
      </c>
      <c r="G386" s="18" t="b">
        <v>0</v>
      </c>
      <c r="H386" s="18">
        <v>5</v>
      </c>
      <c r="I386" s="18">
        <v>2</v>
      </c>
      <c r="J386" s="18">
        <v>0.24</v>
      </c>
      <c r="K386" s="18">
        <v>0.2424</v>
      </c>
      <c r="L386" s="18">
        <v>0.75</v>
      </c>
      <c r="M386" s="18">
        <v>0.1343</v>
      </c>
      <c r="N386" s="18">
        <v>5</v>
      </c>
      <c r="O386" s="18">
        <v>84</v>
      </c>
      <c r="P386" s="18">
        <v>89</v>
      </c>
    </row>
    <row r="387" spans="1:16" x14ac:dyDescent="0.25">
      <c r="A387" s="18">
        <v>615</v>
      </c>
      <c r="B387" s="17">
        <v>40571</v>
      </c>
      <c r="C387" s="18">
        <v>1</v>
      </c>
      <c r="D387" s="18">
        <v>0</v>
      </c>
      <c r="E387" s="18">
        <v>1</v>
      </c>
      <c r="F387" s="18">
        <v>20</v>
      </c>
      <c r="G387" s="18" t="b">
        <v>0</v>
      </c>
      <c r="H387" s="18">
        <v>5</v>
      </c>
      <c r="I387" s="18">
        <v>2</v>
      </c>
      <c r="J387" s="18">
        <v>0.24</v>
      </c>
      <c r="K387" s="18">
        <v>0.2273</v>
      </c>
      <c r="L387" s="18">
        <v>0.7</v>
      </c>
      <c r="M387" s="18">
        <v>0.19400000000000001</v>
      </c>
      <c r="N387" s="18">
        <v>1</v>
      </c>
      <c r="O387" s="18">
        <v>61</v>
      </c>
      <c r="P387" s="18">
        <v>62</v>
      </c>
    </row>
    <row r="388" spans="1:16" x14ac:dyDescent="0.25">
      <c r="A388" s="18">
        <v>616</v>
      </c>
      <c r="B388" s="17">
        <v>40571</v>
      </c>
      <c r="C388" s="18">
        <v>1</v>
      </c>
      <c r="D388" s="18">
        <v>0</v>
      </c>
      <c r="E388" s="18">
        <v>1</v>
      </c>
      <c r="F388" s="18">
        <v>21</v>
      </c>
      <c r="G388" s="18" t="b">
        <v>0</v>
      </c>
      <c r="H388" s="18">
        <v>5</v>
      </c>
      <c r="I388" s="18">
        <v>2</v>
      </c>
      <c r="J388" s="18">
        <v>0.22</v>
      </c>
      <c r="K388" s="18">
        <v>0.2273</v>
      </c>
      <c r="L388" s="18">
        <v>0.75</v>
      </c>
      <c r="M388" s="18">
        <v>0.1343</v>
      </c>
      <c r="N388" s="18">
        <v>1</v>
      </c>
      <c r="O388" s="18">
        <v>57</v>
      </c>
      <c r="P388" s="18">
        <v>58</v>
      </c>
    </row>
    <row r="389" spans="1:16" x14ac:dyDescent="0.25">
      <c r="A389" s="18">
        <v>617</v>
      </c>
      <c r="B389" s="17">
        <v>40571</v>
      </c>
      <c r="C389" s="18">
        <v>1</v>
      </c>
      <c r="D389" s="18">
        <v>0</v>
      </c>
      <c r="E389" s="18">
        <v>1</v>
      </c>
      <c r="F389" s="18">
        <v>22</v>
      </c>
      <c r="G389" s="18" t="b">
        <v>0</v>
      </c>
      <c r="H389" s="18">
        <v>5</v>
      </c>
      <c r="I389" s="18">
        <v>1</v>
      </c>
      <c r="J389" s="18">
        <v>0.24</v>
      </c>
      <c r="K389" s="18">
        <v>0.21210000000000001</v>
      </c>
      <c r="L389" s="18">
        <v>0.65</v>
      </c>
      <c r="M389" s="18">
        <v>0.35820000000000002</v>
      </c>
      <c r="N389" s="18">
        <v>0</v>
      </c>
      <c r="O389" s="18">
        <v>26</v>
      </c>
      <c r="P389" s="18">
        <v>26</v>
      </c>
    </row>
    <row r="390" spans="1:16" x14ac:dyDescent="0.25">
      <c r="A390" s="18">
        <v>618</v>
      </c>
      <c r="B390" s="17">
        <v>40571</v>
      </c>
      <c r="C390" s="18">
        <v>1</v>
      </c>
      <c r="D390" s="18">
        <v>0</v>
      </c>
      <c r="E390" s="18">
        <v>1</v>
      </c>
      <c r="F390" s="18">
        <v>23</v>
      </c>
      <c r="G390" s="18" t="b">
        <v>0</v>
      </c>
      <c r="H390" s="18">
        <v>5</v>
      </c>
      <c r="I390" s="18">
        <v>1</v>
      </c>
      <c r="J390" s="18">
        <v>0.24</v>
      </c>
      <c r="K390" s="18">
        <v>0.2273</v>
      </c>
      <c r="L390" s="18">
        <v>0.6</v>
      </c>
      <c r="M390" s="18">
        <v>0.22389999999999999</v>
      </c>
      <c r="N390" s="18">
        <v>1</v>
      </c>
      <c r="O390" s="18">
        <v>22</v>
      </c>
      <c r="P390" s="18">
        <v>23</v>
      </c>
    </row>
    <row r="391" spans="1:16" x14ac:dyDescent="0.25">
      <c r="A391" s="18">
        <v>619</v>
      </c>
      <c r="B391" s="17">
        <v>40572</v>
      </c>
      <c r="C391" s="18">
        <v>1</v>
      </c>
      <c r="D391" s="18">
        <v>0</v>
      </c>
      <c r="E391" s="18">
        <v>1</v>
      </c>
      <c r="F391" s="18">
        <v>0</v>
      </c>
      <c r="G391" s="18" t="b">
        <v>0</v>
      </c>
      <c r="H391" s="18">
        <v>6</v>
      </c>
      <c r="I391" s="18">
        <v>1</v>
      </c>
      <c r="J391" s="18">
        <v>0.22</v>
      </c>
      <c r="K391" s="18">
        <v>0.19700000000000001</v>
      </c>
      <c r="L391" s="18">
        <v>0.64</v>
      </c>
      <c r="M391" s="18">
        <v>0.35820000000000002</v>
      </c>
      <c r="N391" s="18">
        <v>2</v>
      </c>
      <c r="O391" s="18">
        <v>26</v>
      </c>
      <c r="P391" s="18">
        <v>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8E3D2-F5AA-4EE0-A754-E879B8CAAD4E}">
  <dimension ref="A1:Q611"/>
  <sheetViews>
    <sheetView topLeftCell="F1" workbookViewId="0">
      <pane ySplit="1" topLeftCell="A2" activePane="bottomLeft" state="frozen"/>
      <selection activeCell="F1" sqref="F1"/>
      <selection pane="bottomLeft" activeCell="K13" sqref="K13"/>
    </sheetView>
  </sheetViews>
  <sheetFormatPr defaultRowHeight="12.5" x14ac:dyDescent="0.25"/>
  <cols>
    <col min="1" max="1" width="9" bestFit="1" customWidth="1"/>
    <col min="2" max="2" width="15.26953125" bestFit="1" customWidth="1"/>
    <col min="3" max="3" width="9.26953125" bestFit="1" customWidth="1"/>
    <col min="4" max="4" width="4.81640625" bestFit="1" customWidth="1"/>
    <col min="5" max="5" width="7.453125" bestFit="1" customWidth="1"/>
    <col min="6" max="6" width="4.90625" bestFit="1" customWidth="1"/>
    <col min="7" max="7" width="9.26953125" bestFit="1" customWidth="1"/>
    <col min="8" max="8" width="10.54296875" bestFit="1" customWidth="1"/>
    <col min="9" max="9" width="12" bestFit="1" customWidth="1"/>
    <col min="10" max="10" width="7.36328125" bestFit="1" customWidth="1"/>
    <col min="11" max="11" width="17.1796875" bestFit="1" customWidth="1"/>
    <col min="12" max="12" width="16.54296875" bestFit="1" customWidth="1"/>
    <col min="13" max="13" width="14.90625" bestFit="1" customWidth="1"/>
    <col min="14" max="14" width="20.54296875" bestFit="1" customWidth="1"/>
    <col min="15" max="15" width="16.81640625" bestFit="1" customWidth="1"/>
    <col min="16" max="16" width="20.08984375" bestFit="1" customWidth="1"/>
    <col min="17" max="17" width="13.90625" bestFit="1" customWidth="1"/>
  </cols>
  <sheetData>
    <row r="1" spans="1:17" x14ac:dyDescent="0.25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18</v>
      </c>
      <c r="L1" s="30" t="s">
        <v>10</v>
      </c>
      <c r="M1" s="30" t="s">
        <v>11</v>
      </c>
      <c r="N1" s="30" t="s">
        <v>12</v>
      </c>
      <c r="O1" s="30" t="s">
        <v>13</v>
      </c>
      <c r="P1" s="30" t="s">
        <v>14</v>
      </c>
      <c r="Q1" s="31" t="s">
        <v>15</v>
      </c>
    </row>
    <row r="2" spans="1:17" x14ac:dyDescent="0.25">
      <c r="A2" s="32">
        <v>1</v>
      </c>
      <c r="B2" s="33">
        <v>40544</v>
      </c>
      <c r="C2" s="26">
        <v>1</v>
      </c>
      <c r="D2" s="26">
        <v>0</v>
      </c>
      <c r="E2" s="26">
        <v>1</v>
      </c>
      <c r="F2" s="26">
        <v>0</v>
      </c>
      <c r="G2" s="26" t="b">
        <v>0</v>
      </c>
      <c r="H2" s="26">
        <v>6</v>
      </c>
      <c r="I2" s="26">
        <v>1</v>
      </c>
      <c r="J2" s="26">
        <v>0.24</v>
      </c>
      <c r="K2" s="26">
        <v>1</v>
      </c>
      <c r="L2" s="26">
        <v>0.28789999999999999</v>
      </c>
      <c r="M2" s="26">
        <v>0.81</v>
      </c>
      <c r="N2" s="26">
        <v>0</v>
      </c>
      <c r="O2" s="26">
        <v>3</v>
      </c>
      <c r="P2" s="26">
        <v>13</v>
      </c>
      <c r="Q2" s="34">
        <v>16</v>
      </c>
    </row>
    <row r="3" spans="1:17" x14ac:dyDescent="0.25">
      <c r="A3" s="32">
        <v>2</v>
      </c>
      <c r="B3" s="33">
        <v>40544</v>
      </c>
      <c r="C3" s="26">
        <v>1</v>
      </c>
      <c r="D3" s="26">
        <v>0</v>
      </c>
      <c r="E3" s="26">
        <v>1</v>
      </c>
      <c r="F3" s="26">
        <v>1</v>
      </c>
      <c r="G3" s="26" t="b">
        <v>0</v>
      </c>
      <c r="H3" s="26">
        <v>6</v>
      </c>
      <c r="I3" s="26">
        <v>1</v>
      </c>
      <c r="J3" s="26">
        <v>0.22</v>
      </c>
      <c r="K3" s="26">
        <v>2</v>
      </c>
      <c r="L3" s="26">
        <v>0.2727</v>
      </c>
      <c r="M3" s="26">
        <v>0.8</v>
      </c>
      <c r="N3" s="26">
        <v>0</v>
      </c>
      <c r="O3" s="26">
        <v>8</v>
      </c>
      <c r="P3" s="26">
        <v>32</v>
      </c>
      <c r="Q3" s="34">
        <v>40</v>
      </c>
    </row>
    <row r="4" spans="1:17" x14ac:dyDescent="0.25">
      <c r="A4" s="32">
        <v>3</v>
      </c>
      <c r="B4" s="33">
        <v>40544</v>
      </c>
      <c r="C4" s="26">
        <v>1</v>
      </c>
      <c r="D4" s="26">
        <v>0</v>
      </c>
      <c r="E4" s="26">
        <v>1</v>
      </c>
      <c r="F4" s="26">
        <v>2</v>
      </c>
      <c r="G4" s="26" t="b">
        <v>0</v>
      </c>
      <c r="H4" s="26">
        <v>6</v>
      </c>
      <c r="I4" s="26">
        <v>1</v>
      </c>
      <c r="J4" s="26">
        <v>0.22</v>
      </c>
      <c r="K4" s="26">
        <v>3</v>
      </c>
      <c r="L4" s="26">
        <v>0.2727</v>
      </c>
      <c r="M4" s="26">
        <v>0.8</v>
      </c>
      <c r="N4" s="26">
        <v>0</v>
      </c>
      <c r="O4" s="26">
        <v>5</v>
      </c>
      <c r="P4" s="26">
        <v>27</v>
      </c>
      <c r="Q4" s="34">
        <v>32</v>
      </c>
    </row>
    <row r="5" spans="1:17" x14ac:dyDescent="0.25">
      <c r="A5" s="32">
        <v>4</v>
      </c>
      <c r="B5" s="33">
        <v>40544</v>
      </c>
      <c r="C5" s="26">
        <v>1</v>
      </c>
      <c r="D5" s="26">
        <v>0</v>
      </c>
      <c r="E5" s="26">
        <v>1</v>
      </c>
      <c r="F5" s="26">
        <v>3</v>
      </c>
      <c r="G5" s="26" t="b">
        <v>0</v>
      </c>
      <c r="H5" s="26">
        <v>6</v>
      </c>
      <c r="I5" s="26">
        <v>1</v>
      </c>
      <c r="J5" s="26">
        <v>0.24</v>
      </c>
      <c r="K5" s="26">
        <v>4</v>
      </c>
      <c r="L5" s="26">
        <v>0.28789999999999999</v>
      </c>
      <c r="M5" s="26">
        <v>0.75</v>
      </c>
      <c r="N5" s="26">
        <v>0</v>
      </c>
      <c r="O5" s="26">
        <v>3</v>
      </c>
      <c r="P5" s="26">
        <v>10</v>
      </c>
      <c r="Q5" s="34">
        <v>13</v>
      </c>
    </row>
    <row r="6" spans="1:17" x14ac:dyDescent="0.25">
      <c r="A6" s="32">
        <v>5</v>
      </c>
      <c r="B6" s="33">
        <v>40544</v>
      </c>
      <c r="C6" s="26">
        <v>1</v>
      </c>
      <c r="D6" s="26">
        <v>0</v>
      </c>
      <c r="E6" s="26">
        <v>1</v>
      </c>
      <c r="F6" s="26">
        <v>4</v>
      </c>
      <c r="G6" s="26" t="b">
        <v>0</v>
      </c>
      <c r="H6" s="26">
        <v>6</v>
      </c>
      <c r="I6" s="26">
        <v>1</v>
      </c>
      <c r="J6" s="26">
        <v>0.24</v>
      </c>
      <c r="K6" s="26">
        <v>5</v>
      </c>
      <c r="L6" s="26">
        <v>0.28789999999999999</v>
      </c>
      <c r="M6" s="26">
        <v>0.75</v>
      </c>
      <c r="N6" s="26">
        <v>0</v>
      </c>
      <c r="O6" s="26">
        <v>0</v>
      </c>
      <c r="P6" s="26">
        <v>1</v>
      </c>
      <c r="Q6" s="34">
        <v>1</v>
      </c>
    </row>
    <row r="7" spans="1:17" x14ac:dyDescent="0.25">
      <c r="A7" s="32">
        <v>6</v>
      </c>
      <c r="B7" s="33">
        <v>40544</v>
      </c>
      <c r="C7" s="26">
        <v>1</v>
      </c>
      <c r="D7" s="26">
        <v>0</v>
      </c>
      <c r="E7" s="26">
        <v>1</v>
      </c>
      <c r="F7" s="26">
        <v>5</v>
      </c>
      <c r="G7" s="26" t="b">
        <v>0</v>
      </c>
      <c r="H7" s="26">
        <v>6</v>
      </c>
      <c r="I7" s="26">
        <v>2</v>
      </c>
      <c r="J7" s="26">
        <v>0.24</v>
      </c>
      <c r="K7" s="26">
        <v>6</v>
      </c>
      <c r="L7" s="26">
        <v>0.2576</v>
      </c>
      <c r="M7" s="26">
        <v>0.75</v>
      </c>
      <c r="N7" s="26">
        <v>8.9599999999999999E-2</v>
      </c>
      <c r="O7" s="26">
        <v>0</v>
      </c>
      <c r="P7" s="26">
        <v>1</v>
      </c>
      <c r="Q7" s="34">
        <v>1</v>
      </c>
    </row>
    <row r="8" spans="1:17" x14ac:dyDescent="0.25">
      <c r="A8" s="32">
        <v>7</v>
      </c>
      <c r="B8" s="33">
        <v>40544</v>
      </c>
      <c r="C8" s="26">
        <v>1</v>
      </c>
      <c r="D8" s="26">
        <v>0</v>
      </c>
      <c r="E8" s="26">
        <v>1</v>
      </c>
      <c r="F8" s="26">
        <v>6</v>
      </c>
      <c r="G8" s="26" t="b">
        <v>0</v>
      </c>
      <c r="H8" s="26">
        <v>6</v>
      </c>
      <c r="I8" s="26">
        <v>1</v>
      </c>
      <c r="J8" s="26">
        <v>0.22</v>
      </c>
      <c r="K8" s="26">
        <v>7</v>
      </c>
      <c r="L8" s="26">
        <v>0.2727</v>
      </c>
      <c r="M8" s="26">
        <v>0.8</v>
      </c>
      <c r="N8" s="26">
        <v>0</v>
      </c>
      <c r="O8" s="26">
        <v>2</v>
      </c>
      <c r="P8" s="26">
        <v>0</v>
      </c>
      <c r="Q8" s="34">
        <v>2</v>
      </c>
    </row>
    <row r="9" spans="1:17" x14ac:dyDescent="0.25">
      <c r="A9" s="32">
        <v>8</v>
      </c>
      <c r="B9" s="33">
        <v>40544</v>
      </c>
      <c r="C9" s="26">
        <v>1</v>
      </c>
      <c r="D9" s="26">
        <v>0</v>
      </c>
      <c r="E9" s="26">
        <v>1</v>
      </c>
      <c r="F9" s="26">
        <v>7</v>
      </c>
      <c r="G9" s="26" t="b">
        <v>0</v>
      </c>
      <c r="H9" s="26">
        <v>6</v>
      </c>
      <c r="I9" s="26">
        <v>1</v>
      </c>
      <c r="J9" s="26">
        <v>0.2</v>
      </c>
      <c r="K9" s="26">
        <v>8</v>
      </c>
      <c r="L9" s="26">
        <v>0.2576</v>
      </c>
      <c r="M9" s="26">
        <v>0.86</v>
      </c>
      <c r="N9" s="26">
        <v>0</v>
      </c>
      <c r="O9" s="26">
        <v>1</v>
      </c>
      <c r="P9" s="26">
        <v>2</v>
      </c>
      <c r="Q9" s="34">
        <v>3</v>
      </c>
    </row>
    <row r="10" spans="1:17" ht="14" x14ac:dyDescent="0.3">
      <c r="A10" s="32">
        <v>9</v>
      </c>
      <c r="B10" s="33">
        <v>40544</v>
      </c>
      <c r="C10" s="26">
        <v>1</v>
      </c>
      <c r="D10" s="26">
        <v>0</v>
      </c>
      <c r="E10" s="26">
        <v>1</v>
      </c>
      <c r="F10" s="26">
        <v>8</v>
      </c>
      <c r="G10" s="26" t="b">
        <v>0</v>
      </c>
      <c r="H10" s="26">
        <v>6</v>
      </c>
      <c r="I10" s="26">
        <v>1</v>
      </c>
      <c r="J10" s="26">
        <v>0.24</v>
      </c>
      <c r="K10" s="26">
        <v>9</v>
      </c>
      <c r="L10" s="44">
        <v>0.19700000000000001</v>
      </c>
      <c r="M10" s="26">
        <v>0.75</v>
      </c>
      <c r="N10" s="26">
        <v>0</v>
      </c>
      <c r="O10" s="26">
        <v>1</v>
      </c>
      <c r="P10" s="26">
        <v>7</v>
      </c>
      <c r="Q10" s="34">
        <v>8</v>
      </c>
    </row>
    <row r="11" spans="1:17" x14ac:dyDescent="0.25">
      <c r="A11" s="32">
        <v>10</v>
      </c>
      <c r="B11" s="33">
        <v>40544</v>
      </c>
      <c r="C11" s="26">
        <v>1</v>
      </c>
      <c r="D11" s="26">
        <v>0</v>
      </c>
      <c r="E11" s="26">
        <v>1</v>
      </c>
      <c r="F11" s="26">
        <v>9</v>
      </c>
      <c r="G11" s="26" t="b">
        <v>0</v>
      </c>
      <c r="H11" s="26">
        <v>6</v>
      </c>
      <c r="I11" s="26">
        <v>1</v>
      </c>
      <c r="J11" s="26">
        <v>0.32</v>
      </c>
      <c r="K11" s="26">
        <v>10</v>
      </c>
      <c r="L11" s="26">
        <v>0.34849999999999998</v>
      </c>
      <c r="M11" s="26">
        <v>0.76</v>
      </c>
      <c r="N11" s="26">
        <v>0</v>
      </c>
      <c r="O11" s="26">
        <v>8</v>
      </c>
      <c r="P11" s="26">
        <v>6</v>
      </c>
      <c r="Q11" s="34">
        <v>14</v>
      </c>
    </row>
    <row r="12" spans="1:17" x14ac:dyDescent="0.25">
      <c r="A12" s="32">
        <v>11</v>
      </c>
      <c r="B12" s="33">
        <v>40544</v>
      </c>
      <c r="C12" s="26">
        <v>1</v>
      </c>
      <c r="D12" s="26">
        <v>0</v>
      </c>
      <c r="E12" s="26">
        <v>1</v>
      </c>
      <c r="F12" s="26">
        <v>10</v>
      </c>
      <c r="G12" s="26" t="b">
        <v>0</v>
      </c>
      <c r="H12" s="26">
        <v>6</v>
      </c>
      <c r="I12" s="26">
        <v>1</v>
      </c>
      <c r="J12" s="26">
        <v>0.38</v>
      </c>
      <c r="K12" s="26">
        <v>11</v>
      </c>
      <c r="L12" s="26">
        <v>0.39389999999999997</v>
      </c>
      <c r="M12" s="26">
        <v>0.76</v>
      </c>
      <c r="N12" s="26">
        <v>0.25369999999999998</v>
      </c>
      <c r="O12" s="26">
        <v>12</v>
      </c>
      <c r="P12" s="26">
        <v>24</v>
      </c>
      <c r="Q12" s="34">
        <v>36</v>
      </c>
    </row>
    <row r="13" spans="1:17" x14ac:dyDescent="0.25">
      <c r="A13" s="32">
        <v>12</v>
      </c>
      <c r="B13" s="33">
        <v>40544</v>
      </c>
      <c r="C13" s="26">
        <v>1</v>
      </c>
      <c r="D13" s="26">
        <v>0</v>
      </c>
      <c r="E13" s="26">
        <v>1</v>
      </c>
      <c r="F13" s="26">
        <v>11</v>
      </c>
      <c r="G13" s="26" t="b">
        <v>0</v>
      </c>
      <c r="H13" s="26">
        <v>6</v>
      </c>
      <c r="I13" s="26">
        <v>1</v>
      </c>
      <c r="J13" s="26">
        <v>0.36</v>
      </c>
      <c r="K13" s="26">
        <v>12</v>
      </c>
      <c r="L13" s="26">
        <v>0.33329999999999999</v>
      </c>
      <c r="M13" s="26">
        <v>0.81</v>
      </c>
      <c r="N13" s="26">
        <v>0.28360000000000002</v>
      </c>
      <c r="O13" s="26">
        <v>26</v>
      </c>
      <c r="P13" s="26">
        <v>30</v>
      </c>
      <c r="Q13" s="34">
        <v>56</v>
      </c>
    </row>
    <row r="14" spans="1:17" x14ac:dyDescent="0.25">
      <c r="A14" s="32">
        <v>13</v>
      </c>
      <c r="B14" s="33">
        <v>40544</v>
      </c>
      <c r="C14" s="26">
        <v>1</v>
      </c>
      <c r="D14" s="26">
        <v>0</v>
      </c>
      <c r="E14" s="26">
        <v>1</v>
      </c>
      <c r="F14" s="26">
        <v>12</v>
      </c>
      <c r="G14" s="26" t="b">
        <v>0</v>
      </c>
      <c r="H14" s="26">
        <v>6</v>
      </c>
      <c r="I14" s="26">
        <v>1</v>
      </c>
      <c r="J14" s="26">
        <v>0.42</v>
      </c>
      <c r="K14" s="26">
        <v>13</v>
      </c>
      <c r="L14" s="26">
        <v>0.42420000000000002</v>
      </c>
      <c r="M14" s="26">
        <v>0.77</v>
      </c>
      <c r="N14" s="26">
        <v>0.28360000000000002</v>
      </c>
      <c r="O14" s="26">
        <v>29</v>
      </c>
      <c r="P14" s="26">
        <v>55</v>
      </c>
      <c r="Q14" s="34">
        <v>84</v>
      </c>
    </row>
    <row r="15" spans="1:17" x14ac:dyDescent="0.25">
      <c r="A15" s="32">
        <v>14</v>
      </c>
      <c r="B15" s="33">
        <v>40544</v>
      </c>
      <c r="C15" s="26">
        <v>1</v>
      </c>
      <c r="D15" s="26">
        <v>0</v>
      </c>
      <c r="E15" s="26">
        <v>1</v>
      </c>
      <c r="F15" s="26">
        <v>13</v>
      </c>
      <c r="G15" s="26" t="b">
        <v>0</v>
      </c>
      <c r="H15" s="26">
        <v>6</v>
      </c>
      <c r="I15" s="26">
        <v>2</v>
      </c>
      <c r="J15" s="26">
        <v>0.46</v>
      </c>
      <c r="K15" s="26">
        <v>14</v>
      </c>
      <c r="L15" s="26">
        <v>0.45450000000000002</v>
      </c>
      <c r="M15" s="26">
        <v>0.72</v>
      </c>
      <c r="N15" s="26">
        <v>0.29849999999999999</v>
      </c>
      <c r="O15" s="26">
        <v>47</v>
      </c>
      <c r="P15" s="26">
        <v>47</v>
      </c>
      <c r="Q15" s="34">
        <v>94</v>
      </c>
    </row>
    <row r="16" spans="1:17" x14ac:dyDescent="0.25">
      <c r="A16" s="32">
        <v>15</v>
      </c>
      <c r="B16" s="33">
        <v>40544</v>
      </c>
      <c r="C16" s="26">
        <v>1</v>
      </c>
      <c r="D16" s="26">
        <v>0</v>
      </c>
      <c r="E16" s="26">
        <v>1</v>
      </c>
      <c r="F16" s="26">
        <v>14</v>
      </c>
      <c r="G16" s="26" t="b">
        <v>0</v>
      </c>
      <c r="H16" s="26">
        <v>6</v>
      </c>
      <c r="I16" s="26">
        <v>2</v>
      </c>
      <c r="J16" s="26">
        <v>0.46</v>
      </c>
      <c r="K16" s="26">
        <v>15</v>
      </c>
      <c r="L16" s="26">
        <v>0.45450000000000002</v>
      </c>
      <c r="M16" s="26">
        <v>0.72</v>
      </c>
      <c r="N16" s="26">
        <v>0.28360000000000002</v>
      </c>
      <c r="O16" s="26">
        <v>35</v>
      </c>
      <c r="P16" s="26">
        <v>71</v>
      </c>
      <c r="Q16" s="34">
        <v>106</v>
      </c>
    </row>
    <row r="17" spans="1:17" x14ac:dyDescent="0.25">
      <c r="A17" s="32">
        <v>16</v>
      </c>
      <c r="B17" s="33">
        <v>40544</v>
      </c>
      <c r="C17" s="26">
        <v>1</v>
      </c>
      <c r="D17" s="26">
        <v>0</v>
      </c>
      <c r="E17" s="26">
        <v>1</v>
      </c>
      <c r="F17" s="26">
        <v>15</v>
      </c>
      <c r="G17" s="26" t="b">
        <v>0</v>
      </c>
      <c r="H17" s="26">
        <v>6</v>
      </c>
      <c r="I17" s="26">
        <v>2</v>
      </c>
      <c r="J17" s="26">
        <v>0.44</v>
      </c>
      <c r="K17" s="26">
        <v>16</v>
      </c>
      <c r="L17" s="26">
        <v>0.43940000000000001</v>
      </c>
      <c r="M17" s="26">
        <v>0.77</v>
      </c>
      <c r="N17" s="26">
        <v>0.29849999999999999</v>
      </c>
      <c r="O17" s="26">
        <v>40</v>
      </c>
      <c r="P17" s="26">
        <v>70</v>
      </c>
      <c r="Q17" s="34">
        <v>110</v>
      </c>
    </row>
    <row r="18" spans="1:17" x14ac:dyDescent="0.25">
      <c r="A18" s="32">
        <v>17</v>
      </c>
      <c r="B18" s="33">
        <v>40544</v>
      </c>
      <c r="C18" s="26">
        <v>1</v>
      </c>
      <c r="D18" s="26">
        <v>0</v>
      </c>
      <c r="E18" s="26">
        <v>1</v>
      </c>
      <c r="F18" s="26">
        <v>16</v>
      </c>
      <c r="G18" s="26" t="b">
        <v>0</v>
      </c>
      <c r="H18" s="26">
        <v>6</v>
      </c>
      <c r="I18" s="26">
        <v>2</v>
      </c>
      <c r="J18" s="26">
        <v>0.42</v>
      </c>
      <c r="K18" s="26">
        <v>17</v>
      </c>
      <c r="L18" s="26">
        <v>0.42420000000000002</v>
      </c>
      <c r="M18" s="26">
        <v>0.82</v>
      </c>
      <c r="N18" s="26">
        <v>0.29849999999999999</v>
      </c>
      <c r="O18" s="26">
        <v>41</v>
      </c>
      <c r="P18" s="26">
        <v>52</v>
      </c>
      <c r="Q18" s="34">
        <v>93</v>
      </c>
    </row>
    <row r="19" spans="1:17" ht="14" x14ac:dyDescent="0.3">
      <c r="A19" s="32">
        <v>18</v>
      </c>
      <c r="B19" s="33">
        <v>40544</v>
      </c>
      <c r="C19" s="26">
        <v>1</v>
      </c>
      <c r="D19" s="26">
        <v>0</v>
      </c>
      <c r="E19" s="26">
        <v>1</v>
      </c>
      <c r="F19" s="26">
        <v>17</v>
      </c>
      <c r="G19" s="26" t="b">
        <v>0</v>
      </c>
      <c r="H19" s="26">
        <v>6</v>
      </c>
      <c r="I19" s="26">
        <v>2</v>
      </c>
      <c r="J19" s="26">
        <v>0.44</v>
      </c>
      <c r="K19" s="26">
        <v>18</v>
      </c>
      <c r="L19" s="44">
        <v>0.19700000000000001</v>
      </c>
      <c r="M19" s="26">
        <v>0.82</v>
      </c>
      <c r="N19" s="26">
        <v>0.28360000000000002</v>
      </c>
      <c r="O19" s="26">
        <v>15</v>
      </c>
      <c r="P19" s="26">
        <v>52</v>
      </c>
      <c r="Q19" s="34">
        <v>67</v>
      </c>
    </row>
    <row r="20" spans="1:17" x14ac:dyDescent="0.25">
      <c r="A20" s="32">
        <v>19</v>
      </c>
      <c r="B20" s="33">
        <v>40544</v>
      </c>
      <c r="C20" s="26">
        <v>1</v>
      </c>
      <c r="D20" s="26">
        <v>0</v>
      </c>
      <c r="E20" s="26">
        <v>1</v>
      </c>
      <c r="F20" s="26">
        <v>18</v>
      </c>
      <c r="G20" s="26" t="b">
        <v>0</v>
      </c>
      <c r="H20" s="26">
        <v>6</v>
      </c>
      <c r="I20" s="26">
        <v>3</v>
      </c>
      <c r="J20" s="26">
        <v>0.42</v>
      </c>
      <c r="K20" s="26">
        <v>19</v>
      </c>
      <c r="L20" s="26">
        <v>0.42420000000000002</v>
      </c>
      <c r="M20" s="26">
        <v>0.88</v>
      </c>
      <c r="N20" s="26">
        <v>0.25369999999999998</v>
      </c>
      <c r="O20" s="26">
        <v>9</v>
      </c>
      <c r="P20" s="26">
        <v>26</v>
      </c>
      <c r="Q20" s="34">
        <v>35</v>
      </c>
    </row>
    <row r="21" spans="1:17" x14ac:dyDescent="0.25">
      <c r="A21" s="32">
        <v>20</v>
      </c>
      <c r="B21" s="33">
        <v>40544</v>
      </c>
      <c r="C21" s="26">
        <v>1</v>
      </c>
      <c r="D21" s="26">
        <v>0</v>
      </c>
      <c r="E21" s="26">
        <v>1</v>
      </c>
      <c r="F21" s="26">
        <v>19</v>
      </c>
      <c r="G21" s="26" t="b">
        <v>0</v>
      </c>
      <c r="H21" s="26">
        <v>6</v>
      </c>
      <c r="I21" s="26">
        <v>3</v>
      </c>
      <c r="J21" s="26">
        <v>0.42</v>
      </c>
      <c r="K21" s="26">
        <v>20</v>
      </c>
      <c r="L21" s="26">
        <v>0.42420000000000002</v>
      </c>
      <c r="M21" s="26">
        <v>0.88</v>
      </c>
      <c r="N21" s="26">
        <v>0.25369999999999998</v>
      </c>
      <c r="O21" s="26">
        <v>6</v>
      </c>
      <c r="P21" s="26">
        <v>31</v>
      </c>
      <c r="Q21" s="34">
        <v>37</v>
      </c>
    </row>
    <row r="22" spans="1:17" x14ac:dyDescent="0.25">
      <c r="A22" s="32">
        <v>21</v>
      </c>
      <c r="B22" s="33">
        <v>40544</v>
      </c>
      <c r="C22" s="26">
        <v>1</v>
      </c>
      <c r="D22" s="26">
        <v>0</v>
      </c>
      <c r="E22" s="26">
        <v>1</v>
      </c>
      <c r="F22" s="26">
        <v>20</v>
      </c>
      <c r="G22" s="26" t="b">
        <v>0</v>
      </c>
      <c r="H22" s="26">
        <v>6</v>
      </c>
      <c r="I22" s="26">
        <v>2</v>
      </c>
      <c r="J22" s="26">
        <v>0.4</v>
      </c>
      <c r="K22" s="26">
        <v>21</v>
      </c>
      <c r="L22" s="26">
        <v>0.40910000000000002</v>
      </c>
      <c r="M22" s="26">
        <v>0.87</v>
      </c>
      <c r="N22" s="26">
        <v>0.25369999999999998</v>
      </c>
      <c r="O22" s="26">
        <v>11</v>
      </c>
      <c r="P22" s="26">
        <v>25</v>
      </c>
      <c r="Q22" s="34">
        <v>36</v>
      </c>
    </row>
    <row r="23" spans="1:17" x14ac:dyDescent="0.25">
      <c r="A23" s="32">
        <v>22</v>
      </c>
      <c r="B23" s="33">
        <v>40544</v>
      </c>
      <c r="C23" s="26">
        <v>1</v>
      </c>
      <c r="D23" s="26">
        <v>0</v>
      </c>
      <c r="E23" s="26">
        <v>1</v>
      </c>
      <c r="F23" s="26">
        <v>21</v>
      </c>
      <c r="G23" s="26" t="b">
        <v>0</v>
      </c>
      <c r="H23" s="26">
        <v>6</v>
      </c>
      <c r="I23" s="26">
        <v>2</v>
      </c>
      <c r="J23" s="26">
        <v>0.4</v>
      </c>
      <c r="K23" s="26">
        <v>22</v>
      </c>
      <c r="L23" s="26">
        <v>0.40910000000000002</v>
      </c>
      <c r="M23" s="26">
        <v>0.87</v>
      </c>
      <c r="N23" s="26">
        <v>0.19400000000000001</v>
      </c>
      <c r="O23" s="26">
        <v>3</v>
      </c>
      <c r="P23" s="26">
        <v>31</v>
      </c>
      <c r="Q23" s="34">
        <v>34</v>
      </c>
    </row>
    <row r="24" spans="1:17" x14ac:dyDescent="0.25">
      <c r="A24" s="32">
        <v>23</v>
      </c>
      <c r="B24" s="33">
        <v>40544</v>
      </c>
      <c r="C24" s="26">
        <v>1</v>
      </c>
      <c r="D24" s="26">
        <v>0</v>
      </c>
      <c r="E24" s="26">
        <v>1</v>
      </c>
      <c r="F24" s="26">
        <v>22</v>
      </c>
      <c r="G24" s="26" t="b">
        <v>0</v>
      </c>
      <c r="H24" s="26">
        <v>6</v>
      </c>
      <c r="I24" s="26">
        <v>2</v>
      </c>
      <c r="J24" s="26">
        <v>0.4</v>
      </c>
      <c r="K24" s="26">
        <v>23</v>
      </c>
      <c r="L24" s="26">
        <v>0.40910000000000002</v>
      </c>
      <c r="M24" s="26">
        <v>0.94</v>
      </c>
      <c r="N24" s="26">
        <v>0.22389999999999999</v>
      </c>
      <c r="O24" s="26">
        <v>11</v>
      </c>
      <c r="P24" s="26">
        <v>17</v>
      </c>
      <c r="Q24" s="34">
        <v>28</v>
      </c>
    </row>
    <row r="25" spans="1:17" ht="14" x14ac:dyDescent="0.3">
      <c r="A25" s="32">
        <v>24</v>
      </c>
      <c r="B25" s="33">
        <v>40544</v>
      </c>
      <c r="C25" s="26">
        <v>1</v>
      </c>
      <c r="D25" s="26">
        <v>0</v>
      </c>
      <c r="E25" s="26">
        <v>1</v>
      </c>
      <c r="F25" s="26">
        <v>23</v>
      </c>
      <c r="G25" s="26" t="b">
        <v>0</v>
      </c>
      <c r="H25" s="26">
        <v>6</v>
      </c>
      <c r="I25" s="26">
        <v>2</v>
      </c>
      <c r="J25" s="26">
        <v>0.46</v>
      </c>
      <c r="K25" s="26">
        <v>24</v>
      </c>
      <c r="L25" s="44">
        <v>0.19700000000000001</v>
      </c>
      <c r="M25" s="26">
        <v>0.88</v>
      </c>
      <c r="N25" s="26">
        <v>0.29849999999999999</v>
      </c>
      <c r="O25" s="26">
        <v>15</v>
      </c>
      <c r="P25" s="26">
        <v>24</v>
      </c>
      <c r="Q25" s="34">
        <v>39</v>
      </c>
    </row>
    <row r="26" spans="1:17" x14ac:dyDescent="0.25">
      <c r="A26" s="32">
        <v>25</v>
      </c>
      <c r="B26" s="33">
        <v>40545</v>
      </c>
      <c r="C26" s="26">
        <v>1</v>
      </c>
      <c r="D26" s="26">
        <v>0</v>
      </c>
      <c r="E26" s="26">
        <v>1</v>
      </c>
      <c r="F26" s="26">
        <v>0</v>
      </c>
      <c r="G26" s="26" t="b">
        <v>0</v>
      </c>
      <c r="H26" s="26">
        <v>0</v>
      </c>
      <c r="I26" s="26">
        <v>2</v>
      </c>
      <c r="J26" s="26">
        <v>0.46</v>
      </c>
      <c r="K26" s="26">
        <v>25</v>
      </c>
      <c r="L26" s="26">
        <v>0.45450000000000002</v>
      </c>
      <c r="M26" s="26">
        <v>0.88</v>
      </c>
      <c r="N26" s="26">
        <v>0.29849999999999999</v>
      </c>
      <c r="O26" s="26">
        <v>4</v>
      </c>
      <c r="P26" s="26">
        <v>13</v>
      </c>
      <c r="Q26" s="34">
        <v>17</v>
      </c>
    </row>
    <row r="27" spans="1:17" x14ac:dyDescent="0.25">
      <c r="A27" s="32">
        <v>26</v>
      </c>
      <c r="B27" s="33">
        <v>40545</v>
      </c>
      <c r="C27" s="26">
        <v>1</v>
      </c>
      <c r="D27" s="26">
        <v>0</v>
      </c>
      <c r="E27" s="26">
        <v>1</v>
      </c>
      <c r="F27" s="26">
        <v>1</v>
      </c>
      <c r="G27" s="26" t="b">
        <v>0</v>
      </c>
      <c r="H27" s="26">
        <v>0</v>
      </c>
      <c r="I27" s="26">
        <v>2</v>
      </c>
      <c r="J27" s="26">
        <v>0.44</v>
      </c>
      <c r="K27" s="26">
        <v>26</v>
      </c>
      <c r="L27" s="26">
        <v>0.43940000000000001</v>
      </c>
      <c r="M27" s="26">
        <v>0.94</v>
      </c>
      <c r="N27" s="26">
        <v>0.25369999999999998</v>
      </c>
      <c r="O27" s="26">
        <v>1</v>
      </c>
      <c r="P27" s="26">
        <v>16</v>
      </c>
      <c r="Q27" s="34">
        <v>17</v>
      </c>
    </row>
    <row r="28" spans="1:17" x14ac:dyDescent="0.25">
      <c r="A28" s="32">
        <v>27</v>
      </c>
      <c r="B28" s="33">
        <v>40545</v>
      </c>
      <c r="C28" s="26">
        <v>1</v>
      </c>
      <c r="D28" s="26">
        <v>0</v>
      </c>
      <c r="E28" s="26">
        <v>1</v>
      </c>
      <c r="F28" s="26">
        <v>2</v>
      </c>
      <c r="G28" s="26" t="b">
        <v>0</v>
      </c>
      <c r="H28" s="26">
        <v>0</v>
      </c>
      <c r="I28" s="26">
        <v>2</v>
      </c>
      <c r="J28" s="26">
        <v>0.42</v>
      </c>
      <c r="K28" s="26">
        <v>27</v>
      </c>
      <c r="L28" s="26">
        <v>0.42420000000000002</v>
      </c>
      <c r="M28" s="26">
        <v>1</v>
      </c>
      <c r="N28" s="26">
        <v>0.28360000000000002</v>
      </c>
      <c r="O28" s="26">
        <v>1</v>
      </c>
      <c r="P28" s="26">
        <v>8</v>
      </c>
      <c r="Q28" s="34">
        <v>9</v>
      </c>
    </row>
    <row r="29" spans="1:17" x14ac:dyDescent="0.25">
      <c r="A29" s="32">
        <v>28</v>
      </c>
      <c r="B29" s="33">
        <v>40545</v>
      </c>
      <c r="C29" s="26">
        <v>1</v>
      </c>
      <c r="D29" s="26">
        <v>0</v>
      </c>
      <c r="E29" s="26">
        <v>1</v>
      </c>
      <c r="F29" s="26">
        <v>3</v>
      </c>
      <c r="G29" s="26" t="b">
        <v>0</v>
      </c>
      <c r="H29" s="26">
        <v>0</v>
      </c>
      <c r="I29" s="26">
        <v>2</v>
      </c>
      <c r="J29" s="26">
        <v>0.46</v>
      </c>
      <c r="K29" s="26">
        <v>28</v>
      </c>
      <c r="L29" s="26">
        <v>0.45450000000000002</v>
      </c>
      <c r="M29" s="26">
        <v>0.94</v>
      </c>
      <c r="N29" s="26">
        <v>0.19400000000000001</v>
      </c>
      <c r="O29" s="26">
        <v>2</v>
      </c>
      <c r="P29" s="26">
        <v>4</v>
      </c>
      <c r="Q29" s="34">
        <v>6</v>
      </c>
    </row>
    <row r="30" spans="1:17" ht="14" x14ac:dyDescent="0.3">
      <c r="A30" s="32">
        <v>29</v>
      </c>
      <c r="B30" s="33">
        <v>40545</v>
      </c>
      <c r="C30" s="26">
        <v>1</v>
      </c>
      <c r="D30" s="26">
        <v>0</v>
      </c>
      <c r="E30" s="26">
        <v>1</v>
      </c>
      <c r="F30" s="26">
        <v>4</v>
      </c>
      <c r="G30" s="26" t="b">
        <v>0</v>
      </c>
      <c r="H30" s="26">
        <v>0</v>
      </c>
      <c r="I30" s="26">
        <v>2</v>
      </c>
      <c r="J30" s="26">
        <v>0.46</v>
      </c>
      <c r="K30" s="26">
        <v>29</v>
      </c>
      <c r="L30" s="44">
        <v>0.19700000000000001</v>
      </c>
      <c r="M30" s="26">
        <v>0.94</v>
      </c>
      <c r="N30" s="26">
        <v>0.19400000000000001</v>
      </c>
      <c r="O30" s="26">
        <v>2</v>
      </c>
      <c r="P30" s="26">
        <v>1</v>
      </c>
      <c r="Q30" s="34">
        <v>3</v>
      </c>
    </row>
    <row r="31" spans="1:17" x14ac:dyDescent="0.25">
      <c r="A31" s="32">
        <v>30</v>
      </c>
      <c r="B31" s="33">
        <v>40545</v>
      </c>
      <c r="C31" s="26">
        <v>1</v>
      </c>
      <c r="D31" s="26">
        <v>0</v>
      </c>
      <c r="E31" s="26">
        <v>1</v>
      </c>
      <c r="F31" s="26">
        <v>6</v>
      </c>
      <c r="G31" s="26" t="b">
        <v>0</v>
      </c>
      <c r="H31" s="26">
        <v>0</v>
      </c>
      <c r="I31" s="26">
        <v>3</v>
      </c>
      <c r="J31" s="26">
        <v>0.42</v>
      </c>
      <c r="K31" s="26">
        <v>30</v>
      </c>
      <c r="L31" s="26">
        <v>0.42420000000000002</v>
      </c>
      <c r="M31" s="26">
        <v>0.77</v>
      </c>
      <c r="N31" s="26">
        <v>0.29849999999999999</v>
      </c>
      <c r="O31" s="26">
        <v>0</v>
      </c>
      <c r="P31" s="26">
        <v>2</v>
      </c>
      <c r="Q31" s="34">
        <v>2</v>
      </c>
    </row>
    <row r="32" spans="1:17" x14ac:dyDescent="0.25">
      <c r="A32" s="32">
        <v>31</v>
      </c>
      <c r="B32" s="33">
        <v>40545</v>
      </c>
      <c r="C32" s="26">
        <v>1</v>
      </c>
      <c r="D32" s="26">
        <v>0</v>
      </c>
      <c r="E32" s="26">
        <v>1</v>
      </c>
      <c r="F32" s="26">
        <v>7</v>
      </c>
      <c r="G32" s="26" t="b">
        <v>0</v>
      </c>
      <c r="H32" s="26">
        <v>0</v>
      </c>
      <c r="I32" s="26">
        <v>2</v>
      </c>
      <c r="J32" s="26">
        <v>0.4</v>
      </c>
      <c r="K32" s="26">
        <v>31</v>
      </c>
      <c r="L32" s="26">
        <v>0.40910000000000002</v>
      </c>
      <c r="M32" s="26">
        <v>0.76</v>
      </c>
      <c r="N32" s="26">
        <v>0.19400000000000001</v>
      </c>
      <c r="O32" s="26">
        <v>0</v>
      </c>
      <c r="P32" s="26">
        <v>1</v>
      </c>
      <c r="Q32" s="34">
        <v>1</v>
      </c>
    </row>
    <row r="33" spans="1:17" x14ac:dyDescent="0.25">
      <c r="A33" s="32">
        <v>32</v>
      </c>
      <c r="B33" s="33">
        <v>40545</v>
      </c>
      <c r="C33" s="26">
        <v>1</v>
      </c>
      <c r="D33" s="26">
        <v>0</v>
      </c>
      <c r="E33" s="26">
        <v>1</v>
      </c>
      <c r="F33" s="26">
        <v>8</v>
      </c>
      <c r="G33" s="26" t="b">
        <v>0</v>
      </c>
      <c r="H33" s="26">
        <v>0</v>
      </c>
      <c r="I33" s="26">
        <v>3</v>
      </c>
      <c r="J33" s="26">
        <v>0.4</v>
      </c>
      <c r="K33" s="26">
        <v>32</v>
      </c>
      <c r="L33" s="26">
        <v>0.40910000000000002</v>
      </c>
      <c r="M33" s="26">
        <v>0.71</v>
      </c>
      <c r="N33" s="26">
        <v>0.22389999999999999</v>
      </c>
      <c r="O33" s="26">
        <v>0</v>
      </c>
      <c r="P33" s="26">
        <v>8</v>
      </c>
      <c r="Q33" s="34">
        <v>8</v>
      </c>
    </row>
    <row r="34" spans="1:17" ht="14" x14ac:dyDescent="0.3">
      <c r="A34" s="32">
        <v>33</v>
      </c>
      <c r="B34" s="33">
        <v>40545</v>
      </c>
      <c r="C34" s="26">
        <v>1</v>
      </c>
      <c r="D34" s="26">
        <v>0</v>
      </c>
      <c r="E34" s="26">
        <v>1</v>
      </c>
      <c r="F34" s="26">
        <v>9</v>
      </c>
      <c r="G34" s="26" t="b">
        <v>0</v>
      </c>
      <c r="H34" s="26">
        <v>0</v>
      </c>
      <c r="I34" s="26">
        <v>2</v>
      </c>
      <c r="J34" s="26">
        <v>0.38</v>
      </c>
      <c r="K34" s="26">
        <v>33</v>
      </c>
      <c r="L34" s="44">
        <v>0.19700000000000001</v>
      </c>
      <c r="M34" s="26">
        <v>0.76</v>
      </c>
      <c r="N34" s="26">
        <v>0.22389999999999999</v>
      </c>
      <c r="O34" s="26">
        <v>1</v>
      </c>
      <c r="P34" s="26">
        <v>19</v>
      </c>
      <c r="Q34" s="34">
        <v>20</v>
      </c>
    </row>
    <row r="35" spans="1:17" x14ac:dyDescent="0.25">
      <c r="A35" s="32">
        <v>34</v>
      </c>
      <c r="B35" s="33">
        <v>40545</v>
      </c>
      <c r="C35" s="26">
        <v>1</v>
      </c>
      <c r="D35" s="26">
        <v>0</v>
      </c>
      <c r="E35" s="26">
        <v>1</v>
      </c>
      <c r="F35" s="26">
        <v>10</v>
      </c>
      <c r="G35" s="26" t="b">
        <v>0</v>
      </c>
      <c r="H35" s="26">
        <v>0</v>
      </c>
      <c r="I35" s="26">
        <v>2</v>
      </c>
      <c r="J35" s="26">
        <v>0.36</v>
      </c>
      <c r="K35" s="26">
        <v>34</v>
      </c>
      <c r="L35" s="26">
        <v>0.34849999999999998</v>
      </c>
      <c r="M35" s="26">
        <v>0.81</v>
      </c>
      <c r="N35" s="26">
        <v>0.22389999999999999</v>
      </c>
      <c r="O35" s="26">
        <v>7</v>
      </c>
      <c r="P35" s="26">
        <v>46</v>
      </c>
      <c r="Q35" s="34">
        <v>53</v>
      </c>
    </row>
    <row r="36" spans="1:17" x14ac:dyDescent="0.25">
      <c r="A36" s="32">
        <v>35</v>
      </c>
      <c r="B36" s="33">
        <v>40545</v>
      </c>
      <c r="C36" s="26">
        <v>1</v>
      </c>
      <c r="D36" s="26">
        <v>0</v>
      </c>
      <c r="E36" s="26">
        <v>1</v>
      </c>
      <c r="F36" s="26">
        <v>11</v>
      </c>
      <c r="G36" s="26" t="b">
        <v>0</v>
      </c>
      <c r="H36" s="26">
        <v>0</v>
      </c>
      <c r="I36" s="26">
        <v>2</v>
      </c>
      <c r="J36" s="26">
        <v>0.36</v>
      </c>
      <c r="K36" s="26">
        <v>35</v>
      </c>
      <c r="L36" s="26">
        <v>0.33329999999999999</v>
      </c>
      <c r="M36" s="26">
        <v>0.71</v>
      </c>
      <c r="N36" s="26">
        <v>0.25369999999999998</v>
      </c>
      <c r="O36" s="26">
        <v>16</v>
      </c>
      <c r="P36" s="26">
        <v>54</v>
      </c>
      <c r="Q36" s="34">
        <v>70</v>
      </c>
    </row>
    <row r="37" spans="1:17" x14ac:dyDescent="0.25">
      <c r="A37" s="32">
        <v>36</v>
      </c>
      <c r="B37" s="33">
        <v>40545</v>
      </c>
      <c r="C37" s="26">
        <v>1</v>
      </c>
      <c r="D37" s="26">
        <v>0</v>
      </c>
      <c r="E37" s="26">
        <v>1</v>
      </c>
      <c r="F37" s="26">
        <v>12</v>
      </c>
      <c r="G37" s="26" t="b">
        <v>0</v>
      </c>
      <c r="H37" s="26">
        <v>0</v>
      </c>
      <c r="I37" s="26">
        <v>2</v>
      </c>
      <c r="J37" s="26">
        <v>0.36</v>
      </c>
      <c r="K37" s="26">
        <v>36</v>
      </c>
      <c r="L37" s="26">
        <v>0.33329999999999999</v>
      </c>
      <c r="M37" s="26">
        <v>0.66</v>
      </c>
      <c r="N37" s="26">
        <v>0.29849999999999999</v>
      </c>
      <c r="O37" s="26">
        <v>20</v>
      </c>
      <c r="P37" s="26">
        <v>73</v>
      </c>
      <c r="Q37" s="34">
        <v>93</v>
      </c>
    </row>
    <row r="38" spans="1:17" x14ac:dyDescent="0.25">
      <c r="A38" s="32">
        <v>37</v>
      </c>
      <c r="B38" s="33">
        <v>40545</v>
      </c>
      <c r="C38" s="26">
        <v>1</v>
      </c>
      <c r="D38" s="26">
        <v>0</v>
      </c>
      <c r="E38" s="26">
        <v>1</v>
      </c>
      <c r="F38" s="26">
        <v>13</v>
      </c>
      <c r="G38" s="26" t="b">
        <v>0</v>
      </c>
      <c r="H38" s="26">
        <v>0</v>
      </c>
      <c r="I38" s="26">
        <v>2</v>
      </c>
      <c r="J38" s="26">
        <v>0.36</v>
      </c>
      <c r="K38" s="26">
        <v>37</v>
      </c>
      <c r="L38" s="26">
        <v>0.34849999999999998</v>
      </c>
      <c r="M38" s="26">
        <v>0.66</v>
      </c>
      <c r="N38" s="26">
        <v>0.1343</v>
      </c>
      <c r="O38" s="26">
        <v>11</v>
      </c>
      <c r="P38" s="26">
        <v>64</v>
      </c>
      <c r="Q38" s="34">
        <v>75</v>
      </c>
    </row>
    <row r="39" spans="1:17" ht="14" x14ac:dyDescent="0.3">
      <c r="A39" s="32">
        <v>38</v>
      </c>
      <c r="B39" s="33">
        <v>40545</v>
      </c>
      <c r="C39" s="26">
        <v>1</v>
      </c>
      <c r="D39" s="26">
        <v>0</v>
      </c>
      <c r="E39" s="26">
        <v>1</v>
      </c>
      <c r="F39" s="26">
        <v>14</v>
      </c>
      <c r="G39" s="26" t="b">
        <v>0</v>
      </c>
      <c r="H39" s="26">
        <v>0</v>
      </c>
      <c r="I39" s="26">
        <v>3</v>
      </c>
      <c r="J39" s="26">
        <v>0.36</v>
      </c>
      <c r="K39" s="26">
        <v>38</v>
      </c>
      <c r="L39" s="44">
        <v>0.19700000000000001</v>
      </c>
      <c r="M39" s="26">
        <v>0.76</v>
      </c>
      <c r="N39" s="26">
        <v>0.19400000000000001</v>
      </c>
      <c r="O39" s="26">
        <v>4</v>
      </c>
      <c r="P39" s="26">
        <v>55</v>
      </c>
      <c r="Q39" s="34">
        <v>59</v>
      </c>
    </row>
    <row r="40" spans="1:17" x14ac:dyDescent="0.25">
      <c r="A40" s="32">
        <v>39</v>
      </c>
      <c r="B40" s="33">
        <v>40545</v>
      </c>
      <c r="C40" s="26">
        <v>1</v>
      </c>
      <c r="D40" s="26">
        <v>0</v>
      </c>
      <c r="E40" s="26">
        <v>1</v>
      </c>
      <c r="F40" s="26">
        <v>15</v>
      </c>
      <c r="G40" s="26" t="b">
        <v>0</v>
      </c>
      <c r="H40" s="26">
        <v>0</v>
      </c>
      <c r="I40" s="26">
        <v>3</v>
      </c>
      <c r="J40" s="26">
        <v>0.34</v>
      </c>
      <c r="K40" s="26">
        <v>39</v>
      </c>
      <c r="L40" s="26">
        <v>0.33329999999999999</v>
      </c>
      <c r="M40" s="26">
        <v>0.81</v>
      </c>
      <c r="N40" s="26">
        <v>0.16420000000000001</v>
      </c>
      <c r="O40" s="26">
        <v>19</v>
      </c>
      <c r="P40" s="26">
        <v>55</v>
      </c>
      <c r="Q40" s="34">
        <v>74</v>
      </c>
    </row>
    <row r="41" spans="1:17" x14ac:dyDescent="0.25">
      <c r="A41" s="32">
        <v>40</v>
      </c>
      <c r="B41" s="33">
        <v>40545</v>
      </c>
      <c r="C41" s="26">
        <v>1</v>
      </c>
      <c r="D41" s="26">
        <v>0</v>
      </c>
      <c r="E41" s="26">
        <v>1</v>
      </c>
      <c r="F41" s="26">
        <v>16</v>
      </c>
      <c r="G41" s="26" t="b">
        <v>0</v>
      </c>
      <c r="H41" s="26">
        <v>0</v>
      </c>
      <c r="I41" s="26">
        <v>3</v>
      </c>
      <c r="J41" s="26">
        <v>0.34</v>
      </c>
      <c r="K41" s="26">
        <v>40</v>
      </c>
      <c r="L41" s="26">
        <v>0.33329999999999999</v>
      </c>
      <c r="M41" s="26">
        <v>0.71</v>
      </c>
      <c r="N41" s="26">
        <v>0.16420000000000001</v>
      </c>
      <c r="O41" s="26">
        <v>9</v>
      </c>
      <c r="P41" s="26">
        <v>67</v>
      </c>
      <c r="Q41" s="34">
        <v>76</v>
      </c>
    </row>
    <row r="42" spans="1:17" x14ac:dyDescent="0.25">
      <c r="A42" s="32">
        <v>41</v>
      </c>
      <c r="B42" s="33">
        <v>40545</v>
      </c>
      <c r="C42" s="26">
        <v>1</v>
      </c>
      <c r="D42" s="26">
        <v>0</v>
      </c>
      <c r="E42" s="26">
        <v>1</v>
      </c>
      <c r="F42" s="26">
        <v>17</v>
      </c>
      <c r="G42" s="26" t="b">
        <v>0</v>
      </c>
      <c r="H42" s="26">
        <v>0</v>
      </c>
      <c r="I42" s="26">
        <v>1</v>
      </c>
      <c r="J42" s="26">
        <v>0.34</v>
      </c>
      <c r="K42" s="26">
        <v>41</v>
      </c>
      <c r="L42" s="26">
        <v>0.33329999999999999</v>
      </c>
      <c r="M42" s="26">
        <v>0.56999999999999995</v>
      </c>
      <c r="N42" s="26">
        <v>0.19400000000000001</v>
      </c>
      <c r="O42" s="26">
        <v>7</v>
      </c>
      <c r="P42" s="26">
        <v>58</v>
      </c>
      <c r="Q42" s="34">
        <v>65</v>
      </c>
    </row>
    <row r="43" spans="1:17" x14ac:dyDescent="0.25">
      <c r="A43" s="32">
        <v>42</v>
      </c>
      <c r="B43" s="33">
        <v>40545</v>
      </c>
      <c r="C43" s="26">
        <v>1</v>
      </c>
      <c r="D43" s="26">
        <v>0</v>
      </c>
      <c r="E43" s="26">
        <v>1</v>
      </c>
      <c r="F43" s="26">
        <v>18</v>
      </c>
      <c r="G43" s="26" t="b">
        <v>0</v>
      </c>
      <c r="H43" s="26">
        <v>0</v>
      </c>
      <c r="I43" s="26">
        <v>2</v>
      </c>
      <c r="J43" s="26">
        <v>0.36</v>
      </c>
      <c r="K43" s="26">
        <v>42</v>
      </c>
      <c r="L43" s="26">
        <v>0.33329999999999999</v>
      </c>
      <c r="M43" s="26">
        <v>0.46</v>
      </c>
      <c r="N43" s="26">
        <v>0.32840000000000003</v>
      </c>
      <c r="O43" s="26">
        <v>10</v>
      </c>
      <c r="P43" s="26">
        <v>43</v>
      </c>
      <c r="Q43" s="34">
        <v>53</v>
      </c>
    </row>
    <row r="44" spans="1:17" x14ac:dyDescent="0.25">
      <c r="A44" s="32">
        <v>43</v>
      </c>
      <c r="B44" s="33">
        <v>40545</v>
      </c>
      <c r="C44" s="26">
        <v>1</v>
      </c>
      <c r="D44" s="26">
        <v>0</v>
      </c>
      <c r="E44" s="26">
        <v>1</v>
      </c>
      <c r="F44" s="26">
        <v>19</v>
      </c>
      <c r="G44" s="26" t="b">
        <v>0</v>
      </c>
      <c r="H44" s="26">
        <v>0</v>
      </c>
      <c r="I44" s="26">
        <v>1</v>
      </c>
      <c r="J44" s="26">
        <v>0.32</v>
      </c>
      <c r="K44" s="26">
        <v>43</v>
      </c>
      <c r="L44" s="26">
        <v>0.28789999999999999</v>
      </c>
      <c r="M44" s="26">
        <v>0.42</v>
      </c>
      <c r="N44" s="26">
        <v>0.44779999999999998</v>
      </c>
      <c r="O44" s="26">
        <v>1</v>
      </c>
      <c r="P44" s="26">
        <v>29</v>
      </c>
      <c r="Q44" s="34">
        <v>30</v>
      </c>
    </row>
    <row r="45" spans="1:17" ht="14" x14ac:dyDescent="0.3">
      <c r="A45" s="32">
        <v>44</v>
      </c>
      <c r="B45" s="33">
        <v>40545</v>
      </c>
      <c r="C45" s="26">
        <v>1</v>
      </c>
      <c r="D45" s="26">
        <v>0</v>
      </c>
      <c r="E45" s="26">
        <v>1</v>
      </c>
      <c r="F45" s="26">
        <v>20</v>
      </c>
      <c r="G45" s="26" t="b">
        <v>0</v>
      </c>
      <c r="H45" s="26">
        <v>0</v>
      </c>
      <c r="I45" s="26">
        <v>1</v>
      </c>
      <c r="J45" s="26">
        <v>0.3</v>
      </c>
      <c r="K45" s="26">
        <v>44</v>
      </c>
      <c r="L45" s="44">
        <v>0.19700000000000001</v>
      </c>
      <c r="M45" s="26">
        <v>0.39</v>
      </c>
      <c r="N45" s="26">
        <v>0.35820000000000002</v>
      </c>
      <c r="O45" s="26">
        <v>5</v>
      </c>
      <c r="P45" s="26">
        <v>17</v>
      </c>
      <c r="Q45" s="34">
        <v>22</v>
      </c>
    </row>
    <row r="46" spans="1:17" x14ac:dyDescent="0.25">
      <c r="A46" s="32">
        <v>45</v>
      </c>
      <c r="B46" s="33">
        <v>40545</v>
      </c>
      <c r="C46" s="26">
        <v>1</v>
      </c>
      <c r="D46" s="26">
        <v>0</v>
      </c>
      <c r="E46" s="26">
        <v>1</v>
      </c>
      <c r="F46" s="26">
        <v>21</v>
      </c>
      <c r="G46" s="26" t="b">
        <v>0</v>
      </c>
      <c r="H46" s="26">
        <v>0</v>
      </c>
      <c r="I46" s="26">
        <v>1</v>
      </c>
      <c r="J46" s="26">
        <v>0.26</v>
      </c>
      <c r="K46" s="26">
        <v>45</v>
      </c>
      <c r="L46" s="26">
        <v>0.2273</v>
      </c>
      <c r="M46" s="26">
        <v>0.44</v>
      </c>
      <c r="N46" s="26">
        <v>0.32840000000000003</v>
      </c>
      <c r="O46" s="26">
        <v>11</v>
      </c>
      <c r="P46" s="26">
        <v>20</v>
      </c>
      <c r="Q46" s="34">
        <v>31</v>
      </c>
    </row>
    <row r="47" spans="1:17" x14ac:dyDescent="0.25">
      <c r="A47" s="32">
        <v>46</v>
      </c>
      <c r="B47" s="33">
        <v>40545</v>
      </c>
      <c r="C47" s="26">
        <v>1</v>
      </c>
      <c r="D47" s="26">
        <v>0</v>
      </c>
      <c r="E47" s="26">
        <v>1</v>
      </c>
      <c r="F47" s="26">
        <v>22</v>
      </c>
      <c r="G47" s="26" t="b">
        <v>0</v>
      </c>
      <c r="H47" s="26">
        <v>0</v>
      </c>
      <c r="I47" s="26">
        <v>1</v>
      </c>
      <c r="J47" s="26">
        <v>0.24</v>
      </c>
      <c r="K47" s="26">
        <v>46</v>
      </c>
      <c r="L47" s="26">
        <v>0.21210000000000001</v>
      </c>
      <c r="M47" s="26">
        <v>0.44</v>
      </c>
      <c r="N47" s="26">
        <v>0.29849999999999999</v>
      </c>
      <c r="O47" s="26">
        <v>0</v>
      </c>
      <c r="P47" s="26">
        <v>9</v>
      </c>
      <c r="Q47" s="34">
        <v>9</v>
      </c>
    </row>
    <row r="48" spans="1:17" x14ac:dyDescent="0.25">
      <c r="A48" s="32">
        <v>47</v>
      </c>
      <c r="B48" s="33">
        <v>40545</v>
      </c>
      <c r="C48" s="26">
        <v>1</v>
      </c>
      <c r="D48" s="26">
        <v>0</v>
      </c>
      <c r="E48" s="26">
        <v>1</v>
      </c>
      <c r="F48" s="26">
        <v>23</v>
      </c>
      <c r="G48" s="26" t="b">
        <v>0</v>
      </c>
      <c r="H48" s="26">
        <v>0</v>
      </c>
      <c r="I48" s="26">
        <v>1</v>
      </c>
      <c r="J48" s="26">
        <v>0.22</v>
      </c>
      <c r="K48" s="26">
        <v>47</v>
      </c>
      <c r="L48" s="26">
        <v>0.2273</v>
      </c>
      <c r="M48" s="26">
        <v>0.47</v>
      </c>
      <c r="N48" s="26">
        <v>0.16420000000000001</v>
      </c>
      <c r="O48" s="26">
        <v>0</v>
      </c>
      <c r="P48" s="26">
        <v>8</v>
      </c>
      <c r="Q48" s="34">
        <v>8</v>
      </c>
    </row>
    <row r="49" spans="1:17" x14ac:dyDescent="0.25">
      <c r="A49" s="32">
        <v>48</v>
      </c>
      <c r="B49" s="33">
        <v>40546</v>
      </c>
      <c r="C49" s="26">
        <v>1</v>
      </c>
      <c r="D49" s="26">
        <v>0</v>
      </c>
      <c r="E49" s="26">
        <v>1</v>
      </c>
      <c r="F49" s="26">
        <v>0</v>
      </c>
      <c r="G49" s="26" t="b">
        <v>0</v>
      </c>
      <c r="H49" s="26">
        <v>1</v>
      </c>
      <c r="I49" s="26">
        <v>1</v>
      </c>
      <c r="J49" s="26">
        <v>0.22</v>
      </c>
      <c r="K49" s="26">
        <v>48</v>
      </c>
      <c r="L49" s="26">
        <v>0.19700000000000001</v>
      </c>
      <c r="M49" s="26">
        <v>0.44</v>
      </c>
      <c r="N49" s="26">
        <v>0.35820000000000002</v>
      </c>
      <c r="O49" s="26">
        <v>0</v>
      </c>
      <c r="P49" s="26">
        <v>5</v>
      </c>
      <c r="Q49" s="34">
        <v>5</v>
      </c>
    </row>
    <row r="50" spans="1:17" ht="14" x14ac:dyDescent="0.3">
      <c r="A50" s="32">
        <v>49</v>
      </c>
      <c r="B50" s="33">
        <v>40546</v>
      </c>
      <c r="C50" s="26">
        <v>1</v>
      </c>
      <c r="D50" s="26">
        <v>0</v>
      </c>
      <c r="E50" s="26">
        <v>1</v>
      </c>
      <c r="F50" s="26">
        <v>1</v>
      </c>
      <c r="G50" s="26" t="b">
        <v>0</v>
      </c>
      <c r="H50" s="26">
        <v>1</v>
      </c>
      <c r="I50" s="26">
        <v>1</v>
      </c>
      <c r="J50" s="26">
        <v>0.2</v>
      </c>
      <c r="K50" s="26">
        <v>49</v>
      </c>
      <c r="L50" s="44">
        <v>0.19700000000000001</v>
      </c>
      <c r="M50" s="26">
        <v>0.44</v>
      </c>
      <c r="N50" s="26">
        <v>0.41789999999999999</v>
      </c>
      <c r="O50" s="26">
        <v>0</v>
      </c>
      <c r="P50" s="26">
        <v>2</v>
      </c>
      <c r="Q50" s="34">
        <v>2</v>
      </c>
    </row>
    <row r="51" spans="1:17" x14ac:dyDescent="0.25">
      <c r="A51" s="32">
        <v>50</v>
      </c>
      <c r="B51" s="33">
        <v>40546</v>
      </c>
      <c r="C51" s="26">
        <v>1</v>
      </c>
      <c r="D51" s="26">
        <v>0</v>
      </c>
      <c r="E51" s="26">
        <v>1</v>
      </c>
      <c r="F51" s="26">
        <v>4</v>
      </c>
      <c r="G51" s="26" t="b">
        <v>0</v>
      </c>
      <c r="H51" s="26">
        <v>1</v>
      </c>
      <c r="I51" s="26">
        <v>1</v>
      </c>
      <c r="J51" s="26">
        <v>0.16</v>
      </c>
      <c r="K51" s="26">
        <v>50</v>
      </c>
      <c r="L51" s="26">
        <v>0.13639999999999999</v>
      </c>
      <c r="M51" s="26">
        <v>0.47</v>
      </c>
      <c r="N51" s="26">
        <v>0.3881</v>
      </c>
      <c r="O51" s="26">
        <v>0</v>
      </c>
      <c r="P51" s="26">
        <v>1</v>
      </c>
      <c r="Q51" s="34">
        <v>1</v>
      </c>
    </row>
    <row r="52" spans="1:17" x14ac:dyDescent="0.25">
      <c r="A52" s="32">
        <v>51</v>
      </c>
      <c r="B52" s="33">
        <v>40546</v>
      </c>
      <c r="C52" s="26">
        <v>1</v>
      </c>
      <c r="D52" s="26">
        <v>0</v>
      </c>
      <c r="E52" s="26">
        <v>1</v>
      </c>
      <c r="F52" s="26">
        <v>5</v>
      </c>
      <c r="G52" s="26" t="b">
        <v>0</v>
      </c>
      <c r="H52" s="26">
        <v>1</v>
      </c>
      <c r="I52" s="26">
        <v>1</v>
      </c>
      <c r="J52" s="26">
        <v>0.16</v>
      </c>
      <c r="K52" s="26">
        <v>51</v>
      </c>
      <c r="L52" s="26">
        <v>0.13639999999999999</v>
      </c>
      <c r="M52" s="26">
        <v>0.47</v>
      </c>
      <c r="N52" s="26">
        <v>0.28360000000000002</v>
      </c>
      <c r="O52" s="26">
        <v>0</v>
      </c>
      <c r="P52" s="26">
        <v>3</v>
      </c>
      <c r="Q52" s="34">
        <v>3</v>
      </c>
    </row>
    <row r="53" spans="1:17" x14ac:dyDescent="0.25">
      <c r="A53" s="32">
        <v>52</v>
      </c>
      <c r="B53" s="33">
        <v>40546</v>
      </c>
      <c r="C53" s="26">
        <v>1</v>
      </c>
      <c r="D53" s="26">
        <v>0</v>
      </c>
      <c r="E53" s="26">
        <v>1</v>
      </c>
      <c r="F53" s="26">
        <v>6</v>
      </c>
      <c r="G53" s="26" t="b">
        <v>0</v>
      </c>
      <c r="H53" s="26">
        <v>1</v>
      </c>
      <c r="I53" s="26">
        <v>1</v>
      </c>
      <c r="J53" s="26">
        <v>0.14000000000000001</v>
      </c>
      <c r="K53" s="26">
        <v>52</v>
      </c>
      <c r="L53" s="26">
        <v>0.1061</v>
      </c>
      <c r="M53" s="26">
        <v>0.5</v>
      </c>
      <c r="N53" s="26">
        <v>0.3881</v>
      </c>
      <c r="O53" s="26">
        <v>0</v>
      </c>
      <c r="P53" s="26">
        <v>30</v>
      </c>
      <c r="Q53" s="34">
        <v>30</v>
      </c>
    </row>
    <row r="54" spans="1:17" x14ac:dyDescent="0.25">
      <c r="A54" s="32">
        <v>53</v>
      </c>
      <c r="B54" s="33">
        <v>40546</v>
      </c>
      <c r="C54" s="26">
        <v>1</v>
      </c>
      <c r="D54" s="26">
        <v>0</v>
      </c>
      <c r="E54" s="26">
        <v>1</v>
      </c>
      <c r="F54" s="26">
        <v>7</v>
      </c>
      <c r="G54" s="26" t="b">
        <v>0</v>
      </c>
      <c r="H54" s="26">
        <v>1</v>
      </c>
      <c r="I54" s="26">
        <v>1</v>
      </c>
      <c r="J54" s="26">
        <v>0.14000000000000001</v>
      </c>
      <c r="K54" s="26">
        <v>53</v>
      </c>
      <c r="L54" s="26">
        <v>0.13639999999999999</v>
      </c>
      <c r="M54" s="26">
        <v>0.5</v>
      </c>
      <c r="N54" s="26">
        <v>0.19400000000000001</v>
      </c>
      <c r="O54" s="26">
        <v>1</v>
      </c>
      <c r="P54" s="26">
        <v>63</v>
      </c>
      <c r="Q54" s="34">
        <v>64</v>
      </c>
    </row>
    <row r="55" spans="1:17" x14ac:dyDescent="0.25">
      <c r="A55" s="32">
        <v>54</v>
      </c>
      <c r="B55" s="33">
        <v>40546</v>
      </c>
      <c r="C55" s="26">
        <v>1</v>
      </c>
      <c r="D55" s="26">
        <v>0</v>
      </c>
      <c r="E55" s="26">
        <v>1</v>
      </c>
      <c r="F55" s="26">
        <v>8</v>
      </c>
      <c r="G55" s="26" t="b">
        <v>0</v>
      </c>
      <c r="H55" s="26">
        <v>1</v>
      </c>
      <c r="I55" s="26">
        <v>1</v>
      </c>
      <c r="J55" s="26">
        <v>0.14000000000000001</v>
      </c>
      <c r="K55" s="26">
        <v>54</v>
      </c>
      <c r="L55" s="26">
        <v>0.1212</v>
      </c>
      <c r="M55" s="26">
        <v>0.5</v>
      </c>
      <c r="N55" s="26">
        <v>0.28360000000000002</v>
      </c>
      <c r="O55" s="26">
        <v>1</v>
      </c>
      <c r="P55" s="26">
        <v>153</v>
      </c>
      <c r="Q55" s="34">
        <v>154</v>
      </c>
    </row>
    <row r="56" spans="1:17" x14ac:dyDescent="0.25">
      <c r="A56" s="32">
        <v>55</v>
      </c>
      <c r="B56" s="33">
        <v>40546</v>
      </c>
      <c r="C56" s="26">
        <v>1</v>
      </c>
      <c r="D56" s="26">
        <v>0</v>
      </c>
      <c r="E56" s="26">
        <v>1</v>
      </c>
      <c r="F56" s="26">
        <v>9</v>
      </c>
      <c r="G56" s="26" t="b">
        <v>0</v>
      </c>
      <c r="H56" s="26">
        <v>1</v>
      </c>
      <c r="I56" s="26">
        <v>1</v>
      </c>
      <c r="J56" s="26">
        <v>0.16</v>
      </c>
      <c r="K56" s="26">
        <v>55</v>
      </c>
      <c r="L56" s="26">
        <v>0.13639999999999999</v>
      </c>
      <c r="M56" s="26">
        <v>0.43</v>
      </c>
      <c r="N56" s="26">
        <v>0.3881</v>
      </c>
      <c r="O56" s="26">
        <v>7</v>
      </c>
      <c r="P56" s="26">
        <v>81</v>
      </c>
      <c r="Q56" s="34">
        <v>88</v>
      </c>
    </row>
    <row r="57" spans="1:17" x14ac:dyDescent="0.25">
      <c r="A57" s="32">
        <v>56</v>
      </c>
      <c r="B57" s="33">
        <v>40546</v>
      </c>
      <c r="C57" s="26">
        <v>1</v>
      </c>
      <c r="D57" s="26">
        <v>0</v>
      </c>
      <c r="E57" s="26">
        <v>1</v>
      </c>
      <c r="F57" s="26">
        <v>10</v>
      </c>
      <c r="G57" s="26" t="b">
        <v>0</v>
      </c>
      <c r="H57" s="26">
        <v>1</v>
      </c>
      <c r="I57" s="26">
        <v>1</v>
      </c>
      <c r="J57" s="26">
        <v>0.18</v>
      </c>
      <c r="K57" s="26">
        <v>56</v>
      </c>
      <c r="L57" s="26">
        <v>0.16669999999999999</v>
      </c>
      <c r="M57" s="26">
        <v>0.43</v>
      </c>
      <c r="N57" s="26">
        <v>0.25369999999999998</v>
      </c>
      <c r="O57" s="26">
        <v>11</v>
      </c>
      <c r="P57" s="26">
        <v>33</v>
      </c>
      <c r="Q57" s="34">
        <v>44</v>
      </c>
    </row>
    <row r="58" spans="1:17" x14ac:dyDescent="0.25">
      <c r="A58" s="32">
        <v>57</v>
      </c>
      <c r="B58" s="33">
        <v>40546</v>
      </c>
      <c r="C58" s="26">
        <v>1</v>
      </c>
      <c r="D58" s="26">
        <v>0</v>
      </c>
      <c r="E58" s="26">
        <v>1</v>
      </c>
      <c r="F58" s="26">
        <v>11</v>
      </c>
      <c r="G58" s="26" t="b">
        <v>0</v>
      </c>
      <c r="H58" s="26">
        <v>1</v>
      </c>
      <c r="I58" s="26">
        <v>1</v>
      </c>
      <c r="J58" s="26">
        <v>0.2</v>
      </c>
      <c r="K58" s="26">
        <v>57</v>
      </c>
      <c r="L58" s="26">
        <v>0.18179999999999999</v>
      </c>
      <c r="M58" s="26">
        <v>0.4</v>
      </c>
      <c r="N58" s="26">
        <v>0.32840000000000003</v>
      </c>
      <c r="O58" s="26">
        <v>10</v>
      </c>
      <c r="P58" s="26">
        <v>41</v>
      </c>
      <c r="Q58" s="34">
        <v>51</v>
      </c>
    </row>
    <row r="59" spans="1:17" x14ac:dyDescent="0.25">
      <c r="A59" s="32">
        <v>58</v>
      </c>
      <c r="B59" s="33">
        <v>40546</v>
      </c>
      <c r="C59" s="26">
        <v>1</v>
      </c>
      <c r="D59" s="26">
        <v>0</v>
      </c>
      <c r="E59" s="26">
        <v>1</v>
      </c>
      <c r="F59" s="26">
        <v>12</v>
      </c>
      <c r="G59" s="26" t="b">
        <v>0</v>
      </c>
      <c r="H59" s="26">
        <v>1</v>
      </c>
      <c r="I59" s="26">
        <v>1</v>
      </c>
      <c r="J59" s="26">
        <v>0.22</v>
      </c>
      <c r="K59" s="26">
        <v>58</v>
      </c>
      <c r="L59" s="26">
        <v>0.21210000000000001</v>
      </c>
      <c r="M59" s="26">
        <v>0.35</v>
      </c>
      <c r="N59" s="26">
        <v>0.29849999999999999</v>
      </c>
      <c r="O59" s="26">
        <v>13</v>
      </c>
      <c r="P59" s="26">
        <v>48</v>
      </c>
      <c r="Q59" s="34">
        <v>61</v>
      </c>
    </row>
    <row r="60" spans="1:17" ht="14" x14ac:dyDescent="0.3">
      <c r="A60" s="32">
        <v>59</v>
      </c>
      <c r="B60" s="33">
        <v>40546</v>
      </c>
      <c r="C60" s="26">
        <v>1</v>
      </c>
      <c r="D60" s="26">
        <v>0</v>
      </c>
      <c r="E60" s="26">
        <v>1</v>
      </c>
      <c r="F60" s="26">
        <v>13</v>
      </c>
      <c r="G60" s="26" t="b">
        <v>0</v>
      </c>
      <c r="H60" s="26">
        <v>1</v>
      </c>
      <c r="I60" s="26">
        <v>1</v>
      </c>
      <c r="J60" s="26">
        <v>0.24</v>
      </c>
      <c r="K60" s="26">
        <v>59</v>
      </c>
      <c r="L60" s="44">
        <v>0.19700000000000001</v>
      </c>
      <c r="M60" s="26">
        <v>0.35</v>
      </c>
      <c r="N60" s="26">
        <v>0.28360000000000002</v>
      </c>
      <c r="O60" s="26">
        <v>8</v>
      </c>
      <c r="P60" s="26">
        <v>53</v>
      </c>
      <c r="Q60" s="34">
        <v>61</v>
      </c>
    </row>
    <row r="61" spans="1:17" x14ac:dyDescent="0.25">
      <c r="A61" s="32">
        <v>60</v>
      </c>
      <c r="B61" s="33">
        <v>40546</v>
      </c>
      <c r="C61" s="26">
        <v>1</v>
      </c>
      <c r="D61" s="26">
        <v>0</v>
      </c>
      <c r="E61" s="26">
        <v>1</v>
      </c>
      <c r="F61" s="26">
        <v>14</v>
      </c>
      <c r="G61" s="26" t="b">
        <v>0</v>
      </c>
      <c r="H61" s="26">
        <v>1</v>
      </c>
      <c r="I61" s="26">
        <v>1</v>
      </c>
      <c r="J61" s="26">
        <v>0.26</v>
      </c>
      <c r="K61" s="26">
        <v>60</v>
      </c>
      <c r="L61" s="26">
        <v>0.2424</v>
      </c>
      <c r="M61" s="26">
        <v>0.3</v>
      </c>
      <c r="N61" s="26">
        <v>0.28360000000000002</v>
      </c>
      <c r="O61" s="26">
        <v>11</v>
      </c>
      <c r="P61" s="26">
        <v>66</v>
      </c>
      <c r="Q61" s="34">
        <v>77</v>
      </c>
    </row>
    <row r="62" spans="1:17" x14ac:dyDescent="0.25">
      <c r="A62" s="32">
        <v>61</v>
      </c>
      <c r="B62" s="33">
        <v>40546</v>
      </c>
      <c r="C62" s="26">
        <v>1</v>
      </c>
      <c r="D62" s="26">
        <v>0</v>
      </c>
      <c r="E62" s="26">
        <v>1</v>
      </c>
      <c r="F62" s="26">
        <v>15</v>
      </c>
      <c r="G62" s="26" t="b">
        <v>0</v>
      </c>
      <c r="H62" s="26">
        <v>1</v>
      </c>
      <c r="I62" s="26">
        <v>1</v>
      </c>
      <c r="J62" s="26">
        <v>0.26</v>
      </c>
      <c r="K62" s="26">
        <v>61</v>
      </c>
      <c r="L62" s="26">
        <v>0.2424</v>
      </c>
      <c r="M62" s="26">
        <v>0.3</v>
      </c>
      <c r="N62" s="26">
        <v>0.25369999999999998</v>
      </c>
      <c r="O62" s="26">
        <v>14</v>
      </c>
      <c r="P62" s="26">
        <v>58</v>
      </c>
      <c r="Q62" s="34">
        <v>72</v>
      </c>
    </row>
    <row r="63" spans="1:17" x14ac:dyDescent="0.25">
      <c r="A63" s="32">
        <v>62</v>
      </c>
      <c r="B63" s="33">
        <v>40546</v>
      </c>
      <c r="C63" s="26">
        <v>1</v>
      </c>
      <c r="D63" s="26">
        <v>0</v>
      </c>
      <c r="E63" s="26">
        <v>1</v>
      </c>
      <c r="F63" s="26">
        <v>16</v>
      </c>
      <c r="G63" s="26" t="b">
        <v>0</v>
      </c>
      <c r="H63" s="26">
        <v>1</v>
      </c>
      <c r="I63" s="26">
        <v>1</v>
      </c>
      <c r="J63" s="26">
        <v>0.26</v>
      </c>
      <c r="K63" s="26">
        <v>62</v>
      </c>
      <c r="L63" s="26">
        <v>0.2424</v>
      </c>
      <c r="M63" s="26">
        <v>0.3</v>
      </c>
      <c r="N63" s="26">
        <v>0.25369999999999998</v>
      </c>
      <c r="O63" s="26">
        <v>9</v>
      </c>
      <c r="P63" s="26">
        <v>67</v>
      </c>
      <c r="Q63" s="34">
        <v>76</v>
      </c>
    </row>
    <row r="64" spans="1:17" x14ac:dyDescent="0.25">
      <c r="A64" s="32">
        <v>63</v>
      </c>
      <c r="B64" s="33">
        <v>40546</v>
      </c>
      <c r="C64" s="26">
        <v>1</v>
      </c>
      <c r="D64" s="26">
        <v>0</v>
      </c>
      <c r="E64" s="26">
        <v>1</v>
      </c>
      <c r="F64" s="26">
        <v>17</v>
      </c>
      <c r="G64" s="26" t="b">
        <v>0</v>
      </c>
      <c r="H64" s="26">
        <v>1</v>
      </c>
      <c r="I64" s="26">
        <v>1</v>
      </c>
      <c r="J64" s="26">
        <v>0.24</v>
      </c>
      <c r="K64" s="26">
        <v>63</v>
      </c>
      <c r="L64" s="26">
        <v>0.2273</v>
      </c>
      <c r="M64" s="26">
        <v>0.3</v>
      </c>
      <c r="N64" s="26">
        <v>0.22389999999999999</v>
      </c>
      <c r="O64" s="26">
        <v>11</v>
      </c>
      <c r="P64" s="26">
        <v>146</v>
      </c>
      <c r="Q64" s="34">
        <v>157</v>
      </c>
    </row>
    <row r="65" spans="1:17" x14ac:dyDescent="0.25">
      <c r="A65" s="32">
        <v>64</v>
      </c>
      <c r="B65" s="33">
        <v>40546</v>
      </c>
      <c r="C65" s="26">
        <v>1</v>
      </c>
      <c r="D65" s="26">
        <v>0</v>
      </c>
      <c r="E65" s="26">
        <v>1</v>
      </c>
      <c r="F65" s="26">
        <v>18</v>
      </c>
      <c r="G65" s="26" t="b">
        <v>0</v>
      </c>
      <c r="H65" s="26">
        <v>1</v>
      </c>
      <c r="I65" s="26">
        <v>1</v>
      </c>
      <c r="J65" s="26">
        <v>0.24</v>
      </c>
      <c r="K65" s="26">
        <v>64</v>
      </c>
      <c r="L65" s="26">
        <v>0.2576</v>
      </c>
      <c r="M65" s="26">
        <v>0.32</v>
      </c>
      <c r="N65" s="26">
        <v>0.1045</v>
      </c>
      <c r="O65" s="26">
        <v>9</v>
      </c>
      <c r="P65" s="26">
        <v>148</v>
      </c>
      <c r="Q65" s="34">
        <v>157</v>
      </c>
    </row>
    <row r="66" spans="1:17" x14ac:dyDescent="0.25">
      <c r="A66" s="32">
        <v>65</v>
      </c>
      <c r="B66" s="33">
        <v>40546</v>
      </c>
      <c r="C66" s="26">
        <v>1</v>
      </c>
      <c r="D66" s="26">
        <v>0</v>
      </c>
      <c r="E66" s="26">
        <v>1</v>
      </c>
      <c r="F66" s="26">
        <v>19</v>
      </c>
      <c r="G66" s="26" t="b">
        <v>0</v>
      </c>
      <c r="H66" s="26">
        <v>1</v>
      </c>
      <c r="I66" s="26">
        <v>1</v>
      </c>
      <c r="J66" s="26">
        <v>0.2</v>
      </c>
      <c r="K66" s="26">
        <v>65</v>
      </c>
      <c r="L66" s="26">
        <v>0.2576</v>
      </c>
      <c r="M66" s="26">
        <v>0.47</v>
      </c>
      <c r="N66" s="26">
        <v>0</v>
      </c>
      <c r="O66" s="26">
        <v>8</v>
      </c>
      <c r="P66" s="26">
        <v>102</v>
      </c>
      <c r="Q66" s="34">
        <v>110</v>
      </c>
    </row>
    <row r="67" spans="1:17" ht="14" x14ac:dyDescent="0.3">
      <c r="A67" s="32">
        <v>66</v>
      </c>
      <c r="B67" s="33">
        <v>40546</v>
      </c>
      <c r="C67" s="26">
        <v>1</v>
      </c>
      <c r="D67" s="26">
        <v>0</v>
      </c>
      <c r="E67" s="26">
        <v>1</v>
      </c>
      <c r="F67" s="26">
        <v>20</v>
      </c>
      <c r="G67" s="26" t="b">
        <v>0</v>
      </c>
      <c r="H67" s="26">
        <v>1</v>
      </c>
      <c r="I67" s="26">
        <v>1</v>
      </c>
      <c r="J67" s="26">
        <v>0.2</v>
      </c>
      <c r="K67" s="26">
        <v>66</v>
      </c>
      <c r="L67" s="44">
        <v>0.19700000000000001</v>
      </c>
      <c r="M67" s="26">
        <v>0.47</v>
      </c>
      <c r="N67" s="26">
        <v>0.1045</v>
      </c>
      <c r="O67" s="26">
        <v>3</v>
      </c>
      <c r="P67" s="26">
        <v>49</v>
      </c>
      <c r="Q67" s="34">
        <v>52</v>
      </c>
    </row>
    <row r="68" spans="1:17" x14ac:dyDescent="0.25">
      <c r="A68" s="32">
        <v>67</v>
      </c>
      <c r="B68" s="33">
        <v>40546</v>
      </c>
      <c r="C68" s="26">
        <v>1</v>
      </c>
      <c r="D68" s="26">
        <v>0</v>
      </c>
      <c r="E68" s="26">
        <v>1</v>
      </c>
      <c r="F68" s="26">
        <v>21</v>
      </c>
      <c r="G68" s="26" t="b">
        <v>0</v>
      </c>
      <c r="H68" s="26">
        <v>1</v>
      </c>
      <c r="I68" s="26">
        <v>1</v>
      </c>
      <c r="J68" s="26">
        <v>0.18</v>
      </c>
      <c r="K68" s="26">
        <v>67</v>
      </c>
      <c r="L68" s="26">
        <v>0.19700000000000001</v>
      </c>
      <c r="M68" s="26">
        <v>0.64</v>
      </c>
      <c r="N68" s="26">
        <v>0.1343</v>
      </c>
      <c r="O68" s="26">
        <v>3</v>
      </c>
      <c r="P68" s="26">
        <v>49</v>
      </c>
      <c r="Q68" s="34">
        <v>52</v>
      </c>
    </row>
    <row r="69" spans="1:17" x14ac:dyDescent="0.25">
      <c r="A69" s="32">
        <v>68</v>
      </c>
      <c r="B69" s="33">
        <v>40546</v>
      </c>
      <c r="C69" s="26">
        <v>1</v>
      </c>
      <c r="D69" s="26">
        <v>0</v>
      </c>
      <c r="E69" s="26">
        <v>1</v>
      </c>
      <c r="F69" s="26">
        <v>22</v>
      </c>
      <c r="G69" s="26" t="b">
        <v>0</v>
      </c>
      <c r="H69" s="26">
        <v>1</v>
      </c>
      <c r="I69" s="26">
        <v>1</v>
      </c>
      <c r="J69" s="26">
        <v>0.14000000000000001</v>
      </c>
      <c r="K69" s="26">
        <v>68</v>
      </c>
      <c r="L69" s="26">
        <v>0.1515</v>
      </c>
      <c r="M69" s="26">
        <v>0.69</v>
      </c>
      <c r="N69" s="26">
        <v>0.1343</v>
      </c>
      <c r="O69" s="26">
        <v>0</v>
      </c>
      <c r="P69" s="26">
        <v>20</v>
      </c>
      <c r="Q69" s="34">
        <v>20</v>
      </c>
    </row>
    <row r="70" spans="1:17" x14ac:dyDescent="0.25">
      <c r="A70" s="32">
        <v>69</v>
      </c>
      <c r="B70" s="33">
        <v>40546</v>
      </c>
      <c r="C70" s="26">
        <v>1</v>
      </c>
      <c r="D70" s="26">
        <v>0</v>
      </c>
      <c r="E70" s="26">
        <v>1</v>
      </c>
      <c r="F70" s="26">
        <v>23</v>
      </c>
      <c r="G70" s="26" t="b">
        <v>0</v>
      </c>
      <c r="H70" s="26">
        <v>1</v>
      </c>
      <c r="I70" s="26">
        <v>1</v>
      </c>
      <c r="J70" s="26">
        <v>0.18</v>
      </c>
      <c r="K70" s="26">
        <v>69</v>
      </c>
      <c r="L70" s="26">
        <v>0.21210000000000001</v>
      </c>
      <c r="M70" s="26">
        <v>0.55000000000000004</v>
      </c>
      <c r="N70" s="26">
        <v>0.1045</v>
      </c>
      <c r="O70" s="26">
        <v>1</v>
      </c>
      <c r="P70" s="26">
        <v>11</v>
      </c>
      <c r="Q70" s="34">
        <v>12</v>
      </c>
    </row>
    <row r="71" spans="1:17" ht="14" x14ac:dyDescent="0.3">
      <c r="A71" s="32">
        <v>70</v>
      </c>
      <c r="B71" s="33">
        <v>40547</v>
      </c>
      <c r="C71" s="26">
        <v>1</v>
      </c>
      <c r="D71" s="26">
        <v>0</v>
      </c>
      <c r="E71" s="26">
        <v>1</v>
      </c>
      <c r="F71" s="26">
        <v>0</v>
      </c>
      <c r="G71" s="26" t="b">
        <v>0</v>
      </c>
      <c r="H71" s="26">
        <v>2</v>
      </c>
      <c r="I71" s="26">
        <v>1</v>
      </c>
      <c r="J71" s="26">
        <v>0.16</v>
      </c>
      <c r="K71" s="26">
        <v>70</v>
      </c>
      <c r="L71" s="44">
        <v>0.19700000000000001</v>
      </c>
      <c r="M71" s="26">
        <v>0.55000000000000004</v>
      </c>
      <c r="N71" s="26">
        <v>0.1045</v>
      </c>
      <c r="O71" s="26">
        <v>0</v>
      </c>
      <c r="P71" s="26">
        <v>5</v>
      </c>
      <c r="Q71" s="34">
        <v>5</v>
      </c>
    </row>
    <row r="72" spans="1:17" x14ac:dyDescent="0.25">
      <c r="A72" s="32">
        <v>71</v>
      </c>
      <c r="B72" s="33">
        <v>40547</v>
      </c>
      <c r="C72" s="26">
        <v>1</v>
      </c>
      <c r="D72" s="26">
        <v>0</v>
      </c>
      <c r="E72" s="26">
        <v>1</v>
      </c>
      <c r="F72" s="26">
        <v>1</v>
      </c>
      <c r="G72" s="26" t="b">
        <v>0</v>
      </c>
      <c r="H72" s="26">
        <v>2</v>
      </c>
      <c r="I72" s="26">
        <v>1</v>
      </c>
      <c r="J72" s="26">
        <v>0.16</v>
      </c>
      <c r="K72" s="26">
        <v>71</v>
      </c>
      <c r="L72" s="26">
        <v>0.18179999999999999</v>
      </c>
      <c r="M72" s="26">
        <v>0.59</v>
      </c>
      <c r="N72" s="26">
        <v>0.1045</v>
      </c>
      <c r="O72" s="26">
        <v>0</v>
      </c>
      <c r="P72" s="26">
        <v>2</v>
      </c>
      <c r="Q72" s="34">
        <v>2</v>
      </c>
    </row>
    <row r="73" spans="1:17" x14ac:dyDescent="0.25">
      <c r="A73" s="32">
        <v>72</v>
      </c>
      <c r="B73" s="33">
        <v>40547</v>
      </c>
      <c r="C73" s="26">
        <v>1</v>
      </c>
      <c r="D73" s="26">
        <v>0</v>
      </c>
      <c r="E73" s="26">
        <v>1</v>
      </c>
      <c r="F73" s="26">
        <v>2</v>
      </c>
      <c r="G73" s="26" t="b">
        <v>0</v>
      </c>
      <c r="H73" s="26">
        <v>2</v>
      </c>
      <c r="I73" s="26">
        <v>1</v>
      </c>
      <c r="J73" s="26">
        <v>0.14000000000000001</v>
      </c>
      <c r="K73" s="26">
        <v>72</v>
      </c>
      <c r="L73" s="26">
        <v>0.1515</v>
      </c>
      <c r="M73" s="26">
        <v>0.63</v>
      </c>
      <c r="N73" s="26">
        <v>0.1343</v>
      </c>
      <c r="O73" s="26">
        <v>0</v>
      </c>
      <c r="P73" s="26">
        <v>1</v>
      </c>
      <c r="Q73" s="34">
        <v>1</v>
      </c>
    </row>
    <row r="74" spans="1:17" x14ac:dyDescent="0.25">
      <c r="A74" s="32">
        <v>73</v>
      </c>
      <c r="B74" s="33">
        <v>40547</v>
      </c>
      <c r="C74" s="26">
        <v>1</v>
      </c>
      <c r="D74" s="26">
        <v>0</v>
      </c>
      <c r="E74" s="26">
        <v>1</v>
      </c>
      <c r="F74" s="26">
        <v>4</v>
      </c>
      <c r="G74" s="26" t="b">
        <v>0</v>
      </c>
      <c r="H74" s="26">
        <v>2</v>
      </c>
      <c r="I74" s="26">
        <v>1</v>
      </c>
      <c r="J74" s="26">
        <v>0.14000000000000001</v>
      </c>
      <c r="K74" s="26">
        <v>73</v>
      </c>
      <c r="L74" s="26">
        <v>0.18179999999999999</v>
      </c>
      <c r="M74" s="26">
        <v>0.63</v>
      </c>
      <c r="N74" s="26">
        <v>8.9599999999999999E-2</v>
      </c>
      <c r="O74" s="26">
        <v>0</v>
      </c>
      <c r="P74" s="26">
        <v>2</v>
      </c>
      <c r="Q74" s="34">
        <v>2</v>
      </c>
    </row>
    <row r="75" spans="1:17" x14ac:dyDescent="0.25">
      <c r="A75" s="32">
        <v>74</v>
      </c>
      <c r="B75" s="33">
        <v>40547</v>
      </c>
      <c r="C75" s="26">
        <v>1</v>
      </c>
      <c r="D75" s="26">
        <v>0</v>
      </c>
      <c r="E75" s="26">
        <v>1</v>
      </c>
      <c r="F75" s="26">
        <v>5</v>
      </c>
      <c r="G75" s="26" t="b">
        <v>0</v>
      </c>
      <c r="H75" s="26">
        <v>2</v>
      </c>
      <c r="I75" s="26">
        <v>1</v>
      </c>
      <c r="J75" s="26">
        <v>0.12</v>
      </c>
      <c r="K75" s="26">
        <v>74</v>
      </c>
      <c r="L75" s="26">
        <v>0.1515</v>
      </c>
      <c r="M75" s="26">
        <v>0.68</v>
      </c>
      <c r="N75" s="26">
        <v>0.1045</v>
      </c>
      <c r="O75" s="26">
        <v>0</v>
      </c>
      <c r="P75" s="26">
        <v>4</v>
      </c>
      <c r="Q75" s="34">
        <v>4</v>
      </c>
    </row>
    <row r="76" spans="1:17" x14ac:dyDescent="0.25">
      <c r="A76" s="32">
        <v>75</v>
      </c>
      <c r="B76" s="33">
        <v>40547</v>
      </c>
      <c r="C76" s="26">
        <v>1</v>
      </c>
      <c r="D76" s="26">
        <v>0</v>
      </c>
      <c r="E76" s="26">
        <v>1</v>
      </c>
      <c r="F76" s="26">
        <v>6</v>
      </c>
      <c r="G76" s="26" t="b">
        <v>0</v>
      </c>
      <c r="H76" s="26">
        <v>2</v>
      </c>
      <c r="I76" s="26">
        <v>1</v>
      </c>
      <c r="J76" s="26">
        <v>0.12</v>
      </c>
      <c r="K76" s="26">
        <v>75</v>
      </c>
      <c r="L76" s="26">
        <v>0.1515</v>
      </c>
      <c r="M76" s="26">
        <v>0.74</v>
      </c>
      <c r="N76" s="26">
        <v>0.1045</v>
      </c>
      <c r="O76" s="26">
        <v>0</v>
      </c>
      <c r="P76" s="26">
        <v>36</v>
      </c>
      <c r="Q76" s="34">
        <v>36</v>
      </c>
    </row>
    <row r="77" spans="1:17" x14ac:dyDescent="0.25">
      <c r="A77" s="32">
        <v>76</v>
      </c>
      <c r="B77" s="33">
        <v>40547</v>
      </c>
      <c r="C77" s="26">
        <v>1</v>
      </c>
      <c r="D77" s="26">
        <v>0</v>
      </c>
      <c r="E77" s="26">
        <v>1</v>
      </c>
      <c r="F77" s="26">
        <v>7</v>
      </c>
      <c r="G77" s="26" t="b">
        <v>0</v>
      </c>
      <c r="H77" s="26">
        <v>2</v>
      </c>
      <c r="I77" s="26">
        <v>1</v>
      </c>
      <c r="J77" s="26">
        <v>0.12</v>
      </c>
      <c r="K77" s="26">
        <v>76</v>
      </c>
      <c r="L77" s="26">
        <v>0.1515</v>
      </c>
      <c r="M77" s="26">
        <v>0.74</v>
      </c>
      <c r="N77" s="26">
        <v>0.1343</v>
      </c>
      <c r="O77" s="26">
        <v>2</v>
      </c>
      <c r="P77" s="26">
        <v>92</v>
      </c>
      <c r="Q77" s="34">
        <v>94</v>
      </c>
    </row>
    <row r="78" spans="1:17" x14ac:dyDescent="0.25">
      <c r="A78" s="32">
        <v>77</v>
      </c>
      <c r="B78" s="33">
        <v>40547</v>
      </c>
      <c r="C78" s="26">
        <v>1</v>
      </c>
      <c r="D78" s="26">
        <v>0</v>
      </c>
      <c r="E78" s="26">
        <v>1</v>
      </c>
      <c r="F78" s="26">
        <v>8</v>
      </c>
      <c r="G78" s="26" t="b">
        <v>0</v>
      </c>
      <c r="H78" s="26">
        <v>2</v>
      </c>
      <c r="I78" s="26">
        <v>1</v>
      </c>
      <c r="J78" s="26">
        <v>0.14000000000000001</v>
      </c>
      <c r="K78" s="26">
        <v>77</v>
      </c>
      <c r="L78" s="26">
        <v>0.1515</v>
      </c>
      <c r="M78" s="26">
        <v>0.69</v>
      </c>
      <c r="N78" s="26">
        <v>0.16420000000000001</v>
      </c>
      <c r="O78" s="26">
        <v>2</v>
      </c>
      <c r="P78" s="26">
        <v>177</v>
      </c>
      <c r="Q78" s="34">
        <v>179</v>
      </c>
    </row>
    <row r="79" spans="1:17" x14ac:dyDescent="0.25">
      <c r="A79" s="32">
        <v>78</v>
      </c>
      <c r="B79" s="33">
        <v>40547</v>
      </c>
      <c r="C79" s="26">
        <v>1</v>
      </c>
      <c r="D79" s="26">
        <v>0</v>
      </c>
      <c r="E79" s="26">
        <v>1</v>
      </c>
      <c r="F79" s="26">
        <v>9</v>
      </c>
      <c r="G79" s="26" t="b">
        <v>0</v>
      </c>
      <c r="H79" s="26">
        <v>2</v>
      </c>
      <c r="I79" s="26">
        <v>1</v>
      </c>
      <c r="J79" s="26">
        <v>0.16</v>
      </c>
      <c r="K79" s="26">
        <v>78</v>
      </c>
      <c r="L79" s="26">
        <v>0.1515</v>
      </c>
      <c r="M79" s="26">
        <v>0.64</v>
      </c>
      <c r="N79" s="26">
        <v>0.22389999999999999</v>
      </c>
      <c r="O79" s="26">
        <v>2</v>
      </c>
      <c r="P79" s="26">
        <v>98</v>
      </c>
      <c r="Q79" s="34">
        <v>100</v>
      </c>
    </row>
    <row r="80" spans="1:17" x14ac:dyDescent="0.25">
      <c r="A80" s="32">
        <v>79</v>
      </c>
      <c r="B80" s="33">
        <v>40547</v>
      </c>
      <c r="C80" s="26">
        <v>1</v>
      </c>
      <c r="D80" s="26">
        <v>0</v>
      </c>
      <c r="E80" s="26">
        <v>1</v>
      </c>
      <c r="F80" s="26">
        <v>10</v>
      </c>
      <c r="G80" s="26" t="b">
        <v>0</v>
      </c>
      <c r="H80" s="26">
        <v>2</v>
      </c>
      <c r="I80" s="26">
        <v>2</v>
      </c>
      <c r="J80" s="26">
        <v>0.16</v>
      </c>
      <c r="K80" s="26">
        <v>79</v>
      </c>
      <c r="L80" s="26">
        <v>0.13639999999999999</v>
      </c>
      <c r="M80" s="26">
        <v>0.69</v>
      </c>
      <c r="N80" s="26">
        <v>0.32840000000000003</v>
      </c>
      <c r="O80" s="26">
        <v>5</v>
      </c>
      <c r="P80" s="26">
        <v>37</v>
      </c>
      <c r="Q80" s="34">
        <v>42</v>
      </c>
    </row>
    <row r="81" spans="1:17" x14ac:dyDescent="0.25">
      <c r="A81" s="32">
        <v>80</v>
      </c>
      <c r="B81" s="33">
        <v>40547</v>
      </c>
      <c r="C81" s="26">
        <v>1</v>
      </c>
      <c r="D81" s="26">
        <v>0</v>
      </c>
      <c r="E81" s="26">
        <v>1</v>
      </c>
      <c r="F81" s="26">
        <v>11</v>
      </c>
      <c r="G81" s="26" t="b">
        <v>0</v>
      </c>
      <c r="H81" s="26">
        <v>2</v>
      </c>
      <c r="I81" s="26">
        <v>1</v>
      </c>
      <c r="J81" s="26">
        <v>0.22</v>
      </c>
      <c r="K81" s="26">
        <v>80</v>
      </c>
      <c r="L81" s="26">
        <v>0.21210000000000001</v>
      </c>
      <c r="M81" s="26">
        <v>0.51</v>
      </c>
      <c r="N81" s="26">
        <v>0.29849999999999999</v>
      </c>
      <c r="O81" s="26">
        <v>7</v>
      </c>
      <c r="P81" s="26">
        <v>50</v>
      </c>
      <c r="Q81" s="34">
        <v>57</v>
      </c>
    </row>
    <row r="82" spans="1:17" x14ac:dyDescent="0.25">
      <c r="A82" s="32">
        <v>81</v>
      </c>
      <c r="B82" s="33">
        <v>40547</v>
      </c>
      <c r="C82" s="26">
        <v>1</v>
      </c>
      <c r="D82" s="26">
        <v>0</v>
      </c>
      <c r="E82" s="26">
        <v>1</v>
      </c>
      <c r="F82" s="26">
        <v>12</v>
      </c>
      <c r="G82" s="26" t="b">
        <v>0</v>
      </c>
      <c r="H82" s="26">
        <v>2</v>
      </c>
      <c r="I82" s="26">
        <v>1</v>
      </c>
      <c r="J82" s="26">
        <v>0.22</v>
      </c>
      <c r="K82" s="26">
        <v>81</v>
      </c>
      <c r="L82" s="26">
        <v>0.2273</v>
      </c>
      <c r="M82" s="26">
        <v>0.51</v>
      </c>
      <c r="N82" s="26">
        <v>0.16420000000000001</v>
      </c>
      <c r="O82" s="26">
        <v>12</v>
      </c>
      <c r="P82" s="26">
        <v>66</v>
      </c>
      <c r="Q82" s="34">
        <v>78</v>
      </c>
    </row>
    <row r="83" spans="1:17" x14ac:dyDescent="0.25">
      <c r="A83" s="32">
        <v>82</v>
      </c>
      <c r="B83" s="33">
        <v>40547</v>
      </c>
      <c r="C83" s="26">
        <v>1</v>
      </c>
      <c r="D83" s="26">
        <v>0</v>
      </c>
      <c r="E83" s="26">
        <v>1</v>
      </c>
      <c r="F83" s="26">
        <v>13</v>
      </c>
      <c r="G83" s="26" t="b">
        <v>0</v>
      </c>
      <c r="H83" s="26">
        <v>2</v>
      </c>
      <c r="I83" s="26">
        <v>1</v>
      </c>
      <c r="J83" s="26">
        <v>0.24</v>
      </c>
      <c r="K83" s="26">
        <v>82</v>
      </c>
      <c r="L83" s="26">
        <v>0.2273</v>
      </c>
      <c r="M83" s="26">
        <v>0.56000000000000005</v>
      </c>
      <c r="N83" s="26">
        <v>0.19400000000000001</v>
      </c>
      <c r="O83" s="26">
        <v>18</v>
      </c>
      <c r="P83" s="26">
        <v>79</v>
      </c>
      <c r="Q83" s="34">
        <v>97</v>
      </c>
    </row>
    <row r="84" spans="1:17" x14ac:dyDescent="0.25">
      <c r="A84" s="32">
        <v>83</v>
      </c>
      <c r="B84" s="33">
        <v>40547</v>
      </c>
      <c r="C84" s="26">
        <v>1</v>
      </c>
      <c r="D84" s="26">
        <v>0</v>
      </c>
      <c r="E84" s="26">
        <v>1</v>
      </c>
      <c r="F84" s="26">
        <v>14</v>
      </c>
      <c r="G84" s="26" t="b">
        <v>0</v>
      </c>
      <c r="H84" s="26">
        <v>2</v>
      </c>
      <c r="I84" s="26">
        <v>1</v>
      </c>
      <c r="J84" s="26">
        <v>0.26</v>
      </c>
      <c r="K84" s="26">
        <v>83</v>
      </c>
      <c r="L84" s="26">
        <v>0.2576</v>
      </c>
      <c r="M84" s="26">
        <v>0.52</v>
      </c>
      <c r="N84" s="26">
        <v>0.22389999999999999</v>
      </c>
      <c r="O84" s="26">
        <v>9</v>
      </c>
      <c r="P84" s="26">
        <v>54</v>
      </c>
      <c r="Q84" s="34">
        <v>63</v>
      </c>
    </row>
    <row r="85" spans="1:17" x14ac:dyDescent="0.25">
      <c r="A85" s="32">
        <v>84</v>
      </c>
      <c r="B85" s="33">
        <v>40547</v>
      </c>
      <c r="C85" s="26">
        <v>1</v>
      </c>
      <c r="D85" s="26">
        <v>0</v>
      </c>
      <c r="E85" s="26">
        <v>1</v>
      </c>
      <c r="F85" s="26">
        <v>15</v>
      </c>
      <c r="G85" s="26" t="b">
        <v>0</v>
      </c>
      <c r="H85" s="26">
        <v>2</v>
      </c>
      <c r="I85" s="26">
        <v>1</v>
      </c>
      <c r="J85" s="26">
        <v>0.28000000000000003</v>
      </c>
      <c r="K85" s="26">
        <v>84</v>
      </c>
      <c r="L85" s="26">
        <v>0.2727</v>
      </c>
      <c r="M85" s="26">
        <v>0.52</v>
      </c>
      <c r="N85" s="26">
        <v>0.25369999999999998</v>
      </c>
      <c r="O85" s="26">
        <v>17</v>
      </c>
      <c r="P85" s="26">
        <v>48</v>
      </c>
      <c r="Q85" s="34">
        <v>65</v>
      </c>
    </row>
    <row r="86" spans="1:17" x14ac:dyDescent="0.25">
      <c r="A86" s="32">
        <v>85</v>
      </c>
      <c r="B86" s="33">
        <v>40547</v>
      </c>
      <c r="C86" s="26">
        <v>1</v>
      </c>
      <c r="D86" s="26">
        <v>0</v>
      </c>
      <c r="E86" s="26">
        <v>1</v>
      </c>
      <c r="F86" s="26">
        <v>16</v>
      </c>
      <c r="G86" s="26" t="b">
        <v>0</v>
      </c>
      <c r="H86" s="26">
        <v>2</v>
      </c>
      <c r="I86" s="26">
        <v>1</v>
      </c>
      <c r="J86" s="26">
        <v>0.3</v>
      </c>
      <c r="K86" s="26">
        <v>85</v>
      </c>
      <c r="L86" s="26">
        <v>0.28789999999999999</v>
      </c>
      <c r="M86" s="26">
        <v>0.49</v>
      </c>
      <c r="N86" s="26">
        <v>0.25369999999999998</v>
      </c>
      <c r="O86" s="26">
        <v>15</v>
      </c>
      <c r="P86" s="26">
        <v>68</v>
      </c>
      <c r="Q86" s="34">
        <v>83</v>
      </c>
    </row>
    <row r="87" spans="1:17" x14ac:dyDescent="0.25">
      <c r="A87" s="32">
        <v>86</v>
      </c>
      <c r="B87" s="33">
        <v>40547</v>
      </c>
      <c r="C87" s="26">
        <v>1</v>
      </c>
      <c r="D87" s="26">
        <v>0</v>
      </c>
      <c r="E87" s="26">
        <v>1</v>
      </c>
      <c r="F87" s="26">
        <v>17</v>
      </c>
      <c r="G87" s="26" t="b">
        <v>0</v>
      </c>
      <c r="H87" s="26">
        <v>2</v>
      </c>
      <c r="I87" s="26">
        <v>1</v>
      </c>
      <c r="J87" s="26">
        <v>0.28000000000000003</v>
      </c>
      <c r="K87" s="26">
        <v>86</v>
      </c>
      <c r="L87" s="26">
        <v>0.2727</v>
      </c>
      <c r="M87" s="26">
        <v>0.48</v>
      </c>
      <c r="N87" s="26">
        <v>0.22389999999999999</v>
      </c>
      <c r="O87" s="26">
        <v>10</v>
      </c>
      <c r="P87" s="26">
        <v>202</v>
      </c>
      <c r="Q87" s="34">
        <v>212</v>
      </c>
    </row>
    <row r="88" spans="1:17" x14ac:dyDescent="0.25">
      <c r="A88" s="32">
        <v>87</v>
      </c>
      <c r="B88" s="33">
        <v>40547</v>
      </c>
      <c r="C88" s="26">
        <v>1</v>
      </c>
      <c r="D88" s="26">
        <v>0</v>
      </c>
      <c r="E88" s="26">
        <v>1</v>
      </c>
      <c r="F88" s="26">
        <v>18</v>
      </c>
      <c r="G88" s="26" t="b">
        <v>0</v>
      </c>
      <c r="H88" s="26">
        <v>2</v>
      </c>
      <c r="I88" s="26">
        <v>1</v>
      </c>
      <c r="J88" s="26">
        <v>0.26</v>
      </c>
      <c r="K88" s="26">
        <v>87</v>
      </c>
      <c r="L88" s="26">
        <v>0.2576</v>
      </c>
      <c r="M88" s="26">
        <v>0.48</v>
      </c>
      <c r="N88" s="26">
        <v>0.19400000000000001</v>
      </c>
      <c r="O88" s="26">
        <v>3</v>
      </c>
      <c r="P88" s="26">
        <v>179</v>
      </c>
      <c r="Q88" s="34">
        <v>182</v>
      </c>
    </row>
    <row r="89" spans="1:17" x14ac:dyDescent="0.25">
      <c r="A89" s="32">
        <v>88</v>
      </c>
      <c r="B89" s="33">
        <v>40547</v>
      </c>
      <c r="C89" s="26">
        <v>1</v>
      </c>
      <c r="D89" s="26">
        <v>0</v>
      </c>
      <c r="E89" s="26">
        <v>1</v>
      </c>
      <c r="F89" s="26">
        <v>19</v>
      </c>
      <c r="G89" s="26" t="b">
        <v>0</v>
      </c>
      <c r="H89" s="26">
        <v>2</v>
      </c>
      <c r="I89" s="26">
        <v>1</v>
      </c>
      <c r="J89" s="26">
        <v>0.24</v>
      </c>
      <c r="K89" s="26">
        <v>88</v>
      </c>
      <c r="L89" s="26">
        <v>0.2576</v>
      </c>
      <c r="M89" s="26">
        <v>0.48</v>
      </c>
      <c r="N89" s="26">
        <v>0.1045</v>
      </c>
      <c r="O89" s="26">
        <v>2</v>
      </c>
      <c r="P89" s="26">
        <v>110</v>
      </c>
      <c r="Q89" s="34">
        <v>112</v>
      </c>
    </row>
    <row r="90" spans="1:17" x14ac:dyDescent="0.25">
      <c r="A90" s="32">
        <v>89</v>
      </c>
      <c r="B90" s="33">
        <v>40547</v>
      </c>
      <c r="C90" s="26">
        <v>1</v>
      </c>
      <c r="D90" s="26">
        <v>0</v>
      </c>
      <c r="E90" s="26">
        <v>1</v>
      </c>
      <c r="F90" s="26">
        <v>20</v>
      </c>
      <c r="G90" s="26" t="b">
        <v>0</v>
      </c>
      <c r="H90" s="26">
        <v>2</v>
      </c>
      <c r="I90" s="26">
        <v>1</v>
      </c>
      <c r="J90" s="26">
        <v>0.24</v>
      </c>
      <c r="K90" s="26">
        <v>89</v>
      </c>
      <c r="L90" s="26">
        <v>0.2576</v>
      </c>
      <c r="M90" s="26">
        <v>0.48</v>
      </c>
      <c r="N90" s="26">
        <v>0.1045</v>
      </c>
      <c r="O90" s="26">
        <v>1</v>
      </c>
      <c r="P90" s="26">
        <v>53</v>
      </c>
      <c r="Q90" s="34">
        <v>54</v>
      </c>
    </row>
    <row r="91" spans="1:17" x14ac:dyDescent="0.25">
      <c r="A91" s="32">
        <v>90</v>
      </c>
      <c r="B91" s="33">
        <v>40547</v>
      </c>
      <c r="C91" s="26">
        <v>1</v>
      </c>
      <c r="D91" s="26">
        <v>0</v>
      </c>
      <c r="E91" s="26">
        <v>1</v>
      </c>
      <c r="F91" s="26">
        <v>21</v>
      </c>
      <c r="G91" s="26" t="b">
        <v>0</v>
      </c>
      <c r="H91" s="26">
        <v>2</v>
      </c>
      <c r="I91" s="26">
        <v>1</v>
      </c>
      <c r="J91" s="26">
        <v>0.22</v>
      </c>
      <c r="K91" s="26">
        <v>90</v>
      </c>
      <c r="L91" s="26">
        <v>0.2727</v>
      </c>
      <c r="M91" s="26">
        <v>0.64</v>
      </c>
      <c r="N91" s="26">
        <v>0</v>
      </c>
      <c r="O91" s="26">
        <v>0</v>
      </c>
      <c r="P91" s="26">
        <v>48</v>
      </c>
      <c r="Q91" s="34">
        <v>48</v>
      </c>
    </row>
    <row r="92" spans="1:17" x14ac:dyDescent="0.25">
      <c r="A92" s="32">
        <v>91</v>
      </c>
      <c r="B92" s="33">
        <v>40547</v>
      </c>
      <c r="C92" s="26">
        <v>1</v>
      </c>
      <c r="D92" s="26">
        <v>0</v>
      </c>
      <c r="E92" s="26">
        <v>1</v>
      </c>
      <c r="F92" s="26">
        <v>22</v>
      </c>
      <c r="G92" s="26" t="b">
        <v>0</v>
      </c>
      <c r="H92" s="26">
        <v>2</v>
      </c>
      <c r="I92" s="26">
        <v>1</v>
      </c>
      <c r="J92" s="26">
        <v>0.22</v>
      </c>
      <c r="K92" s="26">
        <v>91</v>
      </c>
      <c r="L92" s="26">
        <v>0.2576</v>
      </c>
      <c r="M92" s="26">
        <v>0.64</v>
      </c>
      <c r="N92" s="26">
        <v>8.9599999999999999E-2</v>
      </c>
      <c r="O92" s="26">
        <v>1</v>
      </c>
      <c r="P92" s="26">
        <v>34</v>
      </c>
      <c r="Q92" s="34">
        <v>35</v>
      </c>
    </row>
    <row r="93" spans="1:17" x14ac:dyDescent="0.25">
      <c r="A93" s="32">
        <v>92</v>
      </c>
      <c r="B93" s="33">
        <v>40547</v>
      </c>
      <c r="C93" s="26">
        <v>1</v>
      </c>
      <c r="D93" s="26">
        <v>0</v>
      </c>
      <c r="E93" s="26">
        <v>1</v>
      </c>
      <c r="F93" s="26">
        <v>23</v>
      </c>
      <c r="G93" s="26" t="b">
        <v>0</v>
      </c>
      <c r="H93" s="26">
        <v>2</v>
      </c>
      <c r="I93" s="26">
        <v>1</v>
      </c>
      <c r="J93" s="26">
        <v>0.2</v>
      </c>
      <c r="K93" s="26">
        <v>92</v>
      </c>
      <c r="L93" s="26">
        <v>0.2273</v>
      </c>
      <c r="M93" s="26">
        <v>0.69</v>
      </c>
      <c r="N93" s="26">
        <v>8.9599999999999999E-2</v>
      </c>
      <c r="O93" s="26">
        <v>2</v>
      </c>
      <c r="P93" s="26">
        <v>9</v>
      </c>
      <c r="Q93" s="34">
        <v>11</v>
      </c>
    </row>
    <row r="94" spans="1:17" x14ac:dyDescent="0.25">
      <c r="A94" s="32">
        <v>93</v>
      </c>
      <c r="B94" s="33">
        <v>40548</v>
      </c>
      <c r="C94" s="26">
        <v>1</v>
      </c>
      <c r="D94" s="26">
        <v>0</v>
      </c>
      <c r="E94" s="26">
        <v>1</v>
      </c>
      <c r="F94" s="26">
        <v>0</v>
      </c>
      <c r="G94" s="26" t="b">
        <v>0</v>
      </c>
      <c r="H94" s="26">
        <v>3</v>
      </c>
      <c r="I94" s="26">
        <v>1</v>
      </c>
      <c r="J94" s="26">
        <v>0.2</v>
      </c>
      <c r="K94" s="26">
        <v>93</v>
      </c>
      <c r="L94" s="26">
        <v>0.2576</v>
      </c>
      <c r="M94" s="26">
        <v>0.64</v>
      </c>
      <c r="N94" s="26">
        <v>0</v>
      </c>
      <c r="O94" s="26">
        <v>0</v>
      </c>
      <c r="P94" s="26">
        <v>6</v>
      </c>
      <c r="Q94" s="34">
        <v>6</v>
      </c>
    </row>
    <row r="95" spans="1:17" x14ac:dyDescent="0.25">
      <c r="A95" s="32">
        <v>94</v>
      </c>
      <c r="B95" s="33">
        <v>40548</v>
      </c>
      <c r="C95" s="26">
        <v>1</v>
      </c>
      <c r="D95" s="26">
        <v>0</v>
      </c>
      <c r="E95" s="26">
        <v>1</v>
      </c>
      <c r="F95" s="26">
        <v>1</v>
      </c>
      <c r="G95" s="26" t="b">
        <v>0</v>
      </c>
      <c r="H95" s="26">
        <v>3</v>
      </c>
      <c r="I95" s="26">
        <v>1</v>
      </c>
      <c r="J95" s="26">
        <v>0.16</v>
      </c>
      <c r="K95" s="26">
        <v>94</v>
      </c>
      <c r="L95" s="26">
        <v>0.19700000000000001</v>
      </c>
      <c r="M95" s="26">
        <v>0.74</v>
      </c>
      <c r="N95" s="26">
        <v>8.9599999999999999E-2</v>
      </c>
      <c r="O95" s="26">
        <v>0</v>
      </c>
      <c r="P95" s="26">
        <v>6</v>
      </c>
      <c r="Q95" s="34">
        <v>6</v>
      </c>
    </row>
    <row r="96" spans="1:17" x14ac:dyDescent="0.25">
      <c r="A96" s="32">
        <v>95</v>
      </c>
      <c r="B96" s="33">
        <v>40548</v>
      </c>
      <c r="C96" s="26">
        <v>1</v>
      </c>
      <c r="D96" s="26">
        <v>0</v>
      </c>
      <c r="E96" s="26">
        <v>1</v>
      </c>
      <c r="F96" s="26">
        <v>2</v>
      </c>
      <c r="G96" s="26" t="b">
        <v>0</v>
      </c>
      <c r="H96" s="26">
        <v>3</v>
      </c>
      <c r="I96" s="26">
        <v>1</v>
      </c>
      <c r="J96" s="26">
        <v>0.16</v>
      </c>
      <c r="K96" s="26">
        <v>95</v>
      </c>
      <c r="L96" s="26">
        <v>0.19700000000000001</v>
      </c>
      <c r="M96" s="26">
        <v>0.74</v>
      </c>
      <c r="N96" s="26">
        <v>8.9599999999999999E-2</v>
      </c>
      <c r="O96" s="26">
        <v>0</v>
      </c>
      <c r="P96" s="26">
        <v>2</v>
      </c>
      <c r="Q96" s="34">
        <v>2</v>
      </c>
    </row>
    <row r="97" spans="1:17" x14ac:dyDescent="0.25">
      <c r="A97" s="32">
        <v>96</v>
      </c>
      <c r="B97" s="33">
        <v>40548</v>
      </c>
      <c r="C97" s="26">
        <v>1</v>
      </c>
      <c r="D97" s="26">
        <v>0</v>
      </c>
      <c r="E97" s="26">
        <v>1</v>
      </c>
      <c r="F97" s="26">
        <v>4</v>
      </c>
      <c r="G97" s="26" t="b">
        <v>0</v>
      </c>
      <c r="H97" s="26">
        <v>3</v>
      </c>
      <c r="I97" s="26">
        <v>1</v>
      </c>
      <c r="J97" s="26">
        <v>0.24</v>
      </c>
      <c r="K97" s="26">
        <v>96</v>
      </c>
      <c r="L97" s="26">
        <v>0.2273</v>
      </c>
      <c r="M97" s="26">
        <v>0.48</v>
      </c>
      <c r="N97" s="26">
        <v>0.22389999999999999</v>
      </c>
      <c r="O97" s="26">
        <v>0</v>
      </c>
      <c r="P97" s="26">
        <v>2</v>
      </c>
      <c r="Q97" s="34">
        <v>2</v>
      </c>
    </row>
    <row r="98" spans="1:17" x14ac:dyDescent="0.25">
      <c r="A98" s="32">
        <v>97</v>
      </c>
      <c r="B98" s="33">
        <v>40548</v>
      </c>
      <c r="C98" s="26">
        <v>1</v>
      </c>
      <c r="D98" s="26">
        <v>0</v>
      </c>
      <c r="E98" s="26">
        <v>1</v>
      </c>
      <c r="F98" s="26">
        <v>5</v>
      </c>
      <c r="G98" s="26" t="b">
        <v>0</v>
      </c>
      <c r="H98" s="26">
        <v>3</v>
      </c>
      <c r="I98" s="26">
        <v>1</v>
      </c>
      <c r="J98" s="26">
        <v>0.22</v>
      </c>
      <c r="K98" s="26">
        <v>97</v>
      </c>
      <c r="L98" s="26">
        <v>0.2273</v>
      </c>
      <c r="M98" s="26">
        <v>0.47</v>
      </c>
      <c r="N98" s="26">
        <v>0.16420000000000001</v>
      </c>
      <c r="O98" s="26">
        <v>0</v>
      </c>
      <c r="P98" s="26">
        <v>3</v>
      </c>
      <c r="Q98" s="34">
        <v>3</v>
      </c>
    </row>
    <row r="99" spans="1:17" x14ac:dyDescent="0.25">
      <c r="A99" s="32">
        <v>98</v>
      </c>
      <c r="B99" s="33">
        <v>40548</v>
      </c>
      <c r="C99" s="26">
        <v>1</v>
      </c>
      <c r="D99" s="26">
        <v>0</v>
      </c>
      <c r="E99" s="26">
        <v>1</v>
      </c>
      <c r="F99" s="26">
        <v>6</v>
      </c>
      <c r="G99" s="26" t="b">
        <v>0</v>
      </c>
      <c r="H99" s="26">
        <v>3</v>
      </c>
      <c r="I99" s="26">
        <v>1</v>
      </c>
      <c r="J99" s="26">
        <v>0.2</v>
      </c>
      <c r="K99" s="26">
        <v>98</v>
      </c>
      <c r="L99" s="26">
        <v>0.19700000000000001</v>
      </c>
      <c r="M99" s="26">
        <v>0.47</v>
      </c>
      <c r="N99" s="26">
        <v>0.22389999999999999</v>
      </c>
      <c r="O99" s="26">
        <v>0</v>
      </c>
      <c r="P99" s="26">
        <v>33</v>
      </c>
      <c r="Q99" s="34">
        <v>33</v>
      </c>
    </row>
    <row r="100" spans="1:17" x14ac:dyDescent="0.25">
      <c r="A100" s="32">
        <v>99</v>
      </c>
      <c r="B100" s="33">
        <v>40548</v>
      </c>
      <c r="C100" s="26">
        <v>1</v>
      </c>
      <c r="D100" s="26">
        <v>0</v>
      </c>
      <c r="E100" s="26">
        <v>1</v>
      </c>
      <c r="F100" s="26">
        <v>7</v>
      </c>
      <c r="G100" s="26" t="b">
        <v>0</v>
      </c>
      <c r="H100" s="26">
        <v>3</v>
      </c>
      <c r="I100" s="26">
        <v>1</v>
      </c>
      <c r="J100" s="26">
        <v>0.18</v>
      </c>
      <c r="K100" s="26">
        <v>99</v>
      </c>
      <c r="L100" s="26">
        <v>0.18179999999999999</v>
      </c>
      <c r="M100" s="26">
        <v>0.43</v>
      </c>
      <c r="N100" s="26">
        <v>0.19400000000000001</v>
      </c>
      <c r="O100" s="26">
        <v>1</v>
      </c>
      <c r="P100" s="26">
        <v>87</v>
      </c>
      <c r="Q100" s="34">
        <v>88</v>
      </c>
    </row>
    <row r="101" spans="1:17" x14ac:dyDescent="0.25">
      <c r="A101" s="32">
        <v>100</v>
      </c>
      <c r="B101" s="33">
        <v>40548</v>
      </c>
      <c r="C101" s="26">
        <v>1</v>
      </c>
      <c r="D101" s="26">
        <v>0</v>
      </c>
      <c r="E101" s="26">
        <v>1</v>
      </c>
      <c r="F101" s="26">
        <v>8</v>
      </c>
      <c r="G101" s="26" t="b">
        <v>0</v>
      </c>
      <c r="H101" s="26">
        <v>3</v>
      </c>
      <c r="I101" s="26">
        <v>1</v>
      </c>
      <c r="J101" s="26">
        <v>0.2</v>
      </c>
      <c r="K101" s="26">
        <v>100</v>
      </c>
      <c r="L101" s="26">
        <v>0.18179999999999999</v>
      </c>
      <c r="M101" s="26">
        <v>0.4</v>
      </c>
      <c r="N101" s="26">
        <v>0.29849999999999999</v>
      </c>
      <c r="O101" s="26">
        <v>3</v>
      </c>
      <c r="P101" s="26">
        <v>192</v>
      </c>
      <c r="Q101" s="34">
        <v>195</v>
      </c>
    </row>
    <row r="102" spans="1:17" x14ac:dyDescent="0.25">
      <c r="A102" s="32">
        <v>101</v>
      </c>
      <c r="B102" s="33">
        <v>40548</v>
      </c>
      <c r="C102" s="26">
        <v>1</v>
      </c>
      <c r="D102" s="26">
        <v>0</v>
      </c>
      <c r="E102" s="26">
        <v>1</v>
      </c>
      <c r="F102" s="26">
        <v>9</v>
      </c>
      <c r="G102" s="26" t="b">
        <v>0</v>
      </c>
      <c r="H102" s="26">
        <v>3</v>
      </c>
      <c r="I102" s="26">
        <v>1</v>
      </c>
      <c r="J102" s="26">
        <v>0.22</v>
      </c>
      <c r="K102" s="26">
        <v>101</v>
      </c>
      <c r="L102" s="26">
        <v>0.19700000000000001</v>
      </c>
      <c r="M102" s="26">
        <v>0.37</v>
      </c>
      <c r="N102" s="26">
        <v>0.32840000000000003</v>
      </c>
      <c r="O102" s="26">
        <v>6</v>
      </c>
      <c r="P102" s="26">
        <v>109</v>
      </c>
      <c r="Q102" s="34">
        <v>115</v>
      </c>
    </row>
    <row r="103" spans="1:17" x14ac:dyDescent="0.25">
      <c r="A103" s="32">
        <v>102</v>
      </c>
      <c r="B103" s="33">
        <v>40548</v>
      </c>
      <c r="C103" s="26">
        <v>1</v>
      </c>
      <c r="D103" s="26">
        <v>0</v>
      </c>
      <c r="E103" s="26">
        <v>1</v>
      </c>
      <c r="F103" s="26">
        <v>10</v>
      </c>
      <c r="G103" s="26" t="b">
        <v>0</v>
      </c>
      <c r="H103" s="26">
        <v>3</v>
      </c>
      <c r="I103" s="26">
        <v>1</v>
      </c>
      <c r="J103" s="26">
        <v>0.22</v>
      </c>
      <c r="K103" s="26">
        <v>102</v>
      </c>
      <c r="L103" s="26">
        <v>0.19700000000000001</v>
      </c>
      <c r="M103" s="26">
        <v>0.37</v>
      </c>
      <c r="N103" s="26">
        <v>0.32840000000000003</v>
      </c>
      <c r="O103" s="26">
        <v>4</v>
      </c>
      <c r="P103" s="26">
        <v>53</v>
      </c>
      <c r="Q103" s="34">
        <v>57</v>
      </c>
    </row>
    <row r="104" spans="1:17" x14ac:dyDescent="0.25">
      <c r="A104" s="32">
        <v>103</v>
      </c>
      <c r="B104" s="33">
        <v>40548</v>
      </c>
      <c r="C104" s="26">
        <v>1</v>
      </c>
      <c r="D104" s="26">
        <v>0</v>
      </c>
      <c r="E104" s="26">
        <v>1</v>
      </c>
      <c r="F104" s="26">
        <v>11</v>
      </c>
      <c r="G104" s="26" t="b">
        <v>0</v>
      </c>
      <c r="H104" s="26">
        <v>3</v>
      </c>
      <c r="I104" s="26">
        <v>1</v>
      </c>
      <c r="J104" s="26">
        <v>0.26</v>
      </c>
      <c r="K104" s="26">
        <v>103</v>
      </c>
      <c r="L104" s="26">
        <v>0.2273</v>
      </c>
      <c r="M104" s="26">
        <v>0.33</v>
      </c>
      <c r="N104" s="26">
        <v>0.32840000000000003</v>
      </c>
      <c r="O104" s="26">
        <v>12</v>
      </c>
      <c r="P104" s="26">
        <v>34</v>
      </c>
      <c r="Q104" s="34">
        <v>46</v>
      </c>
    </row>
    <row r="105" spans="1:17" x14ac:dyDescent="0.25">
      <c r="A105" s="32">
        <v>104</v>
      </c>
      <c r="B105" s="33">
        <v>40548</v>
      </c>
      <c r="C105" s="26">
        <v>1</v>
      </c>
      <c r="D105" s="26">
        <v>0</v>
      </c>
      <c r="E105" s="26">
        <v>1</v>
      </c>
      <c r="F105" s="26">
        <v>12</v>
      </c>
      <c r="G105" s="26" t="b">
        <v>0</v>
      </c>
      <c r="H105" s="26">
        <v>3</v>
      </c>
      <c r="I105" s="26">
        <v>1</v>
      </c>
      <c r="J105" s="26">
        <v>0.26</v>
      </c>
      <c r="K105" s="26">
        <v>104</v>
      </c>
      <c r="L105" s="26">
        <v>0.2273</v>
      </c>
      <c r="M105" s="26">
        <v>0.33</v>
      </c>
      <c r="N105" s="26">
        <v>0.32840000000000003</v>
      </c>
      <c r="O105" s="26">
        <v>5</v>
      </c>
      <c r="P105" s="26">
        <v>74</v>
      </c>
      <c r="Q105" s="34">
        <v>79</v>
      </c>
    </row>
    <row r="106" spans="1:17" x14ac:dyDescent="0.25">
      <c r="A106" s="32">
        <v>105</v>
      </c>
      <c r="B106" s="33">
        <v>40548</v>
      </c>
      <c r="C106" s="26">
        <v>1</v>
      </c>
      <c r="D106" s="26">
        <v>0</v>
      </c>
      <c r="E106" s="26">
        <v>1</v>
      </c>
      <c r="F106" s="26">
        <v>13</v>
      </c>
      <c r="G106" s="26" t="b">
        <v>0</v>
      </c>
      <c r="H106" s="26">
        <v>3</v>
      </c>
      <c r="I106" s="26">
        <v>1</v>
      </c>
      <c r="J106" s="26">
        <v>0.28000000000000003</v>
      </c>
      <c r="K106" s="26">
        <v>105</v>
      </c>
      <c r="L106" s="26">
        <v>0.2576</v>
      </c>
      <c r="M106" s="26">
        <v>0.3</v>
      </c>
      <c r="N106" s="26">
        <v>0.29849999999999999</v>
      </c>
      <c r="O106" s="26">
        <v>6</v>
      </c>
      <c r="P106" s="26">
        <v>65</v>
      </c>
      <c r="Q106" s="34">
        <v>71</v>
      </c>
    </row>
    <row r="107" spans="1:17" x14ac:dyDescent="0.25">
      <c r="A107" s="32">
        <v>106</v>
      </c>
      <c r="B107" s="33">
        <v>40548</v>
      </c>
      <c r="C107" s="26">
        <v>1</v>
      </c>
      <c r="D107" s="26">
        <v>0</v>
      </c>
      <c r="E107" s="26">
        <v>1</v>
      </c>
      <c r="F107" s="26">
        <v>14</v>
      </c>
      <c r="G107" s="26" t="b">
        <v>0</v>
      </c>
      <c r="H107" s="26">
        <v>3</v>
      </c>
      <c r="I107" s="26">
        <v>1</v>
      </c>
      <c r="J107" s="26">
        <v>0.3</v>
      </c>
      <c r="K107" s="26">
        <v>106</v>
      </c>
      <c r="L107" s="26">
        <v>0.28789999999999999</v>
      </c>
      <c r="M107" s="26">
        <v>0.28000000000000003</v>
      </c>
      <c r="N107" s="26">
        <v>0.19400000000000001</v>
      </c>
      <c r="O107" s="26">
        <v>10</v>
      </c>
      <c r="P107" s="26">
        <v>52</v>
      </c>
      <c r="Q107" s="34">
        <v>62</v>
      </c>
    </row>
    <row r="108" spans="1:17" x14ac:dyDescent="0.25">
      <c r="A108" s="32">
        <v>107</v>
      </c>
      <c r="B108" s="33">
        <v>40548</v>
      </c>
      <c r="C108" s="26">
        <v>1</v>
      </c>
      <c r="D108" s="26">
        <v>0</v>
      </c>
      <c r="E108" s="26">
        <v>1</v>
      </c>
      <c r="F108" s="26">
        <v>15</v>
      </c>
      <c r="G108" s="26" t="b">
        <v>0</v>
      </c>
      <c r="H108" s="26">
        <v>3</v>
      </c>
      <c r="I108" s="26">
        <v>1</v>
      </c>
      <c r="J108" s="26">
        <v>0.3</v>
      </c>
      <c r="K108" s="26">
        <v>107</v>
      </c>
      <c r="L108" s="26">
        <v>0.28789999999999999</v>
      </c>
      <c r="M108" s="26">
        <v>0.28000000000000003</v>
      </c>
      <c r="N108" s="26">
        <v>0.19400000000000001</v>
      </c>
      <c r="O108" s="26">
        <v>7</v>
      </c>
      <c r="P108" s="26">
        <v>55</v>
      </c>
      <c r="Q108" s="34">
        <v>62</v>
      </c>
    </row>
    <row r="109" spans="1:17" x14ac:dyDescent="0.25">
      <c r="A109" s="32">
        <v>108</v>
      </c>
      <c r="B109" s="33">
        <v>40548</v>
      </c>
      <c r="C109" s="26">
        <v>1</v>
      </c>
      <c r="D109" s="26">
        <v>0</v>
      </c>
      <c r="E109" s="26">
        <v>1</v>
      </c>
      <c r="F109" s="26">
        <v>16</v>
      </c>
      <c r="G109" s="26" t="b">
        <v>0</v>
      </c>
      <c r="H109" s="26">
        <v>3</v>
      </c>
      <c r="I109" s="26">
        <v>1</v>
      </c>
      <c r="J109" s="26">
        <v>0.3</v>
      </c>
      <c r="K109" s="26">
        <v>108</v>
      </c>
      <c r="L109" s="26">
        <v>0.31819999999999998</v>
      </c>
      <c r="M109" s="26">
        <v>0.28000000000000003</v>
      </c>
      <c r="N109" s="26">
        <v>8.9599999999999999E-2</v>
      </c>
      <c r="O109" s="26">
        <v>4</v>
      </c>
      <c r="P109" s="26">
        <v>85</v>
      </c>
      <c r="Q109" s="34">
        <v>89</v>
      </c>
    </row>
    <row r="110" spans="1:17" x14ac:dyDescent="0.25">
      <c r="A110" s="32">
        <v>109</v>
      </c>
      <c r="B110" s="33">
        <v>40548</v>
      </c>
      <c r="C110" s="26">
        <v>1</v>
      </c>
      <c r="D110" s="26">
        <v>0</v>
      </c>
      <c r="E110" s="26">
        <v>1</v>
      </c>
      <c r="F110" s="26">
        <v>17</v>
      </c>
      <c r="G110" s="26" t="b">
        <v>0</v>
      </c>
      <c r="H110" s="26">
        <v>3</v>
      </c>
      <c r="I110" s="26">
        <v>1</v>
      </c>
      <c r="J110" s="26">
        <v>0.24</v>
      </c>
      <c r="K110" s="26">
        <v>109</v>
      </c>
      <c r="L110" s="26">
        <v>0.2273</v>
      </c>
      <c r="M110" s="26">
        <v>0.38</v>
      </c>
      <c r="N110" s="26">
        <v>0.19400000000000001</v>
      </c>
      <c r="O110" s="26">
        <v>4</v>
      </c>
      <c r="P110" s="26">
        <v>186</v>
      </c>
      <c r="Q110" s="34">
        <v>190</v>
      </c>
    </row>
    <row r="111" spans="1:17" x14ac:dyDescent="0.25">
      <c r="A111" s="32">
        <v>110</v>
      </c>
      <c r="B111" s="33">
        <v>40548</v>
      </c>
      <c r="C111" s="26">
        <v>1</v>
      </c>
      <c r="D111" s="26">
        <v>0</v>
      </c>
      <c r="E111" s="26">
        <v>1</v>
      </c>
      <c r="F111" s="26">
        <v>18</v>
      </c>
      <c r="G111" s="26" t="b">
        <v>0</v>
      </c>
      <c r="H111" s="26">
        <v>3</v>
      </c>
      <c r="I111" s="26">
        <v>1</v>
      </c>
      <c r="J111" s="26">
        <v>0.24</v>
      </c>
      <c r="K111" s="26">
        <v>110</v>
      </c>
      <c r="L111" s="26">
        <v>0.2424</v>
      </c>
      <c r="M111" s="26">
        <v>0.38</v>
      </c>
      <c r="N111" s="26">
        <v>0.1343</v>
      </c>
      <c r="O111" s="26">
        <v>3</v>
      </c>
      <c r="P111" s="26">
        <v>166</v>
      </c>
      <c r="Q111" s="34">
        <v>169</v>
      </c>
    </row>
    <row r="112" spans="1:17" x14ac:dyDescent="0.25">
      <c r="A112" s="32">
        <v>111</v>
      </c>
      <c r="B112" s="33">
        <v>40548</v>
      </c>
      <c r="C112" s="26">
        <v>1</v>
      </c>
      <c r="D112" s="26">
        <v>0</v>
      </c>
      <c r="E112" s="26">
        <v>1</v>
      </c>
      <c r="F112" s="26">
        <v>19</v>
      </c>
      <c r="G112" s="26" t="b">
        <v>0</v>
      </c>
      <c r="H112" s="26">
        <v>3</v>
      </c>
      <c r="I112" s="26">
        <v>1</v>
      </c>
      <c r="J112" s="26">
        <v>0.24</v>
      </c>
      <c r="K112" s="26">
        <v>111</v>
      </c>
      <c r="L112" s="26">
        <v>0.2576</v>
      </c>
      <c r="M112" s="26">
        <v>0.38</v>
      </c>
      <c r="N112" s="26">
        <v>0.1045</v>
      </c>
      <c r="O112" s="26">
        <v>5</v>
      </c>
      <c r="P112" s="26">
        <v>127</v>
      </c>
      <c r="Q112" s="34">
        <v>132</v>
      </c>
    </row>
    <row r="113" spans="1:17" x14ac:dyDescent="0.25">
      <c r="A113" s="32">
        <v>112</v>
      </c>
      <c r="B113" s="33">
        <v>40548</v>
      </c>
      <c r="C113" s="26">
        <v>1</v>
      </c>
      <c r="D113" s="26">
        <v>0</v>
      </c>
      <c r="E113" s="26">
        <v>1</v>
      </c>
      <c r="F113" s="26">
        <v>20</v>
      </c>
      <c r="G113" s="26" t="b">
        <v>0</v>
      </c>
      <c r="H113" s="26">
        <v>3</v>
      </c>
      <c r="I113" s="26">
        <v>1</v>
      </c>
      <c r="J113" s="26">
        <v>0.22</v>
      </c>
      <c r="K113" s="26">
        <v>112</v>
      </c>
      <c r="L113" s="26">
        <v>0.2273</v>
      </c>
      <c r="M113" s="26">
        <v>0.47</v>
      </c>
      <c r="N113" s="26">
        <v>0.16420000000000001</v>
      </c>
      <c r="O113" s="26">
        <v>7</v>
      </c>
      <c r="P113" s="26">
        <v>82</v>
      </c>
      <c r="Q113" s="34">
        <v>89</v>
      </c>
    </row>
    <row r="114" spans="1:17" x14ac:dyDescent="0.25">
      <c r="A114" s="32">
        <v>113</v>
      </c>
      <c r="B114" s="33">
        <v>40548</v>
      </c>
      <c r="C114" s="26">
        <v>1</v>
      </c>
      <c r="D114" s="26">
        <v>0</v>
      </c>
      <c r="E114" s="26">
        <v>1</v>
      </c>
      <c r="F114" s="26">
        <v>21</v>
      </c>
      <c r="G114" s="26" t="b">
        <v>0</v>
      </c>
      <c r="H114" s="26">
        <v>3</v>
      </c>
      <c r="I114" s="26">
        <v>1</v>
      </c>
      <c r="J114" s="26">
        <v>0.2</v>
      </c>
      <c r="K114" s="26">
        <v>113</v>
      </c>
      <c r="L114" s="26">
        <v>0.19700000000000001</v>
      </c>
      <c r="M114" s="26">
        <v>0.51</v>
      </c>
      <c r="N114" s="26">
        <v>0.19400000000000001</v>
      </c>
      <c r="O114" s="26">
        <v>3</v>
      </c>
      <c r="P114" s="26">
        <v>40</v>
      </c>
      <c r="Q114" s="34">
        <v>43</v>
      </c>
    </row>
    <row r="115" spans="1:17" x14ac:dyDescent="0.25">
      <c r="A115" s="32">
        <v>114</v>
      </c>
      <c r="B115" s="33">
        <v>40548</v>
      </c>
      <c r="C115" s="26">
        <v>1</v>
      </c>
      <c r="D115" s="26">
        <v>0</v>
      </c>
      <c r="E115" s="26">
        <v>1</v>
      </c>
      <c r="F115" s="26">
        <v>22</v>
      </c>
      <c r="G115" s="26" t="b">
        <v>0</v>
      </c>
      <c r="H115" s="26">
        <v>3</v>
      </c>
      <c r="I115" s="26">
        <v>1</v>
      </c>
      <c r="J115" s="26">
        <v>0.18</v>
      </c>
      <c r="K115" s="26">
        <v>114</v>
      </c>
      <c r="L115" s="26">
        <v>0.19700000000000001</v>
      </c>
      <c r="M115" s="26">
        <v>0.55000000000000004</v>
      </c>
      <c r="N115" s="26">
        <v>0.1343</v>
      </c>
      <c r="O115" s="26">
        <v>1</v>
      </c>
      <c r="P115" s="26">
        <v>41</v>
      </c>
      <c r="Q115" s="34">
        <v>42</v>
      </c>
    </row>
    <row r="116" spans="1:17" x14ac:dyDescent="0.25">
      <c r="A116" s="32">
        <v>115</v>
      </c>
      <c r="B116" s="33">
        <v>40548</v>
      </c>
      <c r="C116" s="26">
        <v>1</v>
      </c>
      <c r="D116" s="26">
        <v>0</v>
      </c>
      <c r="E116" s="26">
        <v>1</v>
      </c>
      <c r="F116" s="26">
        <v>23</v>
      </c>
      <c r="G116" s="26" t="b">
        <v>0</v>
      </c>
      <c r="H116" s="26">
        <v>3</v>
      </c>
      <c r="I116" s="26">
        <v>1</v>
      </c>
      <c r="J116" s="26">
        <v>0.2</v>
      </c>
      <c r="K116" s="26">
        <v>115</v>
      </c>
      <c r="L116" s="26">
        <v>0.2576</v>
      </c>
      <c r="M116" s="26">
        <v>0.47</v>
      </c>
      <c r="N116" s="26">
        <v>0</v>
      </c>
      <c r="O116" s="26">
        <v>1</v>
      </c>
      <c r="P116" s="26">
        <v>18</v>
      </c>
      <c r="Q116" s="34">
        <v>19</v>
      </c>
    </row>
    <row r="117" spans="1:17" x14ac:dyDescent="0.25">
      <c r="A117" s="32">
        <v>116</v>
      </c>
      <c r="B117" s="33">
        <v>40549</v>
      </c>
      <c r="C117" s="26">
        <v>1</v>
      </c>
      <c r="D117" s="26">
        <v>0</v>
      </c>
      <c r="E117" s="26">
        <v>1</v>
      </c>
      <c r="F117" s="26">
        <v>0</v>
      </c>
      <c r="G117" s="26" t="b">
        <v>0</v>
      </c>
      <c r="H117" s="26">
        <v>4</v>
      </c>
      <c r="I117" s="26">
        <v>1</v>
      </c>
      <c r="J117" s="26">
        <v>0.18</v>
      </c>
      <c r="K117" s="26">
        <v>116</v>
      </c>
      <c r="L117" s="26">
        <v>0.2424</v>
      </c>
      <c r="M117" s="26">
        <v>0.55000000000000004</v>
      </c>
      <c r="N117" s="26">
        <v>0</v>
      </c>
      <c r="O117" s="26">
        <v>0</v>
      </c>
      <c r="P117" s="26">
        <v>11</v>
      </c>
      <c r="Q117" s="34">
        <v>11</v>
      </c>
    </row>
    <row r="118" spans="1:17" x14ac:dyDescent="0.25">
      <c r="A118" s="32">
        <v>117</v>
      </c>
      <c r="B118" s="33">
        <v>40549</v>
      </c>
      <c r="C118" s="26">
        <v>1</v>
      </c>
      <c r="D118" s="26">
        <v>0</v>
      </c>
      <c r="E118" s="26">
        <v>1</v>
      </c>
      <c r="F118" s="26">
        <v>1</v>
      </c>
      <c r="G118" s="26" t="b">
        <v>0</v>
      </c>
      <c r="H118" s="26">
        <v>4</v>
      </c>
      <c r="I118" s="26">
        <v>1</v>
      </c>
      <c r="J118" s="26">
        <v>0.16</v>
      </c>
      <c r="K118" s="26">
        <v>117</v>
      </c>
      <c r="L118" s="26">
        <v>0.2273</v>
      </c>
      <c r="M118" s="26">
        <v>0.64</v>
      </c>
      <c r="N118" s="26">
        <v>0</v>
      </c>
      <c r="O118" s="26">
        <v>0</v>
      </c>
      <c r="P118" s="26">
        <v>4</v>
      </c>
      <c r="Q118" s="34">
        <v>4</v>
      </c>
    </row>
    <row r="119" spans="1:17" x14ac:dyDescent="0.25">
      <c r="A119" s="32">
        <v>118</v>
      </c>
      <c r="B119" s="33">
        <v>40549</v>
      </c>
      <c r="C119" s="26">
        <v>1</v>
      </c>
      <c r="D119" s="26">
        <v>0</v>
      </c>
      <c r="E119" s="26">
        <v>1</v>
      </c>
      <c r="F119" s="26">
        <v>2</v>
      </c>
      <c r="G119" s="26" t="b">
        <v>0</v>
      </c>
      <c r="H119" s="26">
        <v>4</v>
      </c>
      <c r="I119" s="26">
        <v>1</v>
      </c>
      <c r="J119" s="26">
        <v>0.16</v>
      </c>
      <c r="K119" s="26">
        <v>118</v>
      </c>
      <c r="L119" s="26">
        <v>0.2273</v>
      </c>
      <c r="M119" s="26">
        <v>0.64</v>
      </c>
      <c r="N119" s="26">
        <v>0</v>
      </c>
      <c r="O119" s="26">
        <v>0</v>
      </c>
      <c r="P119" s="26">
        <v>2</v>
      </c>
      <c r="Q119" s="34">
        <v>2</v>
      </c>
    </row>
    <row r="120" spans="1:17" x14ac:dyDescent="0.25">
      <c r="A120" s="32">
        <v>119</v>
      </c>
      <c r="B120" s="33">
        <v>40549</v>
      </c>
      <c r="C120" s="26">
        <v>1</v>
      </c>
      <c r="D120" s="26">
        <v>0</v>
      </c>
      <c r="E120" s="26">
        <v>1</v>
      </c>
      <c r="F120" s="26">
        <v>4</v>
      </c>
      <c r="G120" s="26" t="b">
        <v>0</v>
      </c>
      <c r="H120" s="26">
        <v>4</v>
      </c>
      <c r="I120" s="26">
        <v>2</v>
      </c>
      <c r="J120" s="26">
        <v>0.16</v>
      </c>
      <c r="K120" s="26">
        <v>119</v>
      </c>
      <c r="L120" s="26">
        <v>0.19700000000000001</v>
      </c>
      <c r="M120" s="26">
        <v>0.64</v>
      </c>
      <c r="N120" s="26">
        <v>8.9599999999999999E-2</v>
      </c>
      <c r="O120" s="26">
        <v>0</v>
      </c>
      <c r="P120" s="26">
        <v>1</v>
      </c>
      <c r="Q120" s="34">
        <v>1</v>
      </c>
    </row>
    <row r="121" spans="1:17" x14ac:dyDescent="0.25">
      <c r="A121" s="32">
        <v>120</v>
      </c>
      <c r="B121" s="33">
        <v>40549</v>
      </c>
      <c r="C121" s="26">
        <v>1</v>
      </c>
      <c r="D121" s="26">
        <v>0</v>
      </c>
      <c r="E121" s="26">
        <v>1</v>
      </c>
      <c r="F121" s="26">
        <v>5</v>
      </c>
      <c r="G121" s="26" t="b">
        <v>0</v>
      </c>
      <c r="H121" s="26">
        <v>4</v>
      </c>
      <c r="I121" s="26">
        <v>2</v>
      </c>
      <c r="J121" s="26">
        <v>0.14000000000000001</v>
      </c>
      <c r="K121" s="26">
        <v>120</v>
      </c>
      <c r="L121" s="26">
        <v>0.18179999999999999</v>
      </c>
      <c r="M121" s="26">
        <v>0.69</v>
      </c>
      <c r="N121" s="26">
        <v>8.9599999999999999E-2</v>
      </c>
      <c r="O121" s="26">
        <v>0</v>
      </c>
      <c r="P121" s="26">
        <v>4</v>
      </c>
      <c r="Q121" s="34">
        <v>4</v>
      </c>
    </row>
    <row r="122" spans="1:17" x14ac:dyDescent="0.25">
      <c r="A122" s="32">
        <v>121</v>
      </c>
      <c r="B122" s="33">
        <v>40549</v>
      </c>
      <c r="C122" s="26">
        <v>1</v>
      </c>
      <c r="D122" s="26">
        <v>0</v>
      </c>
      <c r="E122" s="26">
        <v>1</v>
      </c>
      <c r="F122" s="26">
        <v>6</v>
      </c>
      <c r="G122" s="26" t="b">
        <v>0</v>
      </c>
      <c r="H122" s="26">
        <v>4</v>
      </c>
      <c r="I122" s="26">
        <v>2</v>
      </c>
      <c r="J122" s="26">
        <v>0.14000000000000001</v>
      </c>
      <c r="K122" s="26">
        <v>121</v>
      </c>
      <c r="L122" s="26">
        <v>0.16669999999999999</v>
      </c>
      <c r="M122" s="26">
        <v>0.63</v>
      </c>
      <c r="N122" s="26">
        <v>0.1045</v>
      </c>
      <c r="O122" s="26">
        <v>0</v>
      </c>
      <c r="P122" s="26">
        <v>36</v>
      </c>
      <c r="Q122" s="34">
        <v>36</v>
      </c>
    </row>
    <row r="123" spans="1:17" x14ac:dyDescent="0.25">
      <c r="A123" s="32">
        <v>122</v>
      </c>
      <c r="B123" s="33">
        <v>40549</v>
      </c>
      <c r="C123" s="26">
        <v>1</v>
      </c>
      <c r="D123" s="26">
        <v>0</v>
      </c>
      <c r="E123" s="26">
        <v>1</v>
      </c>
      <c r="F123" s="26">
        <v>7</v>
      </c>
      <c r="G123" s="26" t="b">
        <v>0</v>
      </c>
      <c r="H123" s="26">
        <v>4</v>
      </c>
      <c r="I123" s="26">
        <v>2</v>
      </c>
      <c r="J123" s="26">
        <v>0.16</v>
      </c>
      <c r="K123" s="26">
        <v>122</v>
      </c>
      <c r="L123" s="26">
        <v>0.2273</v>
      </c>
      <c r="M123" s="26">
        <v>0.59</v>
      </c>
      <c r="N123" s="26">
        <v>0</v>
      </c>
      <c r="O123" s="26">
        <v>0</v>
      </c>
      <c r="P123" s="26">
        <v>95</v>
      </c>
      <c r="Q123" s="34">
        <v>95</v>
      </c>
    </row>
    <row r="124" spans="1:17" x14ac:dyDescent="0.25">
      <c r="A124" s="32">
        <v>123</v>
      </c>
      <c r="B124" s="33">
        <v>40549</v>
      </c>
      <c r="C124" s="26">
        <v>1</v>
      </c>
      <c r="D124" s="26">
        <v>0</v>
      </c>
      <c r="E124" s="26">
        <v>1</v>
      </c>
      <c r="F124" s="26">
        <v>8</v>
      </c>
      <c r="G124" s="26" t="b">
        <v>0</v>
      </c>
      <c r="H124" s="26">
        <v>4</v>
      </c>
      <c r="I124" s="26">
        <v>1</v>
      </c>
      <c r="J124" s="26">
        <v>0.16</v>
      </c>
      <c r="K124" s="26">
        <v>123</v>
      </c>
      <c r="L124" s="26">
        <v>0.2273</v>
      </c>
      <c r="M124" s="26">
        <v>0.59</v>
      </c>
      <c r="N124" s="26">
        <v>0</v>
      </c>
      <c r="O124" s="26">
        <v>3</v>
      </c>
      <c r="P124" s="26">
        <v>216</v>
      </c>
      <c r="Q124" s="34">
        <v>219</v>
      </c>
    </row>
    <row r="125" spans="1:17" x14ac:dyDescent="0.25">
      <c r="A125" s="32">
        <v>124</v>
      </c>
      <c r="B125" s="33">
        <v>40549</v>
      </c>
      <c r="C125" s="26">
        <v>1</v>
      </c>
      <c r="D125" s="26">
        <v>0</v>
      </c>
      <c r="E125" s="26">
        <v>1</v>
      </c>
      <c r="F125" s="26">
        <v>9</v>
      </c>
      <c r="G125" s="26" t="b">
        <v>0</v>
      </c>
      <c r="H125" s="26">
        <v>4</v>
      </c>
      <c r="I125" s="26">
        <v>2</v>
      </c>
      <c r="J125" s="26">
        <v>0.18</v>
      </c>
      <c r="K125" s="26">
        <v>124</v>
      </c>
      <c r="L125" s="26">
        <v>0.2424</v>
      </c>
      <c r="M125" s="26">
        <v>0.51</v>
      </c>
      <c r="N125" s="26">
        <v>0</v>
      </c>
      <c r="O125" s="26">
        <v>6</v>
      </c>
      <c r="P125" s="26">
        <v>116</v>
      </c>
      <c r="Q125" s="34">
        <v>122</v>
      </c>
    </row>
    <row r="126" spans="1:17" x14ac:dyDescent="0.25">
      <c r="A126" s="32">
        <v>125</v>
      </c>
      <c r="B126" s="33">
        <v>40549</v>
      </c>
      <c r="C126" s="26">
        <v>1</v>
      </c>
      <c r="D126" s="26">
        <v>0</v>
      </c>
      <c r="E126" s="26">
        <v>1</v>
      </c>
      <c r="F126" s="26">
        <v>10</v>
      </c>
      <c r="G126" s="26" t="b">
        <v>0</v>
      </c>
      <c r="H126" s="26">
        <v>4</v>
      </c>
      <c r="I126" s="26">
        <v>1</v>
      </c>
      <c r="J126" s="26">
        <v>0.2</v>
      </c>
      <c r="K126" s="26">
        <v>125</v>
      </c>
      <c r="L126" s="26">
        <v>0.2576</v>
      </c>
      <c r="M126" s="26">
        <v>0.47</v>
      </c>
      <c r="N126" s="26">
        <v>0</v>
      </c>
      <c r="O126" s="26">
        <v>3</v>
      </c>
      <c r="P126" s="26">
        <v>42</v>
      </c>
      <c r="Q126" s="34">
        <v>45</v>
      </c>
    </row>
    <row r="127" spans="1:17" x14ac:dyDescent="0.25">
      <c r="A127" s="32">
        <v>126</v>
      </c>
      <c r="B127" s="33">
        <v>40549</v>
      </c>
      <c r="C127" s="26">
        <v>1</v>
      </c>
      <c r="D127" s="26">
        <v>0</v>
      </c>
      <c r="E127" s="26">
        <v>1</v>
      </c>
      <c r="F127" s="26">
        <v>11</v>
      </c>
      <c r="G127" s="26" t="b">
        <v>0</v>
      </c>
      <c r="H127" s="26">
        <v>4</v>
      </c>
      <c r="I127" s="26">
        <v>1</v>
      </c>
      <c r="J127" s="26">
        <v>0.22</v>
      </c>
      <c r="K127" s="26">
        <v>126</v>
      </c>
      <c r="L127" s="26">
        <v>0.2576</v>
      </c>
      <c r="M127" s="26">
        <v>0.44</v>
      </c>
      <c r="N127" s="26">
        <v>8.9599999999999999E-2</v>
      </c>
      <c r="O127" s="26">
        <v>2</v>
      </c>
      <c r="P127" s="26">
        <v>57</v>
      </c>
      <c r="Q127" s="34">
        <v>59</v>
      </c>
    </row>
    <row r="128" spans="1:17" x14ac:dyDescent="0.25">
      <c r="A128" s="32">
        <v>127</v>
      </c>
      <c r="B128" s="33">
        <v>40549</v>
      </c>
      <c r="C128" s="26">
        <v>1</v>
      </c>
      <c r="D128" s="26">
        <v>0</v>
      </c>
      <c r="E128" s="26">
        <v>1</v>
      </c>
      <c r="F128" s="26">
        <v>12</v>
      </c>
      <c r="G128" s="26" t="b">
        <v>0</v>
      </c>
      <c r="H128" s="26">
        <v>4</v>
      </c>
      <c r="I128" s="26">
        <v>1</v>
      </c>
      <c r="J128" s="26">
        <v>0.26</v>
      </c>
      <c r="K128" s="26">
        <v>127</v>
      </c>
      <c r="L128" s="26">
        <v>0.28789999999999999</v>
      </c>
      <c r="M128" s="26">
        <v>0.35</v>
      </c>
      <c r="N128" s="26">
        <v>0</v>
      </c>
      <c r="O128" s="26">
        <v>6</v>
      </c>
      <c r="P128" s="26">
        <v>78</v>
      </c>
      <c r="Q128" s="34">
        <v>84</v>
      </c>
    </row>
    <row r="129" spans="1:17" x14ac:dyDescent="0.25">
      <c r="A129" s="32">
        <v>128</v>
      </c>
      <c r="B129" s="33">
        <v>40549</v>
      </c>
      <c r="C129" s="26">
        <v>1</v>
      </c>
      <c r="D129" s="26">
        <v>0</v>
      </c>
      <c r="E129" s="26">
        <v>1</v>
      </c>
      <c r="F129" s="26">
        <v>13</v>
      </c>
      <c r="G129" s="26" t="b">
        <v>0</v>
      </c>
      <c r="H129" s="26">
        <v>4</v>
      </c>
      <c r="I129" s="26">
        <v>1</v>
      </c>
      <c r="J129" s="26">
        <v>0.26</v>
      </c>
      <c r="K129" s="26">
        <v>128</v>
      </c>
      <c r="L129" s="26">
        <v>0.2727</v>
      </c>
      <c r="M129" s="26">
        <v>0.35</v>
      </c>
      <c r="N129" s="26">
        <v>0.1045</v>
      </c>
      <c r="O129" s="26">
        <v>12</v>
      </c>
      <c r="P129" s="26">
        <v>55</v>
      </c>
      <c r="Q129" s="34">
        <v>67</v>
      </c>
    </row>
    <row r="130" spans="1:17" x14ac:dyDescent="0.25">
      <c r="A130" s="32">
        <v>129</v>
      </c>
      <c r="B130" s="33">
        <v>40549</v>
      </c>
      <c r="C130" s="26">
        <v>1</v>
      </c>
      <c r="D130" s="26">
        <v>0</v>
      </c>
      <c r="E130" s="26">
        <v>1</v>
      </c>
      <c r="F130" s="26">
        <v>14</v>
      </c>
      <c r="G130" s="26" t="b">
        <v>0</v>
      </c>
      <c r="H130" s="26">
        <v>4</v>
      </c>
      <c r="I130" s="26">
        <v>1</v>
      </c>
      <c r="J130" s="26">
        <v>0.28000000000000003</v>
      </c>
      <c r="K130" s="26">
        <v>129</v>
      </c>
      <c r="L130" s="26">
        <v>0.2727</v>
      </c>
      <c r="M130" s="26">
        <v>0.36</v>
      </c>
      <c r="N130" s="26">
        <v>0.16420000000000001</v>
      </c>
      <c r="O130" s="26">
        <v>11</v>
      </c>
      <c r="P130" s="26">
        <v>59</v>
      </c>
      <c r="Q130" s="34">
        <v>70</v>
      </c>
    </row>
    <row r="131" spans="1:17" x14ac:dyDescent="0.25">
      <c r="A131" s="32">
        <v>130</v>
      </c>
      <c r="B131" s="33">
        <v>40549</v>
      </c>
      <c r="C131" s="26">
        <v>1</v>
      </c>
      <c r="D131" s="26">
        <v>0</v>
      </c>
      <c r="E131" s="26">
        <v>1</v>
      </c>
      <c r="F131" s="26">
        <v>15</v>
      </c>
      <c r="G131" s="26" t="b">
        <v>0</v>
      </c>
      <c r="H131" s="26">
        <v>4</v>
      </c>
      <c r="I131" s="26">
        <v>1</v>
      </c>
      <c r="J131" s="26">
        <v>0.28000000000000003</v>
      </c>
      <c r="K131" s="26">
        <v>130</v>
      </c>
      <c r="L131" s="26">
        <v>0.2727</v>
      </c>
      <c r="M131" s="26">
        <v>0.36</v>
      </c>
      <c r="N131" s="26">
        <v>0</v>
      </c>
      <c r="O131" s="26">
        <v>8</v>
      </c>
      <c r="P131" s="26">
        <v>54</v>
      </c>
      <c r="Q131" s="34">
        <v>62</v>
      </c>
    </row>
    <row r="132" spans="1:17" x14ac:dyDescent="0.25">
      <c r="A132" s="32">
        <v>131</v>
      </c>
      <c r="B132" s="33">
        <v>40549</v>
      </c>
      <c r="C132" s="26">
        <v>1</v>
      </c>
      <c r="D132" s="26">
        <v>0</v>
      </c>
      <c r="E132" s="26">
        <v>1</v>
      </c>
      <c r="F132" s="26">
        <v>16</v>
      </c>
      <c r="G132" s="26" t="b">
        <v>0</v>
      </c>
      <c r="H132" s="26">
        <v>4</v>
      </c>
      <c r="I132" s="26">
        <v>1</v>
      </c>
      <c r="J132" s="26">
        <v>0.26</v>
      </c>
      <c r="K132" s="26">
        <v>131</v>
      </c>
      <c r="L132" s="26">
        <v>0.2576</v>
      </c>
      <c r="M132" s="26">
        <v>0.38</v>
      </c>
      <c r="N132" s="26">
        <v>0.16420000000000001</v>
      </c>
      <c r="O132" s="26">
        <v>12</v>
      </c>
      <c r="P132" s="26">
        <v>74</v>
      </c>
      <c r="Q132" s="34">
        <v>86</v>
      </c>
    </row>
    <row r="133" spans="1:17" x14ac:dyDescent="0.25">
      <c r="A133" s="32">
        <v>132</v>
      </c>
      <c r="B133" s="33">
        <v>40549</v>
      </c>
      <c r="C133" s="26">
        <v>1</v>
      </c>
      <c r="D133" s="26">
        <v>0</v>
      </c>
      <c r="E133" s="26">
        <v>1</v>
      </c>
      <c r="F133" s="26">
        <v>17</v>
      </c>
      <c r="G133" s="26" t="b">
        <v>0</v>
      </c>
      <c r="H133" s="26">
        <v>4</v>
      </c>
      <c r="I133" s="26">
        <v>1</v>
      </c>
      <c r="J133" s="26">
        <v>0.22</v>
      </c>
      <c r="K133" s="26">
        <v>132</v>
      </c>
      <c r="L133" s="26">
        <v>0.2273</v>
      </c>
      <c r="M133" s="26">
        <v>0.51</v>
      </c>
      <c r="N133" s="26">
        <v>0.16420000000000001</v>
      </c>
      <c r="O133" s="26">
        <v>9</v>
      </c>
      <c r="P133" s="26">
        <v>163</v>
      </c>
      <c r="Q133" s="34">
        <v>172</v>
      </c>
    </row>
    <row r="134" spans="1:17" x14ac:dyDescent="0.25">
      <c r="A134" s="32">
        <v>133</v>
      </c>
      <c r="B134" s="33">
        <v>40549</v>
      </c>
      <c r="C134" s="26">
        <v>1</v>
      </c>
      <c r="D134" s="26">
        <v>0</v>
      </c>
      <c r="E134" s="26">
        <v>1</v>
      </c>
      <c r="F134" s="26">
        <v>18</v>
      </c>
      <c r="G134" s="26" t="b">
        <v>0</v>
      </c>
      <c r="H134" s="26">
        <v>4</v>
      </c>
      <c r="I134" s="26">
        <v>1</v>
      </c>
      <c r="J134" s="26">
        <v>0.22</v>
      </c>
      <c r="K134" s="26">
        <v>133</v>
      </c>
      <c r="L134" s="26">
        <v>0.2273</v>
      </c>
      <c r="M134" s="26">
        <v>0.51</v>
      </c>
      <c r="N134" s="26">
        <v>0.1343</v>
      </c>
      <c r="O134" s="26">
        <v>5</v>
      </c>
      <c r="P134" s="26">
        <v>158</v>
      </c>
      <c r="Q134" s="34">
        <v>163</v>
      </c>
    </row>
    <row r="135" spans="1:17" x14ac:dyDescent="0.25">
      <c r="A135" s="32">
        <v>134</v>
      </c>
      <c r="B135" s="33">
        <v>40549</v>
      </c>
      <c r="C135" s="26">
        <v>1</v>
      </c>
      <c r="D135" s="26">
        <v>0</v>
      </c>
      <c r="E135" s="26">
        <v>1</v>
      </c>
      <c r="F135" s="26">
        <v>19</v>
      </c>
      <c r="G135" s="26" t="b">
        <v>0</v>
      </c>
      <c r="H135" s="26">
        <v>4</v>
      </c>
      <c r="I135" s="26">
        <v>1</v>
      </c>
      <c r="J135" s="26">
        <v>0.22</v>
      </c>
      <c r="K135" s="26">
        <v>134</v>
      </c>
      <c r="L135" s="26">
        <v>0.2576</v>
      </c>
      <c r="M135" s="26">
        <v>0.55000000000000004</v>
      </c>
      <c r="N135" s="26">
        <v>8.9599999999999999E-2</v>
      </c>
      <c r="O135" s="26">
        <v>3</v>
      </c>
      <c r="P135" s="26">
        <v>109</v>
      </c>
      <c r="Q135" s="34">
        <v>112</v>
      </c>
    </row>
    <row r="136" spans="1:17" x14ac:dyDescent="0.25">
      <c r="A136" s="32">
        <v>135</v>
      </c>
      <c r="B136" s="33">
        <v>40549</v>
      </c>
      <c r="C136" s="26">
        <v>1</v>
      </c>
      <c r="D136" s="26">
        <v>0</v>
      </c>
      <c r="E136" s="26">
        <v>1</v>
      </c>
      <c r="F136" s="26">
        <v>20</v>
      </c>
      <c r="G136" s="26" t="b">
        <v>0</v>
      </c>
      <c r="H136" s="26">
        <v>4</v>
      </c>
      <c r="I136" s="26">
        <v>1</v>
      </c>
      <c r="J136" s="26">
        <v>0.2</v>
      </c>
      <c r="K136" s="26">
        <v>135</v>
      </c>
      <c r="L136" s="26">
        <v>0.21210000000000001</v>
      </c>
      <c r="M136" s="26">
        <v>0.51</v>
      </c>
      <c r="N136" s="26">
        <v>0.16420000000000001</v>
      </c>
      <c r="O136" s="26">
        <v>3</v>
      </c>
      <c r="P136" s="26">
        <v>66</v>
      </c>
      <c r="Q136" s="34">
        <v>69</v>
      </c>
    </row>
    <row r="137" spans="1:17" x14ac:dyDescent="0.25">
      <c r="A137" s="32">
        <v>136</v>
      </c>
      <c r="B137" s="33">
        <v>40549</v>
      </c>
      <c r="C137" s="26">
        <v>1</v>
      </c>
      <c r="D137" s="26">
        <v>0</v>
      </c>
      <c r="E137" s="26">
        <v>1</v>
      </c>
      <c r="F137" s="26">
        <v>21</v>
      </c>
      <c r="G137" s="26" t="b">
        <v>0</v>
      </c>
      <c r="H137" s="26">
        <v>4</v>
      </c>
      <c r="I137" s="26">
        <v>2</v>
      </c>
      <c r="J137" s="26">
        <v>0.22</v>
      </c>
      <c r="K137" s="26">
        <v>136</v>
      </c>
      <c r="L137" s="26">
        <v>0.21210000000000001</v>
      </c>
      <c r="M137" s="26">
        <v>0.55000000000000004</v>
      </c>
      <c r="N137" s="26">
        <v>0.22389999999999999</v>
      </c>
      <c r="O137" s="26">
        <v>0</v>
      </c>
      <c r="P137" s="26">
        <v>48</v>
      </c>
      <c r="Q137" s="34">
        <v>48</v>
      </c>
    </row>
    <row r="138" spans="1:17" x14ac:dyDescent="0.25">
      <c r="A138" s="32">
        <v>137</v>
      </c>
      <c r="B138" s="33">
        <v>40549</v>
      </c>
      <c r="C138" s="26">
        <v>1</v>
      </c>
      <c r="D138" s="26">
        <v>0</v>
      </c>
      <c r="E138" s="26">
        <v>1</v>
      </c>
      <c r="F138" s="26">
        <v>22</v>
      </c>
      <c r="G138" s="26" t="b">
        <v>0</v>
      </c>
      <c r="H138" s="26">
        <v>4</v>
      </c>
      <c r="I138" s="26">
        <v>2</v>
      </c>
      <c r="J138" s="26">
        <v>0.22</v>
      </c>
      <c r="K138" s="26">
        <v>137</v>
      </c>
      <c r="L138" s="26">
        <v>0.21210000000000001</v>
      </c>
      <c r="M138" s="26">
        <v>0.51</v>
      </c>
      <c r="N138" s="26">
        <v>0.28360000000000002</v>
      </c>
      <c r="O138" s="26">
        <v>1</v>
      </c>
      <c r="P138" s="26">
        <v>51</v>
      </c>
      <c r="Q138" s="34">
        <v>52</v>
      </c>
    </row>
    <row r="139" spans="1:17" x14ac:dyDescent="0.25">
      <c r="A139" s="32">
        <v>138</v>
      </c>
      <c r="B139" s="33">
        <v>40549</v>
      </c>
      <c r="C139" s="26">
        <v>1</v>
      </c>
      <c r="D139" s="26">
        <v>0</v>
      </c>
      <c r="E139" s="26">
        <v>1</v>
      </c>
      <c r="F139" s="26">
        <v>23</v>
      </c>
      <c r="G139" s="26" t="b">
        <v>0</v>
      </c>
      <c r="H139" s="26">
        <v>4</v>
      </c>
      <c r="I139" s="26">
        <v>2</v>
      </c>
      <c r="J139" s="26">
        <v>0.2</v>
      </c>
      <c r="K139" s="26">
        <v>138</v>
      </c>
      <c r="L139" s="26">
        <v>0.19700000000000001</v>
      </c>
      <c r="M139" s="26">
        <v>0.59</v>
      </c>
      <c r="N139" s="26">
        <v>0.19400000000000001</v>
      </c>
      <c r="O139" s="26">
        <v>4</v>
      </c>
      <c r="P139" s="26">
        <v>19</v>
      </c>
      <c r="Q139" s="34">
        <v>23</v>
      </c>
    </row>
    <row r="140" spans="1:17" x14ac:dyDescent="0.25">
      <c r="A140" s="32">
        <v>139</v>
      </c>
      <c r="B140" s="33">
        <v>40550</v>
      </c>
      <c r="C140" s="26">
        <v>1</v>
      </c>
      <c r="D140" s="26">
        <v>0</v>
      </c>
      <c r="E140" s="26">
        <v>1</v>
      </c>
      <c r="F140" s="26">
        <v>0</v>
      </c>
      <c r="G140" s="26" t="b">
        <v>0</v>
      </c>
      <c r="H140" s="26">
        <v>5</v>
      </c>
      <c r="I140" s="26">
        <v>2</v>
      </c>
      <c r="J140" s="26">
        <v>0.2</v>
      </c>
      <c r="K140" s="26">
        <v>139</v>
      </c>
      <c r="L140" s="26">
        <v>0.19700000000000001</v>
      </c>
      <c r="M140" s="26">
        <v>0.64</v>
      </c>
      <c r="N140" s="26">
        <v>0.19400000000000001</v>
      </c>
      <c r="O140" s="26">
        <v>4</v>
      </c>
      <c r="P140" s="26">
        <v>13</v>
      </c>
      <c r="Q140" s="34">
        <v>17</v>
      </c>
    </row>
    <row r="141" spans="1:17" x14ac:dyDescent="0.25">
      <c r="A141" s="32">
        <v>140</v>
      </c>
      <c r="B141" s="33">
        <v>40550</v>
      </c>
      <c r="C141" s="26">
        <v>1</v>
      </c>
      <c r="D141" s="26">
        <v>0</v>
      </c>
      <c r="E141" s="26">
        <v>1</v>
      </c>
      <c r="F141" s="26">
        <v>1</v>
      </c>
      <c r="G141" s="26" t="b">
        <v>0</v>
      </c>
      <c r="H141" s="26">
        <v>5</v>
      </c>
      <c r="I141" s="26">
        <v>2</v>
      </c>
      <c r="J141" s="26">
        <v>0.2</v>
      </c>
      <c r="K141" s="26">
        <v>140</v>
      </c>
      <c r="L141" s="26">
        <v>0.19700000000000001</v>
      </c>
      <c r="M141" s="26">
        <v>0.69</v>
      </c>
      <c r="N141" s="26">
        <v>0.22389999999999999</v>
      </c>
      <c r="O141" s="26">
        <v>2</v>
      </c>
      <c r="P141" s="26">
        <v>5</v>
      </c>
      <c r="Q141" s="34">
        <v>7</v>
      </c>
    </row>
    <row r="142" spans="1:17" x14ac:dyDescent="0.25">
      <c r="A142" s="32">
        <v>141</v>
      </c>
      <c r="B142" s="33">
        <v>40550</v>
      </c>
      <c r="C142" s="26">
        <v>1</v>
      </c>
      <c r="D142" s="26">
        <v>0</v>
      </c>
      <c r="E142" s="26">
        <v>1</v>
      </c>
      <c r="F142" s="26">
        <v>2</v>
      </c>
      <c r="G142" s="26" t="b">
        <v>0</v>
      </c>
      <c r="H142" s="26">
        <v>5</v>
      </c>
      <c r="I142" s="26">
        <v>2</v>
      </c>
      <c r="J142" s="26">
        <v>0.2</v>
      </c>
      <c r="K142" s="26">
        <v>141</v>
      </c>
      <c r="L142" s="26">
        <v>0.19700000000000001</v>
      </c>
      <c r="M142" s="26">
        <v>0.69</v>
      </c>
      <c r="N142" s="26">
        <v>0.22389999999999999</v>
      </c>
      <c r="O142" s="26">
        <v>0</v>
      </c>
      <c r="P142" s="26">
        <v>1</v>
      </c>
      <c r="Q142" s="34">
        <v>1</v>
      </c>
    </row>
    <row r="143" spans="1:17" x14ac:dyDescent="0.25">
      <c r="A143" s="32">
        <v>142</v>
      </c>
      <c r="B143" s="33">
        <v>40550</v>
      </c>
      <c r="C143" s="26">
        <v>1</v>
      </c>
      <c r="D143" s="26">
        <v>0</v>
      </c>
      <c r="E143" s="26">
        <v>1</v>
      </c>
      <c r="F143" s="26">
        <v>4</v>
      </c>
      <c r="G143" s="26" t="b">
        <v>0</v>
      </c>
      <c r="H143" s="26">
        <v>5</v>
      </c>
      <c r="I143" s="26">
        <v>2</v>
      </c>
      <c r="J143" s="26">
        <v>0.2</v>
      </c>
      <c r="K143" s="26">
        <v>142</v>
      </c>
      <c r="L143" s="26">
        <v>0.21210000000000001</v>
      </c>
      <c r="M143" s="26">
        <v>0.69</v>
      </c>
      <c r="N143" s="26">
        <v>0.1343</v>
      </c>
      <c r="O143" s="26">
        <v>0</v>
      </c>
      <c r="P143" s="26">
        <v>1</v>
      </c>
      <c r="Q143" s="34">
        <v>1</v>
      </c>
    </row>
    <row r="144" spans="1:17" x14ac:dyDescent="0.25">
      <c r="A144" s="32">
        <v>143</v>
      </c>
      <c r="B144" s="33">
        <v>40550</v>
      </c>
      <c r="C144" s="26">
        <v>1</v>
      </c>
      <c r="D144" s="26">
        <v>0</v>
      </c>
      <c r="E144" s="26">
        <v>1</v>
      </c>
      <c r="F144" s="26">
        <v>5</v>
      </c>
      <c r="G144" s="26" t="b">
        <v>0</v>
      </c>
      <c r="H144" s="26">
        <v>5</v>
      </c>
      <c r="I144" s="26">
        <v>3</v>
      </c>
      <c r="J144" s="26">
        <v>0.22</v>
      </c>
      <c r="K144" s="26">
        <v>143</v>
      </c>
      <c r="L144" s="26">
        <v>0.2727</v>
      </c>
      <c r="M144" s="26">
        <v>0.55000000000000004</v>
      </c>
      <c r="N144" s="26">
        <v>0</v>
      </c>
      <c r="O144" s="26">
        <v>0</v>
      </c>
      <c r="P144" s="26">
        <v>5</v>
      </c>
      <c r="Q144" s="34">
        <v>5</v>
      </c>
    </row>
    <row r="145" spans="1:17" x14ac:dyDescent="0.25">
      <c r="A145" s="32">
        <v>144</v>
      </c>
      <c r="B145" s="33">
        <v>40550</v>
      </c>
      <c r="C145" s="26">
        <v>1</v>
      </c>
      <c r="D145" s="26">
        <v>0</v>
      </c>
      <c r="E145" s="26">
        <v>1</v>
      </c>
      <c r="F145" s="26">
        <v>6</v>
      </c>
      <c r="G145" s="26" t="b">
        <v>0</v>
      </c>
      <c r="H145" s="26">
        <v>5</v>
      </c>
      <c r="I145" s="26">
        <v>2</v>
      </c>
      <c r="J145" s="26">
        <v>0.2</v>
      </c>
      <c r="K145" s="26">
        <v>144</v>
      </c>
      <c r="L145" s="26">
        <v>0.2576</v>
      </c>
      <c r="M145" s="26">
        <v>0.69</v>
      </c>
      <c r="N145" s="26">
        <v>0</v>
      </c>
      <c r="O145" s="26">
        <v>8</v>
      </c>
      <c r="P145" s="26">
        <v>26</v>
      </c>
      <c r="Q145" s="34">
        <v>34</v>
      </c>
    </row>
    <row r="146" spans="1:17" x14ac:dyDescent="0.25">
      <c r="A146" s="32">
        <v>145</v>
      </c>
      <c r="B146" s="33">
        <v>40550</v>
      </c>
      <c r="C146" s="26">
        <v>1</v>
      </c>
      <c r="D146" s="26">
        <v>0</v>
      </c>
      <c r="E146" s="26">
        <v>1</v>
      </c>
      <c r="F146" s="26">
        <v>7</v>
      </c>
      <c r="G146" s="26" t="b">
        <v>0</v>
      </c>
      <c r="H146" s="26">
        <v>5</v>
      </c>
      <c r="I146" s="26">
        <v>1</v>
      </c>
      <c r="J146" s="26">
        <v>0.2</v>
      </c>
      <c r="K146" s="26">
        <v>145</v>
      </c>
      <c r="L146" s="26">
        <v>0.21210000000000001</v>
      </c>
      <c r="M146" s="26">
        <v>0.69</v>
      </c>
      <c r="N146" s="26">
        <v>0.1343</v>
      </c>
      <c r="O146" s="26">
        <v>8</v>
      </c>
      <c r="P146" s="26">
        <v>76</v>
      </c>
      <c r="Q146" s="34">
        <v>84</v>
      </c>
    </row>
    <row r="147" spans="1:17" x14ac:dyDescent="0.25">
      <c r="A147" s="32">
        <v>146</v>
      </c>
      <c r="B147" s="33">
        <v>40550</v>
      </c>
      <c r="C147" s="26">
        <v>1</v>
      </c>
      <c r="D147" s="26">
        <v>0</v>
      </c>
      <c r="E147" s="26">
        <v>1</v>
      </c>
      <c r="F147" s="26">
        <v>8</v>
      </c>
      <c r="G147" s="26" t="b">
        <v>0</v>
      </c>
      <c r="H147" s="26">
        <v>5</v>
      </c>
      <c r="I147" s="26">
        <v>1</v>
      </c>
      <c r="J147" s="26">
        <v>0.2</v>
      </c>
      <c r="K147" s="26">
        <v>146</v>
      </c>
      <c r="L147" s="26">
        <v>0.19700000000000001</v>
      </c>
      <c r="M147" s="26">
        <v>0.51</v>
      </c>
      <c r="N147" s="26">
        <v>0.25369999999999998</v>
      </c>
      <c r="O147" s="26">
        <v>20</v>
      </c>
      <c r="P147" s="26">
        <v>190</v>
      </c>
      <c r="Q147" s="34">
        <v>210</v>
      </c>
    </row>
    <row r="148" spans="1:17" x14ac:dyDescent="0.25">
      <c r="A148" s="32">
        <v>147</v>
      </c>
      <c r="B148" s="33">
        <v>40550</v>
      </c>
      <c r="C148" s="26">
        <v>1</v>
      </c>
      <c r="D148" s="26">
        <v>0</v>
      </c>
      <c r="E148" s="26">
        <v>1</v>
      </c>
      <c r="F148" s="26">
        <v>9</v>
      </c>
      <c r="G148" s="26" t="b">
        <v>0</v>
      </c>
      <c r="H148" s="26">
        <v>5</v>
      </c>
      <c r="I148" s="26">
        <v>1</v>
      </c>
      <c r="J148" s="26">
        <v>0.2</v>
      </c>
      <c r="K148" s="26">
        <v>147</v>
      </c>
      <c r="L148" s="26">
        <v>0.18179999999999999</v>
      </c>
      <c r="M148" s="26">
        <v>0.47</v>
      </c>
      <c r="N148" s="26">
        <v>0.29849999999999999</v>
      </c>
      <c r="O148" s="26">
        <v>9</v>
      </c>
      <c r="P148" s="26">
        <v>125</v>
      </c>
      <c r="Q148" s="34">
        <v>134</v>
      </c>
    </row>
    <row r="149" spans="1:17" x14ac:dyDescent="0.25">
      <c r="A149" s="32">
        <v>148</v>
      </c>
      <c r="B149" s="33">
        <v>40550</v>
      </c>
      <c r="C149" s="26">
        <v>1</v>
      </c>
      <c r="D149" s="26">
        <v>0</v>
      </c>
      <c r="E149" s="26">
        <v>1</v>
      </c>
      <c r="F149" s="26">
        <v>10</v>
      </c>
      <c r="G149" s="26" t="b">
        <v>0</v>
      </c>
      <c r="H149" s="26">
        <v>5</v>
      </c>
      <c r="I149" s="26">
        <v>1</v>
      </c>
      <c r="J149" s="26">
        <v>0.22</v>
      </c>
      <c r="K149" s="26">
        <v>148</v>
      </c>
      <c r="L149" s="26">
        <v>0.19700000000000001</v>
      </c>
      <c r="M149" s="26">
        <v>0.37</v>
      </c>
      <c r="N149" s="26">
        <v>0.32840000000000003</v>
      </c>
      <c r="O149" s="26">
        <v>16</v>
      </c>
      <c r="P149" s="26">
        <v>47</v>
      </c>
      <c r="Q149" s="34">
        <v>63</v>
      </c>
    </row>
    <row r="150" spans="1:17" x14ac:dyDescent="0.25">
      <c r="A150" s="32">
        <v>149</v>
      </c>
      <c r="B150" s="33">
        <v>40550</v>
      </c>
      <c r="C150" s="26">
        <v>1</v>
      </c>
      <c r="D150" s="26">
        <v>0</v>
      </c>
      <c r="E150" s="26">
        <v>1</v>
      </c>
      <c r="F150" s="26">
        <v>11</v>
      </c>
      <c r="G150" s="26" t="b">
        <v>0</v>
      </c>
      <c r="H150" s="26">
        <v>5</v>
      </c>
      <c r="I150" s="26">
        <v>2</v>
      </c>
      <c r="J150" s="26">
        <v>0.2</v>
      </c>
      <c r="K150" s="26">
        <v>149</v>
      </c>
      <c r="L150" s="26">
        <v>0.19700000000000001</v>
      </c>
      <c r="M150" s="26">
        <v>0.4</v>
      </c>
      <c r="N150" s="26">
        <v>0.22389999999999999</v>
      </c>
      <c r="O150" s="26">
        <v>19</v>
      </c>
      <c r="P150" s="26">
        <v>48</v>
      </c>
      <c r="Q150" s="34">
        <v>67</v>
      </c>
    </row>
    <row r="151" spans="1:17" x14ac:dyDescent="0.25">
      <c r="A151" s="32">
        <v>150</v>
      </c>
      <c r="B151" s="33">
        <v>40550</v>
      </c>
      <c r="C151" s="26">
        <v>1</v>
      </c>
      <c r="D151" s="26">
        <v>0</v>
      </c>
      <c r="E151" s="26">
        <v>1</v>
      </c>
      <c r="F151" s="26">
        <v>12</v>
      </c>
      <c r="G151" s="26" t="b">
        <v>0</v>
      </c>
      <c r="H151" s="26">
        <v>5</v>
      </c>
      <c r="I151" s="26">
        <v>2</v>
      </c>
      <c r="J151" s="26">
        <v>0.2</v>
      </c>
      <c r="K151" s="26">
        <v>150</v>
      </c>
      <c r="L151" s="26">
        <v>0.19700000000000001</v>
      </c>
      <c r="M151" s="26">
        <v>0.37</v>
      </c>
      <c r="N151" s="26">
        <v>0.25369999999999998</v>
      </c>
      <c r="O151" s="26">
        <v>9</v>
      </c>
      <c r="P151" s="26">
        <v>50</v>
      </c>
      <c r="Q151" s="34">
        <v>59</v>
      </c>
    </row>
    <row r="152" spans="1:17" x14ac:dyDescent="0.25">
      <c r="A152" s="32">
        <v>151</v>
      </c>
      <c r="B152" s="33">
        <v>40550</v>
      </c>
      <c r="C152" s="26">
        <v>1</v>
      </c>
      <c r="D152" s="26">
        <v>0</v>
      </c>
      <c r="E152" s="26">
        <v>1</v>
      </c>
      <c r="F152" s="26">
        <v>13</v>
      </c>
      <c r="G152" s="26" t="b">
        <v>0</v>
      </c>
      <c r="H152" s="26">
        <v>5</v>
      </c>
      <c r="I152" s="26">
        <v>2</v>
      </c>
      <c r="J152" s="26">
        <v>0.2</v>
      </c>
      <c r="K152" s="26">
        <v>151</v>
      </c>
      <c r="L152" s="26">
        <v>0.18179999999999999</v>
      </c>
      <c r="M152" s="26">
        <v>0.37</v>
      </c>
      <c r="N152" s="26">
        <v>0.28360000000000002</v>
      </c>
      <c r="O152" s="26">
        <v>9</v>
      </c>
      <c r="P152" s="26">
        <v>64</v>
      </c>
      <c r="Q152" s="34">
        <v>73</v>
      </c>
    </row>
    <row r="153" spans="1:17" x14ac:dyDescent="0.25">
      <c r="A153" s="32">
        <v>152</v>
      </c>
      <c r="B153" s="33">
        <v>40550</v>
      </c>
      <c r="C153" s="26">
        <v>1</v>
      </c>
      <c r="D153" s="26">
        <v>0</v>
      </c>
      <c r="E153" s="26">
        <v>1</v>
      </c>
      <c r="F153" s="26">
        <v>14</v>
      </c>
      <c r="G153" s="26" t="b">
        <v>0</v>
      </c>
      <c r="H153" s="26">
        <v>5</v>
      </c>
      <c r="I153" s="26">
        <v>2</v>
      </c>
      <c r="J153" s="26">
        <v>0.2</v>
      </c>
      <c r="K153" s="26">
        <v>152</v>
      </c>
      <c r="L153" s="26">
        <v>0.19700000000000001</v>
      </c>
      <c r="M153" s="26">
        <v>0.4</v>
      </c>
      <c r="N153" s="26">
        <v>0.25369999999999998</v>
      </c>
      <c r="O153" s="26">
        <v>7</v>
      </c>
      <c r="P153" s="26">
        <v>43</v>
      </c>
      <c r="Q153" s="34">
        <v>50</v>
      </c>
    </row>
    <row r="154" spans="1:17" x14ac:dyDescent="0.25">
      <c r="A154" s="32">
        <v>153</v>
      </c>
      <c r="B154" s="33">
        <v>40550</v>
      </c>
      <c r="C154" s="26">
        <v>1</v>
      </c>
      <c r="D154" s="26">
        <v>0</v>
      </c>
      <c r="E154" s="26">
        <v>1</v>
      </c>
      <c r="F154" s="26">
        <v>15</v>
      </c>
      <c r="G154" s="26" t="b">
        <v>0</v>
      </c>
      <c r="H154" s="26">
        <v>5</v>
      </c>
      <c r="I154" s="26">
        <v>2</v>
      </c>
      <c r="J154" s="26">
        <v>0.2</v>
      </c>
      <c r="K154" s="26">
        <v>153</v>
      </c>
      <c r="L154" s="26">
        <v>0.21210000000000001</v>
      </c>
      <c r="M154" s="26">
        <v>0.37</v>
      </c>
      <c r="N154" s="26">
        <v>0.16420000000000001</v>
      </c>
      <c r="O154" s="26">
        <v>9</v>
      </c>
      <c r="P154" s="26">
        <v>63</v>
      </c>
      <c r="Q154" s="34">
        <v>72</v>
      </c>
    </row>
    <row r="155" spans="1:17" x14ac:dyDescent="0.25">
      <c r="A155" s="32">
        <v>154</v>
      </c>
      <c r="B155" s="33">
        <v>40550</v>
      </c>
      <c r="C155" s="26">
        <v>1</v>
      </c>
      <c r="D155" s="26">
        <v>0</v>
      </c>
      <c r="E155" s="26">
        <v>1</v>
      </c>
      <c r="F155" s="26">
        <v>16</v>
      </c>
      <c r="G155" s="26" t="b">
        <v>0</v>
      </c>
      <c r="H155" s="26">
        <v>5</v>
      </c>
      <c r="I155" s="26">
        <v>2</v>
      </c>
      <c r="J155" s="26">
        <v>0.2</v>
      </c>
      <c r="K155" s="26">
        <v>154</v>
      </c>
      <c r="L155" s="26">
        <v>0.21210000000000001</v>
      </c>
      <c r="M155" s="26">
        <v>0.37</v>
      </c>
      <c r="N155" s="26">
        <v>0.16420000000000001</v>
      </c>
      <c r="O155" s="26">
        <v>5</v>
      </c>
      <c r="P155" s="26">
        <v>82</v>
      </c>
      <c r="Q155" s="34">
        <v>87</v>
      </c>
    </row>
    <row r="156" spans="1:17" x14ac:dyDescent="0.25">
      <c r="A156" s="32">
        <v>155</v>
      </c>
      <c r="B156" s="33">
        <v>40550</v>
      </c>
      <c r="C156" s="26">
        <v>1</v>
      </c>
      <c r="D156" s="26">
        <v>0</v>
      </c>
      <c r="E156" s="26">
        <v>1</v>
      </c>
      <c r="F156" s="26">
        <v>17</v>
      </c>
      <c r="G156" s="26" t="b">
        <v>0</v>
      </c>
      <c r="H156" s="26">
        <v>5</v>
      </c>
      <c r="I156" s="26">
        <v>2</v>
      </c>
      <c r="J156" s="26">
        <v>0.2</v>
      </c>
      <c r="K156" s="26">
        <v>155</v>
      </c>
      <c r="L156" s="26">
        <v>0.2576</v>
      </c>
      <c r="M156" s="26">
        <v>0.37</v>
      </c>
      <c r="N156" s="26">
        <v>0</v>
      </c>
      <c r="O156" s="26">
        <v>9</v>
      </c>
      <c r="P156" s="26">
        <v>178</v>
      </c>
      <c r="Q156" s="34">
        <v>187</v>
      </c>
    </row>
    <row r="157" spans="1:17" x14ac:dyDescent="0.25">
      <c r="A157" s="32">
        <v>156</v>
      </c>
      <c r="B157" s="33">
        <v>40550</v>
      </c>
      <c r="C157" s="26">
        <v>1</v>
      </c>
      <c r="D157" s="26">
        <v>0</v>
      </c>
      <c r="E157" s="26">
        <v>1</v>
      </c>
      <c r="F157" s="26">
        <v>18</v>
      </c>
      <c r="G157" s="26" t="b">
        <v>0</v>
      </c>
      <c r="H157" s="26">
        <v>5</v>
      </c>
      <c r="I157" s="26">
        <v>1</v>
      </c>
      <c r="J157" s="26">
        <v>0.2</v>
      </c>
      <c r="K157" s="26">
        <v>156</v>
      </c>
      <c r="L157" s="26">
        <v>0.2273</v>
      </c>
      <c r="M157" s="26">
        <v>0.4</v>
      </c>
      <c r="N157" s="26">
        <v>8.9599999999999999E-2</v>
      </c>
      <c r="O157" s="26">
        <v>7</v>
      </c>
      <c r="P157" s="26">
        <v>116</v>
      </c>
      <c r="Q157" s="34">
        <v>123</v>
      </c>
    </row>
    <row r="158" spans="1:17" x14ac:dyDescent="0.25">
      <c r="A158" s="32">
        <v>157</v>
      </c>
      <c r="B158" s="33">
        <v>40550</v>
      </c>
      <c r="C158" s="26">
        <v>1</v>
      </c>
      <c r="D158" s="26">
        <v>0</v>
      </c>
      <c r="E158" s="26">
        <v>1</v>
      </c>
      <c r="F158" s="26">
        <v>19</v>
      </c>
      <c r="G158" s="26" t="b">
        <v>0</v>
      </c>
      <c r="H158" s="26">
        <v>5</v>
      </c>
      <c r="I158" s="26">
        <v>1</v>
      </c>
      <c r="J158" s="26">
        <v>0.16</v>
      </c>
      <c r="K158" s="26">
        <v>157</v>
      </c>
      <c r="L158" s="26">
        <v>0.19700000000000001</v>
      </c>
      <c r="M158" s="26">
        <v>0.55000000000000004</v>
      </c>
      <c r="N158" s="26">
        <v>8.9599999999999999E-2</v>
      </c>
      <c r="O158" s="26">
        <v>3</v>
      </c>
      <c r="P158" s="26">
        <v>92</v>
      </c>
      <c r="Q158" s="34">
        <v>95</v>
      </c>
    </row>
    <row r="159" spans="1:17" x14ac:dyDescent="0.25">
      <c r="A159" s="32">
        <v>158</v>
      </c>
      <c r="B159" s="33">
        <v>40550</v>
      </c>
      <c r="C159" s="26">
        <v>1</v>
      </c>
      <c r="D159" s="26">
        <v>0</v>
      </c>
      <c r="E159" s="26">
        <v>1</v>
      </c>
      <c r="F159" s="26">
        <v>20</v>
      </c>
      <c r="G159" s="26" t="b">
        <v>0</v>
      </c>
      <c r="H159" s="26">
        <v>5</v>
      </c>
      <c r="I159" s="26">
        <v>1</v>
      </c>
      <c r="J159" s="26">
        <v>0.18</v>
      </c>
      <c r="K159" s="26">
        <v>158</v>
      </c>
      <c r="L159" s="26">
        <v>0.21210000000000001</v>
      </c>
      <c r="M159" s="26">
        <v>0.47</v>
      </c>
      <c r="N159" s="26">
        <v>0.1045</v>
      </c>
      <c r="O159" s="26">
        <v>1</v>
      </c>
      <c r="P159" s="26">
        <v>50</v>
      </c>
      <c r="Q159" s="34">
        <v>51</v>
      </c>
    </row>
    <row r="160" spans="1:17" x14ac:dyDescent="0.25">
      <c r="A160" s="32">
        <v>159</v>
      </c>
      <c r="B160" s="33">
        <v>40550</v>
      </c>
      <c r="C160" s="26">
        <v>1</v>
      </c>
      <c r="D160" s="26">
        <v>0</v>
      </c>
      <c r="E160" s="26">
        <v>1</v>
      </c>
      <c r="F160" s="26">
        <v>21</v>
      </c>
      <c r="G160" s="26" t="b">
        <v>0</v>
      </c>
      <c r="H160" s="26">
        <v>5</v>
      </c>
      <c r="I160" s="26">
        <v>1</v>
      </c>
      <c r="J160" s="26">
        <v>0.18</v>
      </c>
      <c r="K160" s="26">
        <v>159</v>
      </c>
      <c r="L160" s="26">
        <v>0.19700000000000001</v>
      </c>
      <c r="M160" s="26">
        <v>0.47</v>
      </c>
      <c r="N160" s="26">
        <v>0.1343</v>
      </c>
      <c r="O160" s="26">
        <v>0</v>
      </c>
      <c r="P160" s="26">
        <v>39</v>
      </c>
      <c r="Q160" s="34">
        <v>39</v>
      </c>
    </row>
    <row r="161" spans="1:17" x14ac:dyDescent="0.25">
      <c r="A161" s="32">
        <v>160</v>
      </c>
      <c r="B161" s="33">
        <v>40550</v>
      </c>
      <c r="C161" s="26">
        <v>1</v>
      </c>
      <c r="D161" s="26">
        <v>0</v>
      </c>
      <c r="E161" s="26">
        <v>1</v>
      </c>
      <c r="F161" s="26">
        <v>22</v>
      </c>
      <c r="G161" s="26" t="b">
        <v>0</v>
      </c>
      <c r="H161" s="26">
        <v>5</v>
      </c>
      <c r="I161" s="26">
        <v>2</v>
      </c>
      <c r="J161" s="26">
        <v>0.18</v>
      </c>
      <c r="K161" s="26">
        <v>160</v>
      </c>
      <c r="L161" s="26">
        <v>0.19700000000000001</v>
      </c>
      <c r="M161" s="26">
        <v>0.43</v>
      </c>
      <c r="N161" s="26">
        <v>0.16420000000000001</v>
      </c>
      <c r="O161" s="26">
        <v>2</v>
      </c>
      <c r="P161" s="26">
        <v>34</v>
      </c>
      <c r="Q161" s="34">
        <v>36</v>
      </c>
    </row>
    <row r="162" spans="1:17" x14ac:dyDescent="0.25">
      <c r="A162" s="32">
        <v>161</v>
      </c>
      <c r="B162" s="33">
        <v>40550</v>
      </c>
      <c r="C162" s="26">
        <v>1</v>
      </c>
      <c r="D162" s="26">
        <v>0</v>
      </c>
      <c r="E162" s="26">
        <v>1</v>
      </c>
      <c r="F162" s="26">
        <v>23</v>
      </c>
      <c r="G162" s="26" t="b">
        <v>0</v>
      </c>
      <c r="H162" s="26">
        <v>5</v>
      </c>
      <c r="I162" s="26">
        <v>2</v>
      </c>
      <c r="J162" s="26">
        <v>0.18</v>
      </c>
      <c r="K162" s="26">
        <v>161</v>
      </c>
      <c r="L162" s="26">
        <v>0.19700000000000001</v>
      </c>
      <c r="M162" s="26">
        <v>0.51</v>
      </c>
      <c r="N162" s="26">
        <v>0.16420000000000001</v>
      </c>
      <c r="O162" s="26">
        <v>1</v>
      </c>
      <c r="P162" s="26">
        <v>14</v>
      </c>
      <c r="Q162" s="34">
        <v>15</v>
      </c>
    </row>
    <row r="163" spans="1:17" x14ac:dyDescent="0.25">
      <c r="A163" s="32">
        <v>162</v>
      </c>
      <c r="B163" s="33">
        <v>40551</v>
      </c>
      <c r="C163" s="26">
        <v>1</v>
      </c>
      <c r="D163" s="26">
        <v>0</v>
      </c>
      <c r="E163" s="26">
        <v>1</v>
      </c>
      <c r="F163" s="26">
        <v>0</v>
      </c>
      <c r="G163" s="26" t="b">
        <v>0</v>
      </c>
      <c r="H163" s="26">
        <v>6</v>
      </c>
      <c r="I163" s="26">
        <v>2</v>
      </c>
      <c r="J163" s="26">
        <v>0.18</v>
      </c>
      <c r="K163" s="26">
        <v>162</v>
      </c>
      <c r="L163" s="26">
        <v>0.19700000000000001</v>
      </c>
      <c r="M163" s="26">
        <v>0.51</v>
      </c>
      <c r="N163" s="26">
        <v>0.16420000000000001</v>
      </c>
      <c r="O163" s="26">
        <v>1</v>
      </c>
      <c r="P163" s="26">
        <v>24</v>
      </c>
      <c r="Q163" s="34">
        <v>25</v>
      </c>
    </row>
    <row r="164" spans="1:17" x14ac:dyDescent="0.25">
      <c r="A164" s="32">
        <v>163</v>
      </c>
      <c r="B164" s="33">
        <v>40551</v>
      </c>
      <c r="C164" s="26">
        <v>1</v>
      </c>
      <c r="D164" s="26">
        <v>0</v>
      </c>
      <c r="E164" s="26">
        <v>1</v>
      </c>
      <c r="F164" s="26">
        <v>1</v>
      </c>
      <c r="G164" s="26" t="b">
        <v>0</v>
      </c>
      <c r="H164" s="26">
        <v>6</v>
      </c>
      <c r="I164" s="26">
        <v>2</v>
      </c>
      <c r="J164" s="26">
        <v>0.18</v>
      </c>
      <c r="K164" s="26">
        <v>163</v>
      </c>
      <c r="L164" s="26">
        <v>0.21210000000000001</v>
      </c>
      <c r="M164" s="26">
        <v>0.55000000000000004</v>
      </c>
      <c r="N164" s="26">
        <v>8.9599999999999999E-2</v>
      </c>
      <c r="O164" s="26">
        <v>1</v>
      </c>
      <c r="P164" s="26">
        <v>15</v>
      </c>
      <c r="Q164" s="34">
        <v>16</v>
      </c>
    </row>
    <row r="165" spans="1:17" x14ac:dyDescent="0.25">
      <c r="A165" s="32">
        <v>164</v>
      </c>
      <c r="B165" s="33">
        <v>40551</v>
      </c>
      <c r="C165" s="26">
        <v>1</v>
      </c>
      <c r="D165" s="26">
        <v>0</v>
      </c>
      <c r="E165" s="26">
        <v>1</v>
      </c>
      <c r="F165" s="26">
        <v>2</v>
      </c>
      <c r="G165" s="26" t="b">
        <v>0</v>
      </c>
      <c r="H165" s="26">
        <v>6</v>
      </c>
      <c r="I165" s="26">
        <v>2</v>
      </c>
      <c r="J165" s="26">
        <v>0.18</v>
      </c>
      <c r="K165" s="26">
        <v>164</v>
      </c>
      <c r="L165" s="26">
        <v>0.2424</v>
      </c>
      <c r="M165" s="26">
        <v>0.55000000000000004</v>
      </c>
      <c r="N165" s="26">
        <v>0</v>
      </c>
      <c r="O165" s="26">
        <v>3</v>
      </c>
      <c r="P165" s="26">
        <v>13</v>
      </c>
      <c r="Q165" s="34">
        <v>16</v>
      </c>
    </row>
    <row r="166" spans="1:17" x14ac:dyDescent="0.25">
      <c r="A166" s="32">
        <v>165</v>
      </c>
      <c r="B166" s="33">
        <v>40551</v>
      </c>
      <c r="C166" s="26">
        <v>1</v>
      </c>
      <c r="D166" s="26">
        <v>0</v>
      </c>
      <c r="E166" s="26">
        <v>1</v>
      </c>
      <c r="F166" s="26">
        <v>3</v>
      </c>
      <c r="G166" s="26" t="b">
        <v>0</v>
      </c>
      <c r="H166" s="26">
        <v>6</v>
      </c>
      <c r="I166" s="26">
        <v>3</v>
      </c>
      <c r="J166" s="26">
        <v>0.18</v>
      </c>
      <c r="K166" s="26">
        <v>165</v>
      </c>
      <c r="L166" s="26">
        <v>0.19700000000000001</v>
      </c>
      <c r="M166" s="26">
        <v>0.55000000000000004</v>
      </c>
      <c r="N166" s="26">
        <v>0.16420000000000001</v>
      </c>
      <c r="O166" s="26">
        <v>0</v>
      </c>
      <c r="P166" s="26">
        <v>7</v>
      </c>
      <c r="Q166" s="34">
        <v>7</v>
      </c>
    </row>
    <row r="167" spans="1:17" x14ac:dyDescent="0.25">
      <c r="A167" s="32">
        <v>166</v>
      </c>
      <c r="B167" s="33">
        <v>40551</v>
      </c>
      <c r="C167" s="26">
        <v>1</v>
      </c>
      <c r="D167" s="26">
        <v>0</v>
      </c>
      <c r="E167" s="26">
        <v>1</v>
      </c>
      <c r="F167" s="26">
        <v>4</v>
      </c>
      <c r="G167" s="26" t="b">
        <v>0</v>
      </c>
      <c r="H167" s="26">
        <v>6</v>
      </c>
      <c r="I167" s="26">
        <v>3</v>
      </c>
      <c r="J167" s="26">
        <v>0.18</v>
      </c>
      <c r="K167" s="26">
        <v>166</v>
      </c>
      <c r="L167" s="26">
        <v>0.19700000000000001</v>
      </c>
      <c r="M167" s="26">
        <v>0.55000000000000004</v>
      </c>
      <c r="N167" s="26">
        <v>0.16420000000000001</v>
      </c>
      <c r="O167" s="26">
        <v>0</v>
      </c>
      <c r="P167" s="26">
        <v>1</v>
      </c>
      <c r="Q167" s="34">
        <v>1</v>
      </c>
    </row>
    <row r="168" spans="1:17" x14ac:dyDescent="0.25">
      <c r="A168" s="32">
        <v>167</v>
      </c>
      <c r="B168" s="33">
        <v>40551</v>
      </c>
      <c r="C168" s="26">
        <v>1</v>
      </c>
      <c r="D168" s="26">
        <v>0</v>
      </c>
      <c r="E168" s="26">
        <v>1</v>
      </c>
      <c r="F168" s="26">
        <v>5</v>
      </c>
      <c r="G168" s="26" t="b">
        <v>0</v>
      </c>
      <c r="H168" s="26">
        <v>6</v>
      </c>
      <c r="I168" s="26">
        <v>2</v>
      </c>
      <c r="J168" s="26">
        <v>0.16</v>
      </c>
      <c r="K168" s="26">
        <v>167</v>
      </c>
      <c r="L168" s="26">
        <v>0.16669999999999999</v>
      </c>
      <c r="M168" s="26">
        <v>0.74</v>
      </c>
      <c r="N168" s="26">
        <v>0.16420000000000001</v>
      </c>
      <c r="O168" s="26">
        <v>0</v>
      </c>
      <c r="P168" s="26">
        <v>5</v>
      </c>
      <c r="Q168" s="34">
        <v>5</v>
      </c>
    </row>
    <row r="169" spans="1:17" x14ac:dyDescent="0.25">
      <c r="A169" s="32">
        <v>168</v>
      </c>
      <c r="B169" s="33">
        <v>40551</v>
      </c>
      <c r="C169" s="26">
        <v>1</v>
      </c>
      <c r="D169" s="26">
        <v>0</v>
      </c>
      <c r="E169" s="26">
        <v>1</v>
      </c>
      <c r="F169" s="26">
        <v>6</v>
      </c>
      <c r="G169" s="26" t="b">
        <v>0</v>
      </c>
      <c r="H169" s="26">
        <v>6</v>
      </c>
      <c r="I169" s="26">
        <v>2</v>
      </c>
      <c r="J169" s="26">
        <v>0.16</v>
      </c>
      <c r="K169" s="26">
        <v>168</v>
      </c>
      <c r="L169" s="26">
        <v>0.16669999999999999</v>
      </c>
      <c r="M169" s="26">
        <v>0.74</v>
      </c>
      <c r="N169" s="26">
        <v>0.16420000000000001</v>
      </c>
      <c r="O169" s="26">
        <v>0</v>
      </c>
      <c r="P169" s="26">
        <v>2</v>
      </c>
      <c r="Q169" s="34">
        <v>2</v>
      </c>
    </row>
    <row r="170" spans="1:17" x14ac:dyDescent="0.25">
      <c r="A170" s="32">
        <v>169</v>
      </c>
      <c r="B170" s="33">
        <v>40551</v>
      </c>
      <c r="C170" s="26">
        <v>1</v>
      </c>
      <c r="D170" s="26">
        <v>0</v>
      </c>
      <c r="E170" s="26">
        <v>1</v>
      </c>
      <c r="F170" s="26">
        <v>7</v>
      </c>
      <c r="G170" s="26" t="b">
        <v>0</v>
      </c>
      <c r="H170" s="26">
        <v>6</v>
      </c>
      <c r="I170" s="26">
        <v>2</v>
      </c>
      <c r="J170" s="26">
        <v>0.16</v>
      </c>
      <c r="K170" s="26">
        <v>169</v>
      </c>
      <c r="L170" s="26">
        <v>0.18179999999999999</v>
      </c>
      <c r="M170" s="26">
        <v>0.74</v>
      </c>
      <c r="N170" s="26">
        <v>0.1045</v>
      </c>
      <c r="O170" s="26">
        <v>1</v>
      </c>
      <c r="P170" s="26">
        <v>8</v>
      </c>
      <c r="Q170" s="34">
        <v>9</v>
      </c>
    </row>
    <row r="171" spans="1:17" x14ac:dyDescent="0.25">
      <c r="A171" s="32">
        <v>170</v>
      </c>
      <c r="B171" s="33">
        <v>40551</v>
      </c>
      <c r="C171" s="26">
        <v>1</v>
      </c>
      <c r="D171" s="26">
        <v>0</v>
      </c>
      <c r="E171" s="26">
        <v>1</v>
      </c>
      <c r="F171" s="26">
        <v>8</v>
      </c>
      <c r="G171" s="26" t="b">
        <v>0</v>
      </c>
      <c r="H171" s="26">
        <v>6</v>
      </c>
      <c r="I171" s="26">
        <v>3</v>
      </c>
      <c r="J171" s="26">
        <v>0.16</v>
      </c>
      <c r="K171" s="26">
        <v>170</v>
      </c>
      <c r="L171" s="26">
        <v>0.18179999999999999</v>
      </c>
      <c r="M171" s="26">
        <v>0.93</v>
      </c>
      <c r="N171" s="26">
        <v>0.1045</v>
      </c>
      <c r="O171" s="26">
        <v>0</v>
      </c>
      <c r="P171" s="26">
        <v>15</v>
      </c>
      <c r="Q171" s="34">
        <v>15</v>
      </c>
    </row>
    <row r="172" spans="1:17" x14ac:dyDescent="0.25">
      <c r="A172" s="32">
        <v>171</v>
      </c>
      <c r="B172" s="33">
        <v>40551</v>
      </c>
      <c r="C172" s="26">
        <v>1</v>
      </c>
      <c r="D172" s="26">
        <v>0</v>
      </c>
      <c r="E172" s="26">
        <v>1</v>
      </c>
      <c r="F172" s="26">
        <v>9</v>
      </c>
      <c r="G172" s="26" t="b">
        <v>0</v>
      </c>
      <c r="H172" s="26">
        <v>6</v>
      </c>
      <c r="I172" s="26">
        <v>3</v>
      </c>
      <c r="J172" s="26">
        <v>0.16</v>
      </c>
      <c r="K172" s="26">
        <v>171</v>
      </c>
      <c r="L172" s="26">
        <v>0.18179999999999999</v>
      </c>
      <c r="M172" s="26">
        <v>0.93</v>
      </c>
      <c r="N172" s="26">
        <v>0.1045</v>
      </c>
      <c r="O172" s="26">
        <v>0</v>
      </c>
      <c r="P172" s="26">
        <v>20</v>
      </c>
      <c r="Q172" s="34">
        <v>20</v>
      </c>
    </row>
    <row r="173" spans="1:17" x14ac:dyDescent="0.25">
      <c r="A173" s="32">
        <v>172</v>
      </c>
      <c r="B173" s="33">
        <v>40551</v>
      </c>
      <c r="C173" s="26">
        <v>1</v>
      </c>
      <c r="D173" s="26">
        <v>0</v>
      </c>
      <c r="E173" s="26">
        <v>1</v>
      </c>
      <c r="F173" s="26">
        <v>10</v>
      </c>
      <c r="G173" s="26" t="b">
        <v>0</v>
      </c>
      <c r="H173" s="26">
        <v>6</v>
      </c>
      <c r="I173" s="26">
        <v>2</v>
      </c>
      <c r="J173" s="26">
        <v>0.18</v>
      </c>
      <c r="K173" s="26">
        <v>172</v>
      </c>
      <c r="L173" s="26">
        <v>0.19700000000000001</v>
      </c>
      <c r="M173" s="26">
        <v>0.8</v>
      </c>
      <c r="N173" s="26">
        <v>0.16420000000000001</v>
      </c>
      <c r="O173" s="26">
        <v>5</v>
      </c>
      <c r="P173" s="26">
        <v>56</v>
      </c>
      <c r="Q173" s="34">
        <v>61</v>
      </c>
    </row>
    <row r="174" spans="1:17" x14ac:dyDescent="0.25">
      <c r="A174" s="32">
        <v>173</v>
      </c>
      <c r="B174" s="33">
        <v>40551</v>
      </c>
      <c r="C174" s="26">
        <v>1</v>
      </c>
      <c r="D174" s="26">
        <v>0</v>
      </c>
      <c r="E174" s="26">
        <v>1</v>
      </c>
      <c r="F174" s="26">
        <v>11</v>
      </c>
      <c r="G174" s="26" t="b">
        <v>0</v>
      </c>
      <c r="H174" s="26">
        <v>6</v>
      </c>
      <c r="I174" s="26">
        <v>2</v>
      </c>
      <c r="J174" s="26">
        <v>0.2</v>
      </c>
      <c r="K174" s="26">
        <v>173</v>
      </c>
      <c r="L174" s="26">
        <v>0.18179999999999999</v>
      </c>
      <c r="M174" s="26">
        <v>0.69</v>
      </c>
      <c r="N174" s="26">
        <v>0.3881</v>
      </c>
      <c r="O174" s="26">
        <v>2</v>
      </c>
      <c r="P174" s="26">
        <v>60</v>
      </c>
      <c r="Q174" s="34">
        <v>62</v>
      </c>
    </row>
    <row r="175" spans="1:17" x14ac:dyDescent="0.25">
      <c r="A175" s="32">
        <v>174</v>
      </c>
      <c r="B175" s="33">
        <v>40551</v>
      </c>
      <c r="C175" s="26">
        <v>1</v>
      </c>
      <c r="D175" s="26">
        <v>0</v>
      </c>
      <c r="E175" s="26">
        <v>1</v>
      </c>
      <c r="F175" s="26">
        <v>12</v>
      </c>
      <c r="G175" s="26" t="b">
        <v>0</v>
      </c>
      <c r="H175" s="26">
        <v>6</v>
      </c>
      <c r="I175" s="26">
        <v>2</v>
      </c>
      <c r="J175" s="26">
        <v>0.2</v>
      </c>
      <c r="K175" s="26">
        <v>174</v>
      </c>
      <c r="L175" s="26">
        <v>0.18179999999999999</v>
      </c>
      <c r="M175" s="26">
        <v>0.59</v>
      </c>
      <c r="N175" s="26">
        <v>0.35820000000000002</v>
      </c>
      <c r="O175" s="26">
        <v>8</v>
      </c>
      <c r="P175" s="26">
        <v>90</v>
      </c>
      <c r="Q175" s="34">
        <v>98</v>
      </c>
    </row>
    <row r="176" spans="1:17" x14ac:dyDescent="0.25">
      <c r="A176" s="32">
        <v>175</v>
      </c>
      <c r="B176" s="33">
        <v>40551</v>
      </c>
      <c r="C176" s="26">
        <v>1</v>
      </c>
      <c r="D176" s="26">
        <v>0</v>
      </c>
      <c r="E176" s="26">
        <v>1</v>
      </c>
      <c r="F176" s="26">
        <v>13</v>
      </c>
      <c r="G176" s="26" t="b">
        <v>0</v>
      </c>
      <c r="H176" s="26">
        <v>6</v>
      </c>
      <c r="I176" s="26">
        <v>1</v>
      </c>
      <c r="J176" s="26">
        <v>0.2</v>
      </c>
      <c r="K176" s="26">
        <v>175</v>
      </c>
      <c r="L176" s="26">
        <v>0.18179999999999999</v>
      </c>
      <c r="M176" s="26">
        <v>0.44</v>
      </c>
      <c r="N176" s="26">
        <v>0.32840000000000003</v>
      </c>
      <c r="O176" s="26">
        <v>7</v>
      </c>
      <c r="P176" s="26">
        <v>95</v>
      </c>
      <c r="Q176" s="34">
        <v>102</v>
      </c>
    </row>
    <row r="177" spans="1:17" x14ac:dyDescent="0.25">
      <c r="A177" s="32">
        <v>176</v>
      </c>
      <c r="B177" s="33">
        <v>40551</v>
      </c>
      <c r="C177" s="26">
        <v>1</v>
      </c>
      <c r="D177" s="26">
        <v>0</v>
      </c>
      <c r="E177" s="26">
        <v>1</v>
      </c>
      <c r="F177" s="26">
        <v>14</v>
      </c>
      <c r="G177" s="26" t="b">
        <v>0</v>
      </c>
      <c r="H177" s="26">
        <v>6</v>
      </c>
      <c r="I177" s="26">
        <v>1</v>
      </c>
      <c r="J177" s="26">
        <v>0.2</v>
      </c>
      <c r="K177" s="26">
        <v>176</v>
      </c>
      <c r="L177" s="26">
        <v>0.16669999999999999</v>
      </c>
      <c r="M177" s="26">
        <v>0.32</v>
      </c>
      <c r="N177" s="26">
        <v>0.49249999999999999</v>
      </c>
      <c r="O177" s="26">
        <v>12</v>
      </c>
      <c r="P177" s="26">
        <v>83</v>
      </c>
      <c r="Q177" s="34">
        <v>95</v>
      </c>
    </row>
    <row r="178" spans="1:17" x14ac:dyDescent="0.25">
      <c r="A178" s="32">
        <v>177</v>
      </c>
      <c r="B178" s="33">
        <v>40551</v>
      </c>
      <c r="C178" s="26">
        <v>1</v>
      </c>
      <c r="D178" s="26">
        <v>0</v>
      </c>
      <c r="E178" s="26">
        <v>1</v>
      </c>
      <c r="F178" s="26">
        <v>15</v>
      </c>
      <c r="G178" s="26" t="b">
        <v>0</v>
      </c>
      <c r="H178" s="26">
        <v>6</v>
      </c>
      <c r="I178" s="26">
        <v>1</v>
      </c>
      <c r="J178" s="26">
        <v>0.2</v>
      </c>
      <c r="K178" s="26">
        <v>177</v>
      </c>
      <c r="L178" s="26">
        <v>0.16669999999999999</v>
      </c>
      <c r="M178" s="26">
        <v>0.32</v>
      </c>
      <c r="N178" s="26">
        <v>0.44779999999999998</v>
      </c>
      <c r="O178" s="26">
        <v>5</v>
      </c>
      <c r="P178" s="26">
        <v>69</v>
      </c>
      <c r="Q178" s="34">
        <v>74</v>
      </c>
    </row>
    <row r="179" spans="1:17" x14ac:dyDescent="0.25">
      <c r="A179" s="32">
        <v>178</v>
      </c>
      <c r="B179" s="33">
        <v>40551</v>
      </c>
      <c r="C179" s="26">
        <v>1</v>
      </c>
      <c r="D179" s="26">
        <v>0</v>
      </c>
      <c r="E179" s="26">
        <v>1</v>
      </c>
      <c r="F179" s="26">
        <v>16</v>
      </c>
      <c r="G179" s="26" t="b">
        <v>0</v>
      </c>
      <c r="H179" s="26">
        <v>6</v>
      </c>
      <c r="I179" s="26">
        <v>1</v>
      </c>
      <c r="J179" s="26">
        <v>0.18</v>
      </c>
      <c r="K179" s="26">
        <v>178</v>
      </c>
      <c r="L179" s="26">
        <v>0.13639999999999999</v>
      </c>
      <c r="M179" s="26">
        <v>0.28999999999999998</v>
      </c>
      <c r="N179" s="26">
        <v>0.44779999999999998</v>
      </c>
      <c r="O179" s="26">
        <v>8</v>
      </c>
      <c r="P179" s="26">
        <v>68</v>
      </c>
      <c r="Q179" s="34">
        <v>76</v>
      </c>
    </row>
    <row r="180" spans="1:17" x14ac:dyDescent="0.25">
      <c r="A180" s="32">
        <v>179</v>
      </c>
      <c r="B180" s="33">
        <v>40551</v>
      </c>
      <c r="C180" s="26">
        <v>1</v>
      </c>
      <c r="D180" s="26">
        <v>0</v>
      </c>
      <c r="E180" s="26">
        <v>1</v>
      </c>
      <c r="F180" s="26">
        <v>17</v>
      </c>
      <c r="G180" s="26" t="b">
        <v>0</v>
      </c>
      <c r="H180" s="26">
        <v>6</v>
      </c>
      <c r="I180" s="26">
        <v>1</v>
      </c>
      <c r="J180" s="26">
        <v>0.16</v>
      </c>
      <c r="K180" s="26">
        <v>179</v>
      </c>
      <c r="L180" s="26">
        <v>0.1212</v>
      </c>
      <c r="M180" s="26">
        <v>0.37</v>
      </c>
      <c r="N180" s="26">
        <v>0.55220000000000002</v>
      </c>
      <c r="O180" s="26">
        <v>5</v>
      </c>
      <c r="P180" s="26">
        <v>64</v>
      </c>
      <c r="Q180" s="34">
        <v>69</v>
      </c>
    </row>
    <row r="181" spans="1:17" x14ac:dyDescent="0.25">
      <c r="A181" s="32">
        <v>180</v>
      </c>
      <c r="B181" s="33">
        <v>40551</v>
      </c>
      <c r="C181" s="26">
        <v>1</v>
      </c>
      <c r="D181" s="26">
        <v>0</v>
      </c>
      <c r="E181" s="26">
        <v>1</v>
      </c>
      <c r="F181" s="26">
        <v>18</v>
      </c>
      <c r="G181" s="26" t="b">
        <v>0</v>
      </c>
      <c r="H181" s="26">
        <v>6</v>
      </c>
      <c r="I181" s="26">
        <v>1</v>
      </c>
      <c r="J181" s="26">
        <v>0.14000000000000001</v>
      </c>
      <c r="K181" s="26">
        <v>180</v>
      </c>
      <c r="L181" s="26">
        <v>0.1212</v>
      </c>
      <c r="M181" s="26">
        <v>0.39</v>
      </c>
      <c r="N181" s="26">
        <v>0.29849999999999999</v>
      </c>
      <c r="O181" s="26">
        <v>3</v>
      </c>
      <c r="P181" s="26">
        <v>52</v>
      </c>
      <c r="Q181" s="34">
        <v>55</v>
      </c>
    </row>
    <row r="182" spans="1:17" x14ac:dyDescent="0.25">
      <c r="A182" s="32">
        <v>181</v>
      </c>
      <c r="B182" s="33">
        <v>40551</v>
      </c>
      <c r="C182" s="26">
        <v>1</v>
      </c>
      <c r="D182" s="26">
        <v>0</v>
      </c>
      <c r="E182" s="26">
        <v>1</v>
      </c>
      <c r="F182" s="26">
        <v>19</v>
      </c>
      <c r="G182" s="26" t="b">
        <v>0</v>
      </c>
      <c r="H182" s="26">
        <v>6</v>
      </c>
      <c r="I182" s="26">
        <v>1</v>
      </c>
      <c r="J182" s="26">
        <v>0.14000000000000001</v>
      </c>
      <c r="K182" s="26">
        <v>181</v>
      </c>
      <c r="L182" s="26">
        <v>0.1212</v>
      </c>
      <c r="M182" s="26">
        <v>0.36</v>
      </c>
      <c r="N182" s="26">
        <v>0.25369999999999998</v>
      </c>
      <c r="O182" s="26">
        <v>4</v>
      </c>
      <c r="P182" s="26">
        <v>26</v>
      </c>
      <c r="Q182" s="34">
        <v>30</v>
      </c>
    </row>
    <row r="183" spans="1:17" x14ac:dyDescent="0.25">
      <c r="A183" s="32">
        <v>182</v>
      </c>
      <c r="B183" s="33">
        <v>40551</v>
      </c>
      <c r="C183" s="26">
        <v>1</v>
      </c>
      <c r="D183" s="26">
        <v>0</v>
      </c>
      <c r="E183" s="26">
        <v>1</v>
      </c>
      <c r="F183" s="26">
        <v>20</v>
      </c>
      <c r="G183" s="26" t="b">
        <v>0</v>
      </c>
      <c r="H183" s="26">
        <v>6</v>
      </c>
      <c r="I183" s="26">
        <v>1</v>
      </c>
      <c r="J183" s="26">
        <v>0.12</v>
      </c>
      <c r="K183" s="26">
        <v>182</v>
      </c>
      <c r="L183" s="26">
        <v>0.1212</v>
      </c>
      <c r="M183" s="26">
        <v>0.36</v>
      </c>
      <c r="N183" s="26">
        <v>0.25369999999999998</v>
      </c>
      <c r="O183" s="26">
        <v>0</v>
      </c>
      <c r="P183" s="26">
        <v>28</v>
      </c>
      <c r="Q183" s="34">
        <v>28</v>
      </c>
    </row>
    <row r="184" spans="1:17" x14ac:dyDescent="0.25">
      <c r="A184" s="32">
        <v>183</v>
      </c>
      <c r="B184" s="33">
        <v>40551</v>
      </c>
      <c r="C184" s="26">
        <v>1</v>
      </c>
      <c r="D184" s="26">
        <v>0</v>
      </c>
      <c r="E184" s="26">
        <v>1</v>
      </c>
      <c r="F184" s="26">
        <v>21</v>
      </c>
      <c r="G184" s="26" t="b">
        <v>0</v>
      </c>
      <c r="H184" s="26">
        <v>6</v>
      </c>
      <c r="I184" s="26">
        <v>1</v>
      </c>
      <c r="J184" s="26">
        <v>0.12</v>
      </c>
      <c r="K184" s="26">
        <v>183</v>
      </c>
      <c r="L184" s="26">
        <v>0.1061</v>
      </c>
      <c r="M184" s="26">
        <v>0.39</v>
      </c>
      <c r="N184" s="26">
        <v>0.35820000000000002</v>
      </c>
      <c r="O184" s="26">
        <v>2</v>
      </c>
      <c r="P184" s="26">
        <v>35</v>
      </c>
      <c r="Q184" s="34">
        <v>37</v>
      </c>
    </row>
    <row r="185" spans="1:17" x14ac:dyDescent="0.25">
      <c r="A185" s="32">
        <v>184</v>
      </c>
      <c r="B185" s="33">
        <v>40551</v>
      </c>
      <c r="C185" s="26">
        <v>1</v>
      </c>
      <c r="D185" s="26">
        <v>0</v>
      </c>
      <c r="E185" s="26">
        <v>1</v>
      </c>
      <c r="F185" s="26">
        <v>22</v>
      </c>
      <c r="G185" s="26" t="b">
        <v>0</v>
      </c>
      <c r="H185" s="26">
        <v>6</v>
      </c>
      <c r="I185" s="26">
        <v>1</v>
      </c>
      <c r="J185" s="26">
        <v>0.12</v>
      </c>
      <c r="K185" s="26">
        <v>184</v>
      </c>
      <c r="L185" s="26">
        <v>0.1061</v>
      </c>
      <c r="M185" s="26">
        <v>0.36</v>
      </c>
      <c r="N185" s="26">
        <v>0.3881</v>
      </c>
      <c r="O185" s="26">
        <v>1</v>
      </c>
      <c r="P185" s="26">
        <v>33</v>
      </c>
      <c r="Q185" s="34">
        <v>34</v>
      </c>
    </row>
    <row r="186" spans="1:17" x14ac:dyDescent="0.25">
      <c r="A186" s="32">
        <v>185</v>
      </c>
      <c r="B186" s="33">
        <v>40551</v>
      </c>
      <c r="C186" s="26">
        <v>1</v>
      </c>
      <c r="D186" s="26">
        <v>0</v>
      </c>
      <c r="E186" s="26">
        <v>1</v>
      </c>
      <c r="F186" s="26">
        <v>23</v>
      </c>
      <c r="G186" s="26" t="b">
        <v>0</v>
      </c>
      <c r="H186" s="26">
        <v>6</v>
      </c>
      <c r="I186" s="26">
        <v>1</v>
      </c>
      <c r="J186" s="26">
        <v>0.1</v>
      </c>
      <c r="K186" s="26">
        <v>185</v>
      </c>
      <c r="L186" s="26">
        <v>6.0600000000000001E-2</v>
      </c>
      <c r="M186" s="26">
        <v>0.39</v>
      </c>
      <c r="N186" s="26">
        <v>0.44779999999999998</v>
      </c>
      <c r="O186" s="26">
        <v>0</v>
      </c>
      <c r="P186" s="26">
        <v>22</v>
      </c>
      <c r="Q186" s="34">
        <v>22</v>
      </c>
    </row>
    <row r="187" spans="1:17" x14ac:dyDescent="0.25">
      <c r="A187" s="32">
        <v>186</v>
      </c>
      <c r="B187" s="33">
        <v>40552</v>
      </c>
      <c r="C187" s="26">
        <v>1</v>
      </c>
      <c r="D187" s="26">
        <v>0</v>
      </c>
      <c r="E187" s="26">
        <v>1</v>
      </c>
      <c r="F187" s="26">
        <v>0</v>
      </c>
      <c r="G187" s="26" t="b">
        <v>0</v>
      </c>
      <c r="H187" s="26">
        <v>0</v>
      </c>
      <c r="I187" s="26">
        <v>1</v>
      </c>
      <c r="J187" s="26">
        <v>0.1</v>
      </c>
      <c r="K187" s="26">
        <v>186</v>
      </c>
      <c r="L187" s="26">
        <v>7.5800000000000006E-2</v>
      </c>
      <c r="M187" s="26">
        <v>0.42</v>
      </c>
      <c r="N187" s="26">
        <v>0.3881</v>
      </c>
      <c r="O187" s="26">
        <v>1</v>
      </c>
      <c r="P187" s="26">
        <v>24</v>
      </c>
      <c r="Q187" s="34">
        <v>25</v>
      </c>
    </row>
    <row r="188" spans="1:17" x14ac:dyDescent="0.25">
      <c r="A188" s="32">
        <v>187</v>
      </c>
      <c r="B188" s="33">
        <v>40552</v>
      </c>
      <c r="C188" s="26">
        <v>1</v>
      </c>
      <c r="D188" s="26">
        <v>0</v>
      </c>
      <c r="E188" s="26">
        <v>1</v>
      </c>
      <c r="F188" s="26">
        <v>1</v>
      </c>
      <c r="G188" s="26" t="b">
        <v>0</v>
      </c>
      <c r="H188" s="26">
        <v>0</v>
      </c>
      <c r="I188" s="26">
        <v>1</v>
      </c>
      <c r="J188" s="26">
        <v>0.1</v>
      </c>
      <c r="K188" s="26">
        <v>187</v>
      </c>
      <c r="L188" s="26">
        <v>6.0600000000000001E-2</v>
      </c>
      <c r="M188" s="26">
        <v>0.42</v>
      </c>
      <c r="N188" s="26">
        <v>0.4627</v>
      </c>
      <c r="O188" s="26">
        <v>0</v>
      </c>
      <c r="P188" s="26">
        <v>12</v>
      </c>
      <c r="Q188" s="34">
        <v>12</v>
      </c>
    </row>
    <row r="189" spans="1:17" x14ac:dyDescent="0.25">
      <c r="A189" s="32">
        <v>188</v>
      </c>
      <c r="B189" s="33">
        <v>40552</v>
      </c>
      <c r="C189" s="26">
        <v>1</v>
      </c>
      <c r="D189" s="26">
        <v>0</v>
      </c>
      <c r="E189" s="26">
        <v>1</v>
      </c>
      <c r="F189" s="26">
        <v>2</v>
      </c>
      <c r="G189" s="26" t="b">
        <v>0</v>
      </c>
      <c r="H189" s="26">
        <v>0</v>
      </c>
      <c r="I189" s="26">
        <v>1</v>
      </c>
      <c r="J189" s="26">
        <v>0.1</v>
      </c>
      <c r="K189" s="26">
        <v>188</v>
      </c>
      <c r="L189" s="26">
        <v>6.0600000000000001E-2</v>
      </c>
      <c r="M189" s="26">
        <v>0.46</v>
      </c>
      <c r="N189" s="26">
        <v>0.4627</v>
      </c>
      <c r="O189" s="26">
        <v>0</v>
      </c>
      <c r="P189" s="26">
        <v>11</v>
      </c>
      <c r="Q189" s="34">
        <v>11</v>
      </c>
    </row>
    <row r="190" spans="1:17" x14ac:dyDescent="0.25">
      <c r="A190" s="32">
        <v>189</v>
      </c>
      <c r="B190" s="33">
        <v>40552</v>
      </c>
      <c r="C190" s="26">
        <v>1</v>
      </c>
      <c r="D190" s="26">
        <v>0</v>
      </c>
      <c r="E190" s="26">
        <v>1</v>
      </c>
      <c r="F190" s="26">
        <v>3</v>
      </c>
      <c r="G190" s="26" t="b">
        <v>0</v>
      </c>
      <c r="H190" s="26">
        <v>0</v>
      </c>
      <c r="I190" s="26">
        <v>1</v>
      </c>
      <c r="J190" s="26">
        <v>0.1</v>
      </c>
      <c r="K190" s="26">
        <v>189</v>
      </c>
      <c r="L190" s="26">
        <v>7.5800000000000006E-2</v>
      </c>
      <c r="M190" s="26">
        <v>0.46</v>
      </c>
      <c r="N190" s="26">
        <v>0.41789999999999999</v>
      </c>
      <c r="O190" s="26">
        <v>0</v>
      </c>
      <c r="P190" s="26">
        <v>4</v>
      </c>
      <c r="Q190" s="34">
        <v>4</v>
      </c>
    </row>
    <row r="191" spans="1:17" x14ac:dyDescent="0.25">
      <c r="A191" s="32">
        <v>190</v>
      </c>
      <c r="B191" s="33">
        <v>40552</v>
      </c>
      <c r="C191" s="26">
        <v>1</v>
      </c>
      <c r="D191" s="26">
        <v>0</v>
      </c>
      <c r="E191" s="26">
        <v>1</v>
      </c>
      <c r="F191" s="26">
        <v>4</v>
      </c>
      <c r="G191" s="26" t="b">
        <v>0</v>
      </c>
      <c r="H191" s="26">
        <v>0</v>
      </c>
      <c r="I191" s="26">
        <v>1</v>
      </c>
      <c r="J191" s="26">
        <v>0.08</v>
      </c>
      <c r="K191" s="26">
        <v>190</v>
      </c>
      <c r="L191" s="26">
        <v>9.0899999999999995E-2</v>
      </c>
      <c r="M191" s="26">
        <v>0.53</v>
      </c>
      <c r="N191" s="26">
        <v>0.19400000000000001</v>
      </c>
      <c r="O191" s="26">
        <v>0</v>
      </c>
      <c r="P191" s="26">
        <v>1</v>
      </c>
      <c r="Q191" s="34">
        <v>1</v>
      </c>
    </row>
    <row r="192" spans="1:17" x14ac:dyDescent="0.25">
      <c r="A192" s="32">
        <v>191</v>
      </c>
      <c r="B192" s="33">
        <v>40552</v>
      </c>
      <c r="C192" s="26">
        <v>1</v>
      </c>
      <c r="D192" s="26">
        <v>0</v>
      </c>
      <c r="E192" s="26">
        <v>1</v>
      </c>
      <c r="F192" s="26">
        <v>5</v>
      </c>
      <c r="G192" s="26" t="b">
        <v>0</v>
      </c>
      <c r="H192" s="26">
        <v>0</v>
      </c>
      <c r="I192" s="26">
        <v>1</v>
      </c>
      <c r="J192" s="26">
        <v>0.08</v>
      </c>
      <c r="K192" s="26">
        <v>191</v>
      </c>
      <c r="L192" s="26">
        <v>9.0899999999999995E-2</v>
      </c>
      <c r="M192" s="26">
        <v>0.53</v>
      </c>
      <c r="N192" s="26">
        <v>0.19400000000000001</v>
      </c>
      <c r="O192" s="26">
        <v>0</v>
      </c>
      <c r="P192" s="26">
        <v>1</v>
      </c>
      <c r="Q192" s="34">
        <v>1</v>
      </c>
    </row>
    <row r="193" spans="1:17" x14ac:dyDescent="0.25">
      <c r="A193" s="32">
        <v>192</v>
      </c>
      <c r="B193" s="33">
        <v>40552</v>
      </c>
      <c r="C193" s="26">
        <v>1</v>
      </c>
      <c r="D193" s="26">
        <v>0</v>
      </c>
      <c r="E193" s="26">
        <v>1</v>
      </c>
      <c r="F193" s="26">
        <v>6</v>
      </c>
      <c r="G193" s="26" t="b">
        <v>0</v>
      </c>
      <c r="H193" s="26">
        <v>0</v>
      </c>
      <c r="I193" s="26">
        <v>1</v>
      </c>
      <c r="J193" s="26">
        <v>0.1</v>
      </c>
      <c r="K193" s="26">
        <v>192</v>
      </c>
      <c r="L193" s="26">
        <v>9.0899999999999995E-2</v>
      </c>
      <c r="M193" s="26">
        <v>0.49</v>
      </c>
      <c r="N193" s="26">
        <v>0.28360000000000002</v>
      </c>
      <c r="O193" s="26">
        <v>0</v>
      </c>
      <c r="P193" s="26">
        <v>1</v>
      </c>
      <c r="Q193" s="34">
        <v>1</v>
      </c>
    </row>
    <row r="194" spans="1:17" x14ac:dyDescent="0.25">
      <c r="A194" s="32">
        <v>193</v>
      </c>
      <c r="B194" s="33">
        <v>40552</v>
      </c>
      <c r="C194" s="26">
        <v>1</v>
      </c>
      <c r="D194" s="26">
        <v>0</v>
      </c>
      <c r="E194" s="26">
        <v>1</v>
      </c>
      <c r="F194" s="26">
        <v>7</v>
      </c>
      <c r="G194" s="26" t="b">
        <v>0</v>
      </c>
      <c r="H194" s="26">
        <v>0</v>
      </c>
      <c r="I194" s="26">
        <v>1</v>
      </c>
      <c r="J194" s="26">
        <v>0.08</v>
      </c>
      <c r="K194" s="26">
        <v>193</v>
      </c>
      <c r="L194" s="26">
        <v>9.0899999999999995E-2</v>
      </c>
      <c r="M194" s="26">
        <v>0.53</v>
      </c>
      <c r="N194" s="26">
        <v>0.19400000000000001</v>
      </c>
      <c r="O194" s="26">
        <v>1</v>
      </c>
      <c r="P194" s="26">
        <v>5</v>
      </c>
      <c r="Q194" s="34">
        <v>6</v>
      </c>
    </row>
    <row r="195" spans="1:17" x14ac:dyDescent="0.25">
      <c r="A195" s="32">
        <v>194</v>
      </c>
      <c r="B195" s="33">
        <v>40552</v>
      </c>
      <c r="C195" s="26">
        <v>1</v>
      </c>
      <c r="D195" s="26">
        <v>0</v>
      </c>
      <c r="E195" s="26">
        <v>1</v>
      </c>
      <c r="F195" s="26">
        <v>8</v>
      </c>
      <c r="G195" s="26" t="b">
        <v>0</v>
      </c>
      <c r="H195" s="26">
        <v>0</v>
      </c>
      <c r="I195" s="26">
        <v>1</v>
      </c>
      <c r="J195" s="26">
        <v>0.1</v>
      </c>
      <c r="K195" s="26">
        <v>194</v>
      </c>
      <c r="L195" s="26">
        <v>9.0899999999999995E-2</v>
      </c>
      <c r="M195" s="26">
        <v>0.49</v>
      </c>
      <c r="N195" s="26">
        <v>0.28360000000000002</v>
      </c>
      <c r="O195" s="26">
        <v>0</v>
      </c>
      <c r="P195" s="26">
        <v>10</v>
      </c>
      <c r="Q195" s="34">
        <v>10</v>
      </c>
    </row>
    <row r="196" spans="1:17" x14ac:dyDescent="0.25">
      <c r="A196" s="32">
        <v>195</v>
      </c>
      <c r="B196" s="33">
        <v>40552</v>
      </c>
      <c r="C196" s="26">
        <v>1</v>
      </c>
      <c r="D196" s="26">
        <v>0</v>
      </c>
      <c r="E196" s="26">
        <v>1</v>
      </c>
      <c r="F196" s="26">
        <v>9</v>
      </c>
      <c r="G196" s="26" t="b">
        <v>0</v>
      </c>
      <c r="H196" s="26">
        <v>0</v>
      </c>
      <c r="I196" s="26">
        <v>1</v>
      </c>
      <c r="J196" s="26">
        <v>0.12</v>
      </c>
      <c r="K196" s="26">
        <v>195</v>
      </c>
      <c r="L196" s="26">
        <v>7.5800000000000006E-2</v>
      </c>
      <c r="M196" s="26">
        <v>0.46</v>
      </c>
      <c r="N196" s="26">
        <v>0.52239999999999998</v>
      </c>
      <c r="O196" s="26">
        <v>0</v>
      </c>
      <c r="P196" s="26">
        <v>19</v>
      </c>
      <c r="Q196" s="34">
        <v>19</v>
      </c>
    </row>
    <row r="197" spans="1:17" x14ac:dyDescent="0.25">
      <c r="A197" s="32">
        <v>196</v>
      </c>
      <c r="B197" s="33">
        <v>40552</v>
      </c>
      <c r="C197" s="26">
        <v>1</v>
      </c>
      <c r="D197" s="26">
        <v>0</v>
      </c>
      <c r="E197" s="26">
        <v>1</v>
      </c>
      <c r="F197" s="26">
        <v>10</v>
      </c>
      <c r="G197" s="26" t="b">
        <v>0</v>
      </c>
      <c r="H197" s="26">
        <v>0</v>
      </c>
      <c r="I197" s="26">
        <v>1</v>
      </c>
      <c r="J197" s="26">
        <v>0.14000000000000001</v>
      </c>
      <c r="K197" s="26">
        <v>196</v>
      </c>
      <c r="L197" s="26">
        <v>0.1061</v>
      </c>
      <c r="M197" s="26">
        <v>0.43</v>
      </c>
      <c r="N197" s="26">
        <v>0.3881</v>
      </c>
      <c r="O197" s="26">
        <v>0</v>
      </c>
      <c r="P197" s="26">
        <v>49</v>
      </c>
      <c r="Q197" s="34">
        <v>49</v>
      </c>
    </row>
    <row r="198" spans="1:17" x14ac:dyDescent="0.25">
      <c r="A198" s="32">
        <v>197</v>
      </c>
      <c r="B198" s="33">
        <v>40552</v>
      </c>
      <c r="C198" s="26">
        <v>1</v>
      </c>
      <c r="D198" s="26">
        <v>0</v>
      </c>
      <c r="E198" s="26">
        <v>1</v>
      </c>
      <c r="F198" s="26">
        <v>11</v>
      </c>
      <c r="G198" s="26" t="b">
        <v>0</v>
      </c>
      <c r="H198" s="26">
        <v>0</v>
      </c>
      <c r="I198" s="26">
        <v>1</v>
      </c>
      <c r="J198" s="26">
        <v>0.16</v>
      </c>
      <c r="K198" s="26">
        <v>197</v>
      </c>
      <c r="L198" s="26">
        <v>0.1212</v>
      </c>
      <c r="M198" s="26">
        <v>0.4</v>
      </c>
      <c r="N198" s="26">
        <v>0.52239999999999998</v>
      </c>
      <c r="O198" s="26">
        <v>2</v>
      </c>
      <c r="P198" s="26">
        <v>47</v>
      </c>
      <c r="Q198" s="34">
        <v>49</v>
      </c>
    </row>
    <row r="199" spans="1:17" x14ac:dyDescent="0.25">
      <c r="A199" s="32">
        <v>198</v>
      </c>
      <c r="B199" s="33">
        <v>40552</v>
      </c>
      <c r="C199" s="26">
        <v>1</v>
      </c>
      <c r="D199" s="26">
        <v>0</v>
      </c>
      <c r="E199" s="26">
        <v>1</v>
      </c>
      <c r="F199" s="26">
        <v>12</v>
      </c>
      <c r="G199" s="26" t="b">
        <v>0</v>
      </c>
      <c r="H199" s="26">
        <v>0</v>
      </c>
      <c r="I199" s="26">
        <v>1</v>
      </c>
      <c r="J199" s="26">
        <v>0.18</v>
      </c>
      <c r="K199" s="26">
        <v>198</v>
      </c>
      <c r="L199" s="26">
        <v>0.13639999999999999</v>
      </c>
      <c r="M199" s="26">
        <v>0.37</v>
      </c>
      <c r="N199" s="26">
        <v>0.44779999999999998</v>
      </c>
      <c r="O199" s="26">
        <v>4</v>
      </c>
      <c r="P199" s="26">
        <v>79</v>
      </c>
      <c r="Q199" s="34">
        <v>83</v>
      </c>
    </row>
    <row r="200" spans="1:17" x14ac:dyDescent="0.25">
      <c r="A200" s="32">
        <v>199</v>
      </c>
      <c r="B200" s="33">
        <v>40552</v>
      </c>
      <c r="C200" s="26">
        <v>1</v>
      </c>
      <c r="D200" s="26">
        <v>0</v>
      </c>
      <c r="E200" s="26">
        <v>1</v>
      </c>
      <c r="F200" s="26">
        <v>13</v>
      </c>
      <c r="G200" s="26" t="b">
        <v>0</v>
      </c>
      <c r="H200" s="26">
        <v>0</v>
      </c>
      <c r="I200" s="26">
        <v>1</v>
      </c>
      <c r="J200" s="26">
        <v>0.2</v>
      </c>
      <c r="K200" s="26">
        <v>199</v>
      </c>
      <c r="L200" s="26">
        <v>0.16669999999999999</v>
      </c>
      <c r="M200" s="26">
        <v>0.34</v>
      </c>
      <c r="N200" s="26">
        <v>0.44779999999999998</v>
      </c>
      <c r="O200" s="26">
        <v>6</v>
      </c>
      <c r="P200" s="26">
        <v>69</v>
      </c>
      <c r="Q200" s="34">
        <v>75</v>
      </c>
    </row>
    <row r="201" spans="1:17" x14ac:dyDescent="0.25">
      <c r="A201" s="32">
        <v>200</v>
      </c>
      <c r="B201" s="33">
        <v>40552</v>
      </c>
      <c r="C201" s="26">
        <v>1</v>
      </c>
      <c r="D201" s="26">
        <v>0</v>
      </c>
      <c r="E201" s="26">
        <v>1</v>
      </c>
      <c r="F201" s="26">
        <v>14</v>
      </c>
      <c r="G201" s="26" t="b">
        <v>0</v>
      </c>
      <c r="H201" s="26">
        <v>0</v>
      </c>
      <c r="I201" s="26">
        <v>1</v>
      </c>
      <c r="J201" s="26">
        <v>0.22</v>
      </c>
      <c r="K201" s="26">
        <v>200</v>
      </c>
      <c r="L201" s="26">
        <v>0.18179999999999999</v>
      </c>
      <c r="M201" s="26">
        <v>0.32</v>
      </c>
      <c r="N201" s="26">
        <v>0.4627</v>
      </c>
      <c r="O201" s="26">
        <v>8</v>
      </c>
      <c r="P201" s="26">
        <v>64</v>
      </c>
      <c r="Q201" s="34">
        <v>72</v>
      </c>
    </row>
    <row r="202" spans="1:17" x14ac:dyDescent="0.25">
      <c r="A202" s="32">
        <v>201</v>
      </c>
      <c r="B202" s="33">
        <v>40552</v>
      </c>
      <c r="C202" s="26">
        <v>1</v>
      </c>
      <c r="D202" s="26">
        <v>0</v>
      </c>
      <c r="E202" s="26">
        <v>1</v>
      </c>
      <c r="F202" s="26">
        <v>15</v>
      </c>
      <c r="G202" s="26" t="b">
        <v>0</v>
      </c>
      <c r="H202" s="26">
        <v>0</v>
      </c>
      <c r="I202" s="26">
        <v>1</v>
      </c>
      <c r="J202" s="26">
        <v>0.22</v>
      </c>
      <c r="K202" s="26">
        <v>201</v>
      </c>
      <c r="L202" s="26">
        <v>0.19700000000000001</v>
      </c>
      <c r="M202" s="26">
        <v>0.35</v>
      </c>
      <c r="N202" s="26">
        <v>0.35820000000000002</v>
      </c>
      <c r="O202" s="26">
        <v>5</v>
      </c>
      <c r="P202" s="26">
        <v>77</v>
      </c>
      <c r="Q202" s="34">
        <v>82</v>
      </c>
    </row>
    <row r="203" spans="1:17" x14ac:dyDescent="0.25">
      <c r="A203" s="32">
        <v>202</v>
      </c>
      <c r="B203" s="33">
        <v>40552</v>
      </c>
      <c r="C203" s="26">
        <v>1</v>
      </c>
      <c r="D203" s="26">
        <v>0</v>
      </c>
      <c r="E203" s="26">
        <v>1</v>
      </c>
      <c r="F203" s="26">
        <v>16</v>
      </c>
      <c r="G203" s="26" t="b">
        <v>0</v>
      </c>
      <c r="H203" s="26">
        <v>0</v>
      </c>
      <c r="I203" s="26">
        <v>1</v>
      </c>
      <c r="J203" s="26">
        <v>0.2</v>
      </c>
      <c r="K203" s="26">
        <v>202</v>
      </c>
      <c r="L203" s="26">
        <v>0.16669999999999999</v>
      </c>
      <c r="M203" s="26">
        <v>0.34</v>
      </c>
      <c r="N203" s="26">
        <v>0.44779999999999998</v>
      </c>
      <c r="O203" s="26">
        <v>13</v>
      </c>
      <c r="P203" s="26">
        <v>79</v>
      </c>
      <c r="Q203" s="34">
        <v>92</v>
      </c>
    </row>
    <row r="204" spans="1:17" x14ac:dyDescent="0.25">
      <c r="A204" s="32">
        <v>203</v>
      </c>
      <c r="B204" s="33">
        <v>40552</v>
      </c>
      <c r="C204" s="26">
        <v>1</v>
      </c>
      <c r="D204" s="26">
        <v>0</v>
      </c>
      <c r="E204" s="26">
        <v>1</v>
      </c>
      <c r="F204" s="26">
        <v>17</v>
      </c>
      <c r="G204" s="26" t="b">
        <v>0</v>
      </c>
      <c r="H204" s="26">
        <v>0</v>
      </c>
      <c r="I204" s="26">
        <v>1</v>
      </c>
      <c r="J204" s="26">
        <v>0.18</v>
      </c>
      <c r="K204" s="26">
        <v>203</v>
      </c>
      <c r="L204" s="26">
        <v>0.1515</v>
      </c>
      <c r="M204" s="26">
        <v>0.37</v>
      </c>
      <c r="N204" s="26">
        <v>0.3881</v>
      </c>
      <c r="O204" s="26">
        <v>3</v>
      </c>
      <c r="P204" s="26">
        <v>59</v>
      </c>
      <c r="Q204" s="34">
        <v>62</v>
      </c>
    </row>
    <row r="205" spans="1:17" x14ac:dyDescent="0.25">
      <c r="A205" s="32">
        <v>204</v>
      </c>
      <c r="B205" s="33">
        <v>40552</v>
      </c>
      <c r="C205" s="26">
        <v>1</v>
      </c>
      <c r="D205" s="26">
        <v>0</v>
      </c>
      <c r="E205" s="26">
        <v>1</v>
      </c>
      <c r="F205" s="26">
        <v>18</v>
      </c>
      <c r="G205" s="26" t="b">
        <v>0</v>
      </c>
      <c r="H205" s="26">
        <v>0</v>
      </c>
      <c r="I205" s="26">
        <v>1</v>
      </c>
      <c r="J205" s="26">
        <v>0.16</v>
      </c>
      <c r="K205" s="26">
        <v>204</v>
      </c>
      <c r="L205" s="26">
        <v>0.13639999999999999</v>
      </c>
      <c r="M205" s="26">
        <v>0.4</v>
      </c>
      <c r="N205" s="26">
        <v>0.32840000000000003</v>
      </c>
      <c r="O205" s="26">
        <v>4</v>
      </c>
      <c r="P205" s="26">
        <v>44</v>
      </c>
      <c r="Q205" s="34">
        <v>48</v>
      </c>
    </row>
    <row r="206" spans="1:17" x14ac:dyDescent="0.25">
      <c r="A206" s="32">
        <v>205</v>
      </c>
      <c r="B206" s="33">
        <v>40552</v>
      </c>
      <c r="C206" s="26">
        <v>1</v>
      </c>
      <c r="D206" s="26">
        <v>0</v>
      </c>
      <c r="E206" s="26">
        <v>1</v>
      </c>
      <c r="F206" s="26">
        <v>19</v>
      </c>
      <c r="G206" s="26" t="b">
        <v>0</v>
      </c>
      <c r="H206" s="26">
        <v>0</v>
      </c>
      <c r="I206" s="26">
        <v>1</v>
      </c>
      <c r="J206" s="26">
        <v>0.16</v>
      </c>
      <c r="K206" s="26">
        <v>205</v>
      </c>
      <c r="L206" s="26">
        <v>0.13639999999999999</v>
      </c>
      <c r="M206" s="26">
        <v>0.43</v>
      </c>
      <c r="N206" s="26">
        <v>0.32840000000000003</v>
      </c>
      <c r="O206" s="26">
        <v>1</v>
      </c>
      <c r="P206" s="26">
        <v>40</v>
      </c>
      <c r="Q206" s="34">
        <v>41</v>
      </c>
    </row>
    <row r="207" spans="1:17" x14ac:dyDescent="0.25">
      <c r="A207" s="32">
        <v>206</v>
      </c>
      <c r="B207" s="33">
        <v>40552</v>
      </c>
      <c r="C207" s="26">
        <v>1</v>
      </c>
      <c r="D207" s="26">
        <v>0</v>
      </c>
      <c r="E207" s="26">
        <v>1</v>
      </c>
      <c r="F207" s="26">
        <v>20</v>
      </c>
      <c r="G207" s="26" t="b">
        <v>0</v>
      </c>
      <c r="H207" s="26">
        <v>0</v>
      </c>
      <c r="I207" s="26">
        <v>1</v>
      </c>
      <c r="J207" s="26">
        <v>0.14000000000000001</v>
      </c>
      <c r="K207" s="26">
        <v>206</v>
      </c>
      <c r="L207" s="26">
        <v>0.1212</v>
      </c>
      <c r="M207" s="26">
        <v>0.46</v>
      </c>
      <c r="N207" s="26">
        <v>0.25369999999999998</v>
      </c>
      <c r="O207" s="26">
        <v>0</v>
      </c>
      <c r="P207" s="26">
        <v>38</v>
      </c>
      <c r="Q207" s="34">
        <v>38</v>
      </c>
    </row>
    <row r="208" spans="1:17" x14ac:dyDescent="0.25">
      <c r="A208" s="32">
        <v>207</v>
      </c>
      <c r="B208" s="33">
        <v>40552</v>
      </c>
      <c r="C208" s="26">
        <v>1</v>
      </c>
      <c r="D208" s="26">
        <v>0</v>
      </c>
      <c r="E208" s="26">
        <v>1</v>
      </c>
      <c r="F208" s="26">
        <v>21</v>
      </c>
      <c r="G208" s="26" t="b">
        <v>0</v>
      </c>
      <c r="H208" s="26">
        <v>0</v>
      </c>
      <c r="I208" s="26">
        <v>1</v>
      </c>
      <c r="J208" s="26">
        <v>0.14000000000000001</v>
      </c>
      <c r="K208" s="26">
        <v>207</v>
      </c>
      <c r="L208" s="26">
        <v>0.1061</v>
      </c>
      <c r="M208" s="26">
        <v>0.46</v>
      </c>
      <c r="N208" s="26">
        <v>0.41789999999999999</v>
      </c>
      <c r="O208" s="26">
        <v>1</v>
      </c>
      <c r="P208" s="26">
        <v>19</v>
      </c>
      <c r="Q208" s="34">
        <v>20</v>
      </c>
    </row>
    <row r="209" spans="1:17" x14ac:dyDescent="0.25">
      <c r="A209" s="32">
        <v>208</v>
      </c>
      <c r="B209" s="33">
        <v>40552</v>
      </c>
      <c r="C209" s="26">
        <v>1</v>
      </c>
      <c r="D209" s="26">
        <v>0</v>
      </c>
      <c r="E209" s="26">
        <v>1</v>
      </c>
      <c r="F209" s="26">
        <v>22</v>
      </c>
      <c r="G209" s="26" t="b">
        <v>0</v>
      </c>
      <c r="H209" s="26">
        <v>0</v>
      </c>
      <c r="I209" s="26">
        <v>1</v>
      </c>
      <c r="J209" s="26">
        <v>0.14000000000000001</v>
      </c>
      <c r="K209" s="26">
        <v>208</v>
      </c>
      <c r="L209" s="26">
        <v>0.1212</v>
      </c>
      <c r="M209" s="26">
        <v>0.46</v>
      </c>
      <c r="N209" s="26">
        <v>0.29849999999999999</v>
      </c>
      <c r="O209" s="26">
        <v>5</v>
      </c>
      <c r="P209" s="26">
        <v>10</v>
      </c>
      <c r="Q209" s="34">
        <v>15</v>
      </c>
    </row>
    <row r="210" spans="1:17" x14ac:dyDescent="0.25">
      <c r="A210" s="32">
        <v>209</v>
      </c>
      <c r="B210" s="33">
        <v>40552</v>
      </c>
      <c r="C210" s="26">
        <v>1</v>
      </c>
      <c r="D210" s="26">
        <v>0</v>
      </c>
      <c r="E210" s="26">
        <v>1</v>
      </c>
      <c r="F210" s="26">
        <v>23</v>
      </c>
      <c r="G210" s="26" t="b">
        <v>0</v>
      </c>
      <c r="H210" s="26">
        <v>0</v>
      </c>
      <c r="I210" s="26">
        <v>1</v>
      </c>
      <c r="J210" s="26">
        <v>0.12</v>
      </c>
      <c r="K210" s="26">
        <v>209</v>
      </c>
      <c r="L210" s="26">
        <v>0.13639999999999999</v>
      </c>
      <c r="M210" s="26">
        <v>0.5</v>
      </c>
      <c r="N210" s="26">
        <v>0.19400000000000001</v>
      </c>
      <c r="O210" s="26">
        <v>0</v>
      </c>
      <c r="P210" s="26">
        <v>6</v>
      </c>
      <c r="Q210" s="34">
        <v>6</v>
      </c>
    </row>
    <row r="211" spans="1:17" x14ac:dyDescent="0.25">
      <c r="A211" s="32">
        <v>210</v>
      </c>
      <c r="B211" s="33">
        <v>40553</v>
      </c>
      <c r="C211" s="26">
        <v>1</v>
      </c>
      <c r="D211" s="26">
        <v>0</v>
      </c>
      <c r="E211" s="26">
        <v>1</v>
      </c>
      <c r="F211" s="26">
        <v>0</v>
      </c>
      <c r="G211" s="26" t="b">
        <v>0</v>
      </c>
      <c r="H211" s="26">
        <v>1</v>
      </c>
      <c r="I211" s="26">
        <v>1</v>
      </c>
      <c r="J211" s="26">
        <v>0.12</v>
      </c>
      <c r="K211" s="26">
        <v>210</v>
      </c>
      <c r="L211" s="26">
        <v>0.1212</v>
      </c>
      <c r="M211" s="26">
        <v>0.5</v>
      </c>
      <c r="N211" s="26">
        <v>0.28360000000000002</v>
      </c>
      <c r="O211" s="26">
        <v>2</v>
      </c>
      <c r="P211" s="26">
        <v>3</v>
      </c>
      <c r="Q211" s="34">
        <v>5</v>
      </c>
    </row>
    <row r="212" spans="1:17" x14ac:dyDescent="0.25">
      <c r="A212" s="32">
        <v>211</v>
      </c>
      <c r="B212" s="33">
        <v>40553</v>
      </c>
      <c r="C212" s="26">
        <v>1</v>
      </c>
      <c r="D212" s="26">
        <v>0</v>
      </c>
      <c r="E212" s="26">
        <v>1</v>
      </c>
      <c r="F212" s="26">
        <v>1</v>
      </c>
      <c r="G212" s="26" t="b">
        <v>0</v>
      </c>
      <c r="H212" s="26">
        <v>1</v>
      </c>
      <c r="I212" s="26">
        <v>1</v>
      </c>
      <c r="J212" s="26">
        <v>0.12</v>
      </c>
      <c r="K212" s="26">
        <v>211</v>
      </c>
      <c r="L212" s="26">
        <v>0.1212</v>
      </c>
      <c r="M212" s="26">
        <v>0.5</v>
      </c>
      <c r="N212" s="26">
        <v>0.28360000000000002</v>
      </c>
      <c r="O212" s="26">
        <v>1</v>
      </c>
      <c r="P212" s="26">
        <v>0</v>
      </c>
      <c r="Q212" s="34">
        <v>1</v>
      </c>
    </row>
    <row r="213" spans="1:17" x14ac:dyDescent="0.25">
      <c r="A213" s="32">
        <v>212</v>
      </c>
      <c r="B213" s="33">
        <v>40553</v>
      </c>
      <c r="C213" s="26">
        <v>1</v>
      </c>
      <c r="D213" s="26">
        <v>0</v>
      </c>
      <c r="E213" s="26">
        <v>1</v>
      </c>
      <c r="F213" s="26">
        <v>2</v>
      </c>
      <c r="G213" s="26" t="b">
        <v>0</v>
      </c>
      <c r="H213" s="26">
        <v>1</v>
      </c>
      <c r="I213" s="26">
        <v>1</v>
      </c>
      <c r="J213" s="26">
        <v>0.12</v>
      </c>
      <c r="K213" s="26">
        <v>212</v>
      </c>
      <c r="L213" s="26">
        <v>0.1212</v>
      </c>
      <c r="M213" s="26">
        <v>0.5</v>
      </c>
      <c r="N213" s="26">
        <v>0.22389999999999999</v>
      </c>
      <c r="O213" s="26">
        <v>0</v>
      </c>
      <c r="P213" s="26">
        <v>3</v>
      </c>
      <c r="Q213" s="34">
        <v>3</v>
      </c>
    </row>
    <row r="214" spans="1:17" x14ac:dyDescent="0.25">
      <c r="A214" s="32">
        <v>213</v>
      </c>
      <c r="B214" s="33">
        <v>40553</v>
      </c>
      <c r="C214" s="26">
        <v>1</v>
      </c>
      <c r="D214" s="26">
        <v>0</v>
      </c>
      <c r="E214" s="26">
        <v>1</v>
      </c>
      <c r="F214" s="26">
        <v>3</v>
      </c>
      <c r="G214" s="26" t="b">
        <v>0</v>
      </c>
      <c r="H214" s="26">
        <v>1</v>
      </c>
      <c r="I214" s="26">
        <v>1</v>
      </c>
      <c r="J214" s="26">
        <v>0.12</v>
      </c>
      <c r="K214" s="26">
        <v>213</v>
      </c>
      <c r="L214" s="26">
        <v>0.1212</v>
      </c>
      <c r="M214" s="26">
        <v>0.5</v>
      </c>
      <c r="N214" s="26">
        <v>0.22389999999999999</v>
      </c>
      <c r="O214" s="26">
        <v>0</v>
      </c>
      <c r="P214" s="26">
        <v>1</v>
      </c>
      <c r="Q214" s="34">
        <v>1</v>
      </c>
    </row>
    <row r="215" spans="1:17" x14ac:dyDescent="0.25">
      <c r="A215" s="32">
        <v>214</v>
      </c>
      <c r="B215" s="33">
        <v>40553</v>
      </c>
      <c r="C215" s="26">
        <v>1</v>
      </c>
      <c r="D215" s="26">
        <v>0</v>
      </c>
      <c r="E215" s="26">
        <v>1</v>
      </c>
      <c r="F215" s="26">
        <v>4</v>
      </c>
      <c r="G215" s="26" t="b">
        <v>0</v>
      </c>
      <c r="H215" s="26">
        <v>1</v>
      </c>
      <c r="I215" s="26">
        <v>1</v>
      </c>
      <c r="J215" s="26">
        <v>0.1</v>
      </c>
      <c r="K215" s="26">
        <v>214</v>
      </c>
      <c r="L215" s="26">
        <v>0.1212</v>
      </c>
      <c r="M215" s="26">
        <v>0.54</v>
      </c>
      <c r="N215" s="26">
        <v>0.1343</v>
      </c>
      <c r="O215" s="26">
        <v>1</v>
      </c>
      <c r="P215" s="26">
        <v>2</v>
      </c>
      <c r="Q215" s="34">
        <v>3</v>
      </c>
    </row>
    <row r="216" spans="1:17" x14ac:dyDescent="0.25">
      <c r="A216" s="32">
        <v>215</v>
      </c>
      <c r="B216" s="33">
        <v>40553</v>
      </c>
      <c r="C216" s="26">
        <v>1</v>
      </c>
      <c r="D216" s="26">
        <v>0</v>
      </c>
      <c r="E216" s="26">
        <v>1</v>
      </c>
      <c r="F216" s="26">
        <v>5</v>
      </c>
      <c r="G216" s="26" t="b">
        <v>0</v>
      </c>
      <c r="H216" s="26">
        <v>1</v>
      </c>
      <c r="I216" s="26">
        <v>1</v>
      </c>
      <c r="J216" s="26">
        <v>0.1</v>
      </c>
      <c r="K216" s="26">
        <v>215</v>
      </c>
      <c r="L216" s="26">
        <v>0.1061</v>
      </c>
      <c r="M216" s="26">
        <v>0.54</v>
      </c>
      <c r="N216" s="26">
        <v>0.25369999999999998</v>
      </c>
      <c r="O216" s="26">
        <v>0</v>
      </c>
      <c r="P216" s="26">
        <v>3</v>
      </c>
      <c r="Q216" s="34">
        <v>3</v>
      </c>
    </row>
    <row r="217" spans="1:17" x14ac:dyDescent="0.25">
      <c r="A217" s="32">
        <v>216</v>
      </c>
      <c r="B217" s="33">
        <v>40553</v>
      </c>
      <c r="C217" s="26">
        <v>1</v>
      </c>
      <c r="D217" s="26">
        <v>0</v>
      </c>
      <c r="E217" s="26">
        <v>1</v>
      </c>
      <c r="F217" s="26">
        <v>6</v>
      </c>
      <c r="G217" s="26" t="b">
        <v>0</v>
      </c>
      <c r="H217" s="26">
        <v>1</v>
      </c>
      <c r="I217" s="26">
        <v>1</v>
      </c>
      <c r="J217" s="26">
        <v>0.12</v>
      </c>
      <c r="K217" s="26">
        <v>216</v>
      </c>
      <c r="L217" s="26">
        <v>0.1212</v>
      </c>
      <c r="M217" s="26">
        <v>0.5</v>
      </c>
      <c r="N217" s="26">
        <v>0.28360000000000002</v>
      </c>
      <c r="O217" s="26">
        <v>0</v>
      </c>
      <c r="P217" s="26">
        <v>31</v>
      </c>
      <c r="Q217" s="34">
        <v>31</v>
      </c>
    </row>
    <row r="218" spans="1:17" x14ac:dyDescent="0.25">
      <c r="A218" s="32">
        <v>217</v>
      </c>
      <c r="B218" s="33">
        <v>40553</v>
      </c>
      <c r="C218" s="26">
        <v>1</v>
      </c>
      <c r="D218" s="26">
        <v>0</v>
      </c>
      <c r="E218" s="26">
        <v>1</v>
      </c>
      <c r="F218" s="26">
        <v>7</v>
      </c>
      <c r="G218" s="26" t="b">
        <v>0</v>
      </c>
      <c r="H218" s="26">
        <v>1</v>
      </c>
      <c r="I218" s="26">
        <v>1</v>
      </c>
      <c r="J218" s="26">
        <v>0.12</v>
      </c>
      <c r="K218" s="26">
        <v>217</v>
      </c>
      <c r="L218" s="26">
        <v>0.1212</v>
      </c>
      <c r="M218" s="26">
        <v>0.5</v>
      </c>
      <c r="N218" s="26">
        <v>0.22389999999999999</v>
      </c>
      <c r="O218" s="26">
        <v>2</v>
      </c>
      <c r="P218" s="26">
        <v>75</v>
      </c>
      <c r="Q218" s="34">
        <v>77</v>
      </c>
    </row>
    <row r="219" spans="1:17" x14ac:dyDescent="0.25">
      <c r="A219" s="32">
        <v>218</v>
      </c>
      <c r="B219" s="33">
        <v>40553</v>
      </c>
      <c r="C219" s="26">
        <v>1</v>
      </c>
      <c r="D219" s="26">
        <v>0</v>
      </c>
      <c r="E219" s="26">
        <v>1</v>
      </c>
      <c r="F219" s="26">
        <v>8</v>
      </c>
      <c r="G219" s="26" t="b">
        <v>0</v>
      </c>
      <c r="H219" s="26">
        <v>1</v>
      </c>
      <c r="I219" s="26">
        <v>2</v>
      </c>
      <c r="J219" s="26">
        <v>0.12</v>
      </c>
      <c r="K219" s="26">
        <v>218</v>
      </c>
      <c r="L219" s="26">
        <v>0.1212</v>
      </c>
      <c r="M219" s="26">
        <v>0.5</v>
      </c>
      <c r="N219" s="26">
        <v>0.28360000000000002</v>
      </c>
      <c r="O219" s="26">
        <v>4</v>
      </c>
      <c r="P219" s="26">
        <v>184</v>
      </c>
      <c r="Q219" s="34">
        <v>188</v>
      </c>
    </row>
    <row r="220" spans="1:17" x14ac:dyDescent="0.25">
      <c r="A220" s="32">
        <v>219</v>
      </c>
      <c r="B220" s="33">
        <v>40553</v>
      </c>
      <c r="C220" s="26">
        <v>1</v>
      </c>
      <c r="D220" s="26">
        <v>0</v>
      </c>
      <c r="E220" s="26">
        <v>1</v>
      </c>
      <c r="F220" s="26">
        <v>9</v>
      </c>
      <c r="G220" s="26" t="b">
        <v>0</v>
      </c>
      <c r="H220" s="26">
        <v>1</v>
      </c>
      <c r="I220" s="26">
        <v>2</v>
      </c>
      <c r="J220" s="26">
        <v>0.14000000000000001</v>
      </c>
      <c r="K220" s="26">
        <v>219</v>
      </c>
      <c r="L220" s="26">
        <v>0.1212</v>
      </c>
      <c r="M220" s="26">
        <v>0.5</v>
      </c>
      <c r="N220" s="26">
        <v>0.25369999999999998</v>
      </c>
      <c r="O220" s="26">
        <v>2</v>
      </c>
      <c r="P220" s="26">
        <v>92</v>
      </c>
      <c r="Q220" s="34">
        <v>94</v>
      </c>
    </row>
    <row r="221" spans="1:17" x14ac:dyDescent="0.25">
      <c r="A221" s="32">
        <v>220</v>
      </c>
      <c r="B221" s="33">
        <v>40553</v>
      </c>
      <c r="C221" s="26">
        <v>1</v>
      </c>
      <c r="D221" s="26">
        <v>0</v>
      </c>
      <c r="E221" s="26">
        <v>1</v>
      </c>
      <c r="F221" s="26">
        <v>10</v>
      </c>
      <c r="G221" s="26" t="b">
        <v>0</v>
      </c>
      <c r="H221" s="26">
        <v>1</v>
      </c>
      <c r="I221" s="26">
        <v>2</v>
      </c>
      <c r="J221" s="26">
        <v>0.14000000000000001</v>
      </c>
      <c r="K221" s="26">
        <v>220</v>
      </c>
      <c r="L221" s="26">
        <v>0.1212</v>
      </c>
      <c r="M221" s="26">
        <v>0.5</v>
      </c>
      <c r="N221" s="26">
        <v>0.29849999999999999</v>
      </c>
      <c r="O221" s="26">
        <v>0</v>
      </c>
      <c r="P221" s="26">
        <v>31</v>
      </c>
      <c r="Q221" s="34">
        <v>31</v>
      </c>
    </row>
    <row r="222" spans="1:17" x14ac:dyDescent="0.25">
      <c r="A222" s="32">
        <v>221</v>
      </c>
      <c r="B222" s="33">
        <v>40553</v>
      </c>
      <c r="C222" s="26">
        <v>1</v>
      </c>
      <c r="D222" s="26">
        <v>0</v>
      </c>
      <c r="E222" s="26">
        <v>1</v>
      </c>
      <c r="F222" s="26">
        <v>11</v>
      </c>
      <c r="G222" s="26" t="b">
        <v>0</v>
      </c>
      <c r="H222" s="26">
        <v>1</v>
      </c>
      <c r="I222" s="26">
        <v>2</v>
      </c>
      <c r="J222" s="26">
        <v>0.16</v>
      </c>
      <c r="K222" s="26">
        <v>221</v>
      </c>
      <c r="L222" s="26">
        <v>0.13639999999999999</v>
      </c>
      <c r="M222" s="26">
        <v>0.47</v>
      </c>
      <c r="N222" s="26">
        <v>0.28360000000000002</v>
      </c>
      <c r="O222" s="26">
        <v>2</v>
      </c>
      <c r="P222" s="26">
        <v>28</v>
      </c>
      <c r="Q222" s="34">
        <v>30</v>
      </c>
    </row>
    <row r="223" spans="1:17" x14ac:dyDescent="0.25">
      <c r="A223" s="32">
        <v>222</v>
      </c>
      <c r="B223" s="33">
        <v>40553</v>
      </c>
      <c r="C223" s="26">
        <v>1</v>
      </c>
      <c r="D223" s="26">
        <v>0</v>
      </c>
      <c r="E223" s="26">
        <v>1</v>
      </c>
      <c r="F223" s="26">
        <v>12</v>
      </c>
      <c r="G223" s="26" t="b">
        <v>0</v>
      </c>
      <c r="H223" s="26">
        <v>1</v>
      </c>
      <c r="I223" s="26">
        <v>2</v>
      </c>
      <c r="J223" s="26">
        <v>0.2</v>
      </c>
      <c r="K223" s="26">
        <v>222</v>
      </c>
      <c r="L223" s="26">
        <v>0.18179999999999999</v>
      </c>
      <c r="M223" s="26">
        <v>0.4</v>
      </c>
      <c r="N223" s="26">
        <v>0.28360000000000002</v>
      </c>
      <c r="O223" s="26">
        <v>5</v>
      </c>
      <c r="P223" s="26">
        <v>47</v>
      </c>
      <c r="Q223" s="34">
        <v>52</v>
      </c>
    </row>
    <row r="224" spans="1:17" x14ac:dyDescent="0.25">
      <c r="A224" s="32">
        <v>223</v>
      </c>
      <c r="B224" s="33">
        <v>40553</v>
      </c>
      <c r="C224" s="26">
        <v>1</v>
      </c>
      <c r="D224" s="26">
        <v>0</v>
      </c>
      <c r="E224" s="26">
        <v>1</v>
      </c>
      <c r="F224" s="26">
        <v>13</v>
      </c>
      <c r="G224" s="26" t="b">
        <v>0</v>
      </c>
      <c r="H224" s="26">
        <v>1</v>
      </c>
      <c r="I224" s="26">
        <v>2</v>
      </c>
      <c r="J224" s="26">
        <v>0.2</v>
      </c>
      <c r="K224" s="26">
        <v>223</v>
      </c>
      <c r="L224" s="26">
        <v>0.18179999999999999</v>
      </c>
      <c r="M224" s="26">
        <v>0.4</v>
      </c>
      <c r="N224" s="26">
        <v>0.28360000000000002</v>
      </c>
      <c r="O224" s="26">
        <v>4</v>
      </c>
      <c r="P224" s="26">
        <v>50</v>
      </c>
      <c r="Q224" s="34">
        <v>54</v>
      </c>
    </row>
    <row r="225" spans="1:17" x14ac:dyDescent="0.25">
      <c r="A225" s="32">
        <v>224</v>
      </c>
      <c r="B225" s="33">
        <v>40553</v>
      </c>
      <c r="C225" s="26">
        <v>1</v>
      </c>
      <c r="D225" s="26">
        <v>0</v>
      </c>
      <c r="E225" s="26">
        <v>1</v>
      </c>
      <c r="F225" s="26">
        <v>14</v>
      </c>
      <c r="G225" s="26" t="b">
        <v>0</v>
      </c>
      <c r="H225" s="26">
        <v>1</v>
      </c>
      <c r="I225" s="26">
        <v>2</v>
      </c>
      <c r="J225" s="26">
        <v>0.2</v>
      </c>
      <c r="K225" s="26">
        <v>224</v>
      </c>
      <c r="L225" s="26">
        <v>0.19700000000000001</v>
      </c>
      <c r="M225" s="26">
        <v>0.4</v>
      </c>
      <c r="N225" s="26">
        <v>0.22389999999999999</v>
      </c>
      <c r="O225" s="26">
        <v>0</v>
      </c>
      <c r="P225" s="26">
        <v>47</v>
      </c>
      <c r="Q225" s="34">
        <v>47</v>
      </c>
    </row>
    <row r="226" spans="1:17" x14ac:dyDescent="0.25">
      <c r="A226" s="32">
        <v>225</v>
      </c>
      <c r="B226" s="33">
        <v>40553</v>
      </c>
      <c r="C226" s="26">
        <v>1</v>
      </c>
      <c r="D226" s="26">
        <v>0</v>
      </c>
      <c r="E226" s="26">
        <v>1</v>
      </c>
      <c r="F226" s="26">
        <v>15</v>
      </c>
      <c r="G226" s="26" t="b">
        <v>0</v>
      </c>
      <c r="H226" s="26">
        <v>1</v>
      </c>
      <c r="I226" s="26">
        <v>2</v>
      </c>
      <c r="J226" s="26">
        <v>0.2</v>
      </c>
      <c r="K226" s="26">
        <v>225</v>
      </c>
      <c r="L226" s="26">
        <v>0.19700000000000001</v>
      </c>
      <c r="M226" s="26">
        <v>0.4</v>
      </c>
      <c r="N226" s="26">
        <v>0.22389999999999999</v>
      </c>
      <c r="O226" s="26">
        <v>2</v>
      </c>
      <c r="P226" s="26">
        <v>43</v>
      </c>
      <c r="Q226" s="34">
        <v>45</v>
      </c>
    </row>
    <row r="227" spans="1:17" x14ac:dyDescent="0.25">
      <c r="A227" s="32">
        <v>226</v>
      </c>
      <c r="B227" s="33">
        <v>40553</v>
      </c>
      <c r="C227" s="26">
        <v>1</v>
      </c>
      <c r="D227" s="26">
        <v>0</v>
      </c>
      <c r="E227" s="26">
        <v>1</v>
      </c>
      <c r="F227" s="26">
        <v>16</v>
      </c>
      <c r="G227" s="26" t="b">
        <v>0</v>
      </c>
      <c r="H227" s="26">
        <v>1</v>
      </c>
      <c r="I227" s="26">
        <v>1</v>
      </c>
      <c r="J227" s="26">
        <v>0.2</v>
      </c>
      <c r="K227" s="26">
        <v>226</v>
      </c>
      <c r="L227" s="26">
        <v>0.21210000000000001</v>
      </c>
      <c r="M227" s="26">
        <v>0.4</v>
      </c>
      <c r="N227" s="26">
        <v>0.1343</v>
      </c>
      <c r="O227" s="26">
        <v>4</v>
      </c>
      <c r="P227" s="26">
        <v>70</v>
      </c>
      <c r="Q227" s="34">
        <v>74</v>
      </c>
    </row>
    <row r="228" spans="1:17" x14ac:dyDescent="0.25">
      <c r="A228" s="32">
        <v>227</v>
      </c>
      <c r="B228" s="33">
        <v>40553</v>
      </c>
      <c r="C228" s="26">
        <v>1</v>
      </c>
      <c r="D228" s="26">
        <v>0</v>
      </c>
      <c r="E228" s="26">
        <v>1</v>
      </c>
      <c r="F228" s="26">
        <v>17</v>
      </c>
      <c r="G228" s="26" t="b">
        <v>0</v>
      </c>
      <c r="H228" s="26">
        <v>1</v>
      </c>
      <c r="I228" s="26">
        <v>1</v>
      </c>
      <c r="J228" s="26">
        <v>0.2</v>
      </c>
      <c r="K228" s="26">
        <v>227</v>
      </c>
      <c r="L228" s="26">
        <v>0.2273</v>
      </c>
      <c r="M228" s="26">
        <v>0.4</v>
      </c>
      <c r="N228" s="26">
        <v>0.1045</v>
      </c>
      <c r="O228" s="26">
        <v>4</v>
      </c>
      <c r="P228" s="26">
        <v>174</v>
      </c>
      <c r="Q228" s="34">
        <v>178</v>
      </c>
    </row>
    <row r="229" spans="1:17" x14ac:dyDescent="0.25">
      <c r="A229" s="32">
        <v>228</v>
      </c>
      <c r="B229" s="33">
        <v>40553</v>
      </c>
      <c r="C229" s="26">
        <v>1</v>
      </c>
      <c r="D229" s="26">
        <v>0</v>
      </c>
      <c r="E229" s="26">
        <v>1</v>
      </c>
      <c r="F229" s="26">
        <v>18</v>
      </c>
      <c r="G229" s="26" t="b">
        <v>0</v>
      </c>
      <c r="H229" s="26">
        <v>1</v>
      </c>
      <c r="I229" s="26">
        <v>1</v>
      </c>
      <c r="J229" s="26">
        <v>0.2</v>
      </c>
      <c r="K229" s="26">
        <v>228</v>
      </c>
      <c r="L229" s="26">
        <v>0.19700000000000001</v>
      </c>
      <c r="M229" s="26">
        <v>0.4</v>
      </c>
      <c r="N229" s="26">
        <v>0.22389999999999999</v>
      </c>
      <c r="O229" s="26">
        <v>1</v>
      </c>
      <c r="P229" s="26">
        <v>154</v>
      </c>
      <c r="Q229" s="34">
        <v>155</v>
      </c>
    </row>
    <row r="230" spans="1:17" x14ac:dyDescent="0.25">
      <c r="A230" s="32">
        <v>229</v>
      </c>
      <c r="B230" s="33">
        <v>40553</v>
      </c>
      <c r="C230" s="26">
        <v>1</v>
      </c>
      <c r="D230" s="26">
        <v>0</v>
      </c>
      <c r="E230" s="26">
        <v>1</v>
      </c>
      <c r="F230" s="26">
        <v>19</v>
      </c>
      <c r="G230" s="26" t="b">
        <v>0</v>
      </c>
      <c r="H230" s="26">
        <v>1</v>
      </c>
      <c r="I230" s="26">
        <v>1</v>
      </c>
      <c r="J230" s="26">
        <v>0.16</v>
      </c>
      <c r="K230" s="26">
        <v>229</v>
      </c>
      <c r="L230" s="26">
        <v>0.16669999999999999</v>
      </c>
      <c r="M230" s="26">
        <v>0.47</v>
      </c>
      <c r="N230" s="26">
        <v>0.16420000000000001</v>
      </c>
      <c r="O230" s="26">
        <v>3</v>
      </c>
      <c r="P230" s="26">
        <v>92</v>
      </c>
      <c r="Q230" s="34">
        <v>95</v>
      </c>
    </row>
    <row r="231" spans="1:17" x14ac:dyDescent="0.25">
      <c r="A231" s="32">
        <v>230</v>
      </c>
      <c r="B231" s="33">
        <v>40553</v>
      </c>
      <c r="C231" s="26">
        <v>1</v>
      </c>
      <c r="D231" s="26">
        <v>0</v>
      </c>
      <c r="E231" s="26">
        <v>1</v>
      </c>
      <c r="F231" s="26">
        <v>20</v>
      </c>
      <c r="G231" s="26" t="b">
        <v>0</v>
      </c>
      <c r="H231" s="26">
        <v>1</v>
      </c>
      <c r="I231" s="26">
        <v>1</v>
      </c>
      <c r="J231" s="26">
        <v>0.16</v>
      </c>
      <c r="K231" s="26">
        <v>230</v>
      </c>
      <c r="L231" s="26">
        <v>0.16669999999999999</v>
      </c>
      <c r="M231" s="26">
        <v>0.5</v>
      </c>
      <c r="N231" s="26">
        <v>0.16420000000000001</v>
      </c>
      <c r="O231" s="26">
        <v>1</v>
      </c>
      <c r="P231" s="26">
        <v>73</v>
      </c>
      <c r="Q231" s="34">
        <v>74</v>
      </c>
    </row>
    <row r="232" spans="1:17" x14ac:dyDescent="0.25">
      <c r="A232" s="32">
        <v>231</v>
      </c>
      <c r="B232" s="33">
        <v>40553</v>
      </c>
      <c r="C232" s="26">
        <v>1</v>
      </c>
      <c r="D232" s="26">
        <v>0</v>
      </c>
      <c r="E232" s="26">
        <v>1</v>
      </c>
      <c r="F232" s="26">
        <v>21</v>
      </c>
      <c r="G232" s="26" t="b">
        <v>0</v>
      </c>
      <c r="H232" s="26">
        <v>1</v>
      </c>
      <c r="I232" s="26">
        <v>1</v>
      </c>
      <c r="J232" s="26">
        <v>0.14000000000000001</v>
      </c>
      <c r="K232" s="26">
        <v>231</v>
      </c>
      <c r="L232" s="26">
        <v>0.13639999999999999</v>
      </c>
      <c r="M232" s="26">
        <v>0.59</v>
      </c>
      <c r="N232" s="26">
        <v>0.19400000000000001</v>
      </c>
      <c r="O232" s="26">
        <v>1</v>
      </c>
      <c r="P232" s="26">
        <v>37</v>
      </c>
      <c r="Q232" s="34">
        <v>38</v>
      </c>
    </row>
    <row r="233" spans="1:17" x14ac:dyDescent="0.25">
      <c r="A233" s="32">
        <v>232</v>
      </c>
      <c r="B233" s="33">
        <v>40553</v>
      </c>
      <c r="C233" s="26">
        <v>1</v>
      </c>
      <c r="D233" s="26">
        <v>0</v>
      </c>
      <c r="E233" s="26">
        <v>1</v>
      </c>
      <c r="F233" s="26">
        <v>22</v>
      </c>
      <c r="G233" s="26" t="b">
        <v>0</v>
      </c>
      <c r="H233" s="26">
        <v>1</v>
      </c>
      <c r="I233" s="26">
        <v>1</v>
      </c>
      <c r="J233" s="26">
        <v>0.14000000000000001</v>
      </c>
      <c r="K233" s="26">
        <v>232</v>
      </c>
      <c r="L233" s="26">
        <v>0.1515</v>
      </c>
      <c r="M233" s="26">
        <v>0.59</v>
      </c>
      <c r="N233" s="26">
        <v>0.16420000000000001</v>
      </c>
      <c r="O233" s="26">
        <v>2</v>
      </c>
      <c r="P233" s="26">
        <v>22</v>
      </c>
      <c r="Q233" s="34">
        <v>24</v>
      </c>
    </row>
    <row r="234" spans="1:17" x14ac:dyDescent="0.25">
      <c r="A234" s="32">
        <v>233</v>
      </c>
      <c r="B234" s="33">
        <v>40553</v>
      </c>
      <c r="C234" s="26">
        <v>1</v>
      </c>
      <c r="D234" s="26">
        <v>0</v>
      </c>
      <c r="E234" s="26">
        <v>1</v>
      </c>
      <c r="F234" s="26">
        <v>23</v>
      </c>
      <c r="G234" s="26" t="b">
        <v>0</v>
      </c>
      <c r="H234" s="26">
        <v>1</v>
      </c>
      <c r="I234" s="26">
        <v>1</v>
      </c>
      <c r="J234" s="26">
        <v>0.14000000000000001</v>
      </c>
      <c r="K234" s="26">
        <v>233</v>
      </c>
      <c r="L234" s="26">
        <v>0.1515</v>
      </c>
      <c r="M234" s="26">
        <v>0.59</v>
      </c>
      <c r="N234" s="26">
        <v>0.16420000000000001</v>
      </c>
      <c r="O234" s="26">
        <v>0</v>
      </c>
      <c r="P234" s="26">
        <v>18</v>
      </c>
      <c r="Q234" s="34">
        <v>18</v>
      </c>
    </row>
    <row r="235" spans="1:17" x14ac:dyDescent="0.25">
      <c r="A235" s="32">
        <v>234</v>
      </c>
      <c r="B235" s="33">
        <v>40554</v>
      </c>
      <c r="C235" s="26">
        <v>1</v>
      </c>
      <c r="D235" s="26">
        <v>0</v>
      </c>
      <c r="E235" s="26">
        <v>1</v>
      </c>
      <c r="F235" s="26">
        <v>0</v>
      </c>
      <c r="G235" s="26" t="b">
        <v>0</v>
      </c>
      <c r="H235" s="26">
        <v>2</v>
      </c>
      <c r="I235" s="26">
        <v>1</v>
      </c>
      <c r="J235" s="26">
        <v>0.14000000000000001</v>
      </c>
      <c r="K235" s="26">
        <v>234</v>
      </c>
      <c r="L235" s="26">
        <v>0.16669999999999999</v>
      </c>
      <c r="M235" s="26">
        <v>0.59</v>
      </c>
      <c r="N235" s="26">
        <v>0.1045</v>
      </c>
      <c r="O235" s="26">
        <v>2</v>
      </c>
      <c r="P235" s="26">
        <v>10</v>
      </c>
      <c r="Q235" s="34">
        <v>12</v>
      </c>
    </row>
    <row r="236" spans="1:17" x14ac:dyDescent="0.25">
      <c r="A236" s="32">
        <v>235</v>
      </c>
      <c r="B236" s="33">
        <v>40554</v>
      </c>
      <c r="C236" s="26">
        <v>1</v>
      </c>
      <c r="D236" s="26">
        <v>0</v>
      </c>
      <c r="E236" s="26">
        <v>1</v>
      </c>
      <c r="F236" s="26">
        <v>1</v>
      </c>
      <c r="G236" s="26" t="b">
        <v>0</v>
      </c>
      <c r="H236" s="26">
        <v>2</v>
      </c>
      <c r="I236" s="26">
        <v>1</v>
      </c>
      <c r="J236" s="26">
        <v>0.14000000000000001</v>
      </c>
      <c r="K236" s="26">
        <v>235</v>
      </c>
      <c r="L236" s="26">
        <v>0.1515</v>
      </c>
      <c r="M236" s="26">
        <v>0.59</v>
      </c>
      <c r="N236" s="26">
        <v>0.16420000000000001</v>
      </c>
      <c r="O236" s="26">
        <v>0</v>
      </c>
      <c r="P236" s="26">
        <v>3</v>
      </c>
      <c r="Q236" s="34">
        <v>3</v>
      </c>
    </row>
    <row r="237" spans="1:17" x14ac:dyDescent="0.25">
      <c r="A237" s="32">
        <v>236</v>
      </c>
      <c r="B237" s="33">
        <v>40554</v>
      </c>
      <c r="C237" s="26">
        <v>1</v>
      </c>
      <c r="D237" s="26">
        <v>0</v>
      </c>
      <c r="E237" s="26">
        <v>1</v>
      </c>
      <c r="F237" s="26">
        <v>2</v>
      </c>
      <c r="G237" s="26" t="b">
        <v>0</v>
      </c>
      <c r="H237" s="26">
        <v>2</v>
      </c>
      <c r="I237" s="26">
        <v>2</v>
      </c>
      <c r="J237" s="26">
        <v>0.16</v>
      </c>
      <c r="K237" s="26">
        <v>236</v>
      </c>
      <c r="L237" s="26">
        <v>0.1515</v>
      </c>
      <c r="M237" s="26">
        <v>0.55000000000000004</v>
      </c>
      <c r="N237" s="26">
        <v>0.19400000000000001</v>
      </c>
      <c r="O237" s="26">
        <v>0</v>
      </c>
      <c r="P237" s="26">
        <v>3</v>
      </c>
      <c r="Q237" s="34">
        <v>3</v>
      </c>
    </row>
    <row r="238" spans="1:17" x14ac:dyDescent="0.25">
      <c r="A238" s="32">
        <v>237</v>
      </c>
      <c r="B238" s="33">
        <v>40554</v>
      </c>
      <c r="C238" s="26">
        <v>1</v>
      </c>
      <c r="D238" s="26">
        <v>0</v>
      </c>
      <c r="E238" s="26">
        <v>1</v>
      </c>
      <c r="F238" s="26">
        <v>5</v>
      </c>
      <c r="G238" s="26" t="b">
        <v>0</v>
      </c>
      <c r="H238" s="26">
        <v>2</v>
      </c>
      <c r="I238" s="26">
        <v>2</v>
      </c>
      <c r="J238" s="26">
        <v>0.16</v>
      </c>
      <c r="K238" s="26">
        <v>237</v>
      </c>
      <c r="L238" s="26">
        <v>0.18179999999999999</v>
      </c>
      <c r="M238" s="26">
        <v>0.55000000000000004</v>
      </c>
      <c r="N238" s="26">
        <v>0.1343</v>
      </c>
      <c r="O238" s="26">
        <v>0</v>
      </c>
      <c r="P238" s="26">
        <v>6</v>
      </c>
      <c r="Q238" s="34">
        <v>6</v>
      </c>
    </row>
    <row r="239" spans="1:17" x14ac:dyDescent="0.25">
      <c r="A239" s="32">
        <v>238</v>
      </c>
      <c r="B239" s="33">
        <v>40554</v>
      </c>
      <c r="C239" s="26">
        <v>1</v>
      </c>
      <c r="D239" s="26">
        <v>0</v>
      </c>
      <c r="E239" s="26">
        <v>1</v>
      </c>
      <c r="F239" s="26">
        <v>6</v>
      </c>
      <c r="G239" s="26" t="b">
        <v>0</v>
      </c>
      <c r="H239" s="26">
        <v>2</v>
      </c>
      <c r="I239" s="26">
        <v>2</v>
      </c>
      <c r="J239" s="26">
        <v>0.16</v>
      </c>
      <c r="K239" s="26">
        <v>238</v>
      </c>
      <c r="L239" s="26">
        <v>0.18179999999999999</v>
      </c>
      <c r="M239" s="26">
        <v>0.55000000000000004</v>
      </c>
      <c r="N239" s="26">
        <v>0.1343</v>
      </c>
      <c r="O239" s="26">
        <v>0</v>
      </c>
      <c r="P239" s="26">
        <v>27</v>
      </c>
      <c r="Q239" s="34">
        <v>27</v>
      </c>
    </row>
    <row r="240" spans="1:17" x14ac:dyDescent="0.25">
      <c r="A240" s="32">
        <v>239</v>
      </c>
      <c r="B240" s="33">
        <v>40554</v>
      </c>
      <c r="C240" s="26">
        <v>1</v>
      </c>
      <c r="D240" s="26">
        <v>0</v>
      </c>
      <c r="E240" s="26">
        <v>1</v>
      </c>
      <c r="F240" s="26">
        <v>7</v>
      </c>
      <c r="G240" s="26" t="b">
        <v>0</v>
      </c>
      <c r="H240" s="26">
        <v>2</v>
      </c>
      <c r="I240" s="26">
        <v>2</v>
      </c>
      <c r="J240" s="26">
        <v>0.16</v>
      </c>
      <c r="K240" s="26">
        <v>239</v>
      </c>
      <c r="L240" s="26">
        <v>0.2273</v>
      </c>
      <c r="M240" s="26">
        <v>0.55000000000000004</v>
      </c>
      <c r="N240" s="26">
        <v>0</v>
      </c>
      <c r="O240" s="26">
        <v>2</v>
      </c>
      <c r="P240" s="26">
        <v>97</v>
      </c>
      <c r="Q240" s="34">
        <v>99</v>
      </c>
    </row>
    <row r="241" spans="1:17" x14ac:dyDescent="0.25">
      <c r="A241" s="32">
        <v>240</v>
      </c>
      <c r="B241" s="33">
        <v>40554</v>
      </c>
      <c r="C241" s="26">
        <v>1</v>
      </c>
      <c r="D241" s="26">
        <v>0</v>
      </c>
      <c r="E241" s="26">
        <v>1</v>
      </c>
      <c r="F241" s="26">
        <v>8</v>
      </c>
      <c r="G241" s="26" t="b">
        <v>0</v>
      </c>
      <c r="H241" s="26">
        <v>2</v>
      </c>
      <c r="I241" s="26">
        <v>2</v>
      </c>
      <c r="J241" s="26">
        <v>0.18</v>
      </c>
      <c r="K241" s="26">
        <v>240</v>
      </c>
      <c r="L241" s="26">
        <v>0.21210000000000001</v>
      </c>
      <c r="M241" s="26">
        <v>0.51</v>
      </c>
      <c r="N241" s="26">
        <v>8.9599999999999999E-2</v>
      </c>
      <c r="O241" s="26">
        <v>3</v>
      </c>
      <c r="P241" s="26">
        <v>214</v>
      </c>
      <c r="Q241" s="34">
        <v>217</v>
      </c>
    </row>
    <row r="242" spans="1:17" x14ac:dyDescent="0.25">
      <c r="A242" s="32">
        <v>241</v>
      </c>
      <c r="B242" s="33">
        <v>40554</v>
      </c>
      <c r="C242" s="26">
        <v>1</v>
      </c>
      <c r="D242" s="26">
        <v>0</v>
      </c>
      <c r="E242" s="26">
        <v>1</v>
      </c>
      <c r="F242" s="26">
        <v>9</v>
      </c>
      <c r="G242" s="26" t="b">
        <v>0</v>
      </c>
      <c r="H242" s="26">
        <v>2</v>
      </c>
      <c r="I242" s="26">
        <v>2</v>
      </c>
      <c r="J242" s="26">
        <v>0.18</v>
      </c>
      <c r="K242" s="26">
        <v>241</v>
      </c>
      <c r="L242" s="26">
        <v>0.19700000000000001</v>
      </c>
      <c r="M242" s="26">
        <v>0.51</v>
      </c>
      <c r="N242" s="26">
        <v>0.16420000000000001</v>
      </c>
      <c r="O242" s="26">
        <v>3</v>
      </c>
      <c r="P242" s="26">
        <v>127</v>
      </c>
      <c r="Q242" s="34">
        <v>130</v>
      </c>
    </row>
    <row r="243" spans="1:17" x14ac:dyDescent="0.25">
      <c r="A243" s="32">
        <v>242</v>
      </c>
      <c r="B243" s="33">
        <v>40554</v>
      </c>
      <c r="C243" s="26">
        <v>1</v>
      </c>
      <c r="D243" s="26">
        <v>0</v>
      </c>
      <c r="E243" s="26">
        <v>1</v>
      </c>
      <c r="F243" s="26">
        <v>10</v>
      </c>
      <c r="G243" s="26" t="b">
        <v>0</v>
      </c>
      <c r="H243" s="26">
        <v>2</v>
      </c>
      <c r="I243" s="26">
        <v>2</v>
      </c>
      <c r="J243" s="26">
        <v>0.2</v>
      </c>
      <c r="K243" s="26">
        <v>242</v>
      </c>
      <c r="L243" s="26">
        <v>0.21210000000000001</v>
      </c>
      <c r="M243" s="26">
        <v>0.51</v>
      </c>
      <c r="N243" s="26">
        <v>0.16420000000000001</v>
      </c>
      <c r="O243" s="26">
        <v>3</v>
      </c>
      <c r="P243" s="26">
        <v>51</v>
      </c>
      <c r="Q243" s="34">
        <v>54</v>
      </c>
    </row>
    <row r="244" spans="1:17" x14ac:dyDescent="0.25">
      <c r="A244" s="32">
        <v>243</v>
      </c>
      <c r="B244" s="33">
        <v>40554</v>
      </c>
      <c r="C244" s="26">
        <v>1</v>
      </c>
      <c r="D244" s="26">
        <v>0</v>
      </c>
      <c r="E244" s="26">
        <v>1</v>
      </c>
      <c r="F244" s="26">
        <v>11</v>
      </c>
      <c r="G244" s="26" t="b">
        <v>0</v>
      </c>
      <c r="H244" s="26">
        <v>2</v>
      </c>
      <c r="I244" s="26">
        <v>2</v>
      </c>
      <c r="J244" s="26">
        <v>0.2</v>
      </c>
      <c r="K244" s="26">
        <v>243</v>
      </c>
      <c r="L244" s="26">
        <v>0.21210000000000001</v>
      </c>
      <c r="M244" s="26">
        <v>0.47</v>
      </c>
      <c r="N244" s="26">
        <v>0.1343</v>
      </c>
      <c r="O244" s="26">
        <v>4</v>
      </c>
      <c r="P244" s="26">
        <v>31</v>
      </c>
      <c r="Q244" s="34">
        <v>35</v>
      </c>
    </row>
    <row r="245" spans="1:17" x14ac:dyDescent="0.25">
      <c r="A245" s="32">
        <v>244</v>
      </c>
      <c r="B245" s="33">
        <v>40554</v>
      </c>
      <c r="C245" s="26">
        <v>1</v>
      </c>
      <c r="D245" s="26">
        <v>0</v>
      </c>
      <c r="E245" s="26">
        <v>1</v>
      </c>
      <c r="F245" s="26">
        <v>12</v>
      </c>
      <c r="G245" s="26" t="b">
        <v>0</v>
      </c>
      <c r="H245" s="26">
        <v>2</v>
      </c>
      <c r="I245" s="26">
        <v>2</v>
      </c>
      <c r="J245" s="26">
        <v>0.2</v>
      </c>
      <c r="K245" s="26">
        <v>244</v>
      </c>
      <c r="L245" s="26">
        <v>0.2273</v>
      </c>
      <c r="M245" s="26">
        <v>0.51</v>
      </c>
      <c r="N245" s="26">
        <v>0.1045</v>
      </c>
      <c r="O245" s="26">
        <v>2</v>
      </c>
      <c r="P245" s="26">
        <v>55</v>
      </c>
      <c r="Q245" s="34">
        <v>57</v>
      </c>
    </row>
    <row r="246" spans="1:17" x14ac:dyDescent="0.25">
      <c r="A246" s="32">
        <v>245</v>
      </c>
      <c r="B246" s="33">
        <v>40554</v>
      </c>
      <c r="C246" s="26">
        <v>1</v>
      </c>
      <c r="D246" s="26">
        <v>0</v>
      </c>
      <c r="E246" s="26">
        <v>1</v>
      </c>
      <c r="F246" s="26">
        <v>13</v>
      </c>
      <c r="G246" s="26" t="b">
        <v>0</v>
      </c>
      <c r="H246" s="26">
        <v>2</v>
      </c>
      <c r="I246" s="26">
        <v>2</v>
      </c>
      <c r="J246" s="26">
        <v>0.2</v>
      </c>
      <c r="K246" s="26">
        <v>245</v>
      </c>
      <c r="L246" s="26">
        <v>0.2273</v>
      </c>
      <c r="M246" s="26">
        <v>0.59</v>
      </c>
      <c r="N246" s="26">
        <v>8.9599999999999999E-2</v>
      </c>
      <c r="O246" s="26">
        <v>6</v>
      </c>
      <c r="P246" s="26">
        <v>46</v>
      </c>
      <c r="Q246" s="34">
        <v>52</v>
      </c>
    </row>
    <row r="247" spans="1:17" x14ac:dyDescent="0.25">
      <c r="A247" s="32">
        <v>246</v>
      </c>
      <c r="B247" s="33">
        <v>40554</v>
      </c>
      <c r="C247" s="26">
        <v>1</v>
      </c>
      <c r="D247" s="26">
        <v>0</v>
      </c>
      <c r="E247" s="26">
        <v>1</v>
      </c>
      <c r="F247" s="26">
        <v>14</v>
      </c>
      <c r="G247" s="26" t="b">
        <v>0</v>
      </c>
      <c r="H247" s="26">
        <v>2</v>
      </c>
      <c r="I247" s="26">
        <v>2</v>
      </c>
      <c r="J247" s="26">
        <v>0.2</v>
      </c>
      <c r="K247" s="26">
        <v>246</v>
      </c>
      <c r="L247" s="26">
        <v>0.2273</v>
      </c>
      <c r="M247" s="26">
        <v>0.59</v>
      </c>
      <c r="N247" s="26">
        <v>8.9599999999999999E-2</v>
      </c>
      <c r="O247" s="26">
        <v>3</v>
      </c>
      <c r="P247" s="26">
        <v>60</v>
      </c>
      <c r="Q247" s="34">
        <v>63</v>
      </c>
    </row>
    <row r="248" spans="1:17" x14ac:dyDescent="0.25">
      <c r="A248" s="32">
        <v>247</v>
      </c>
      <c r="B248" s="33">
        <v>40554</v>
      </c>
      <c r="C248" s="26">
        <v>1</v>
      </c>
      <c r="D248" s="26">
        <v>0</v>
      </c>
      <c r="E248" s="26">
        <v>1</v>
      </c>
      <c r="F248" s="26">
        <v>15</v>
      </c>
      <c r="G248" s="26" t="b">
        <v>0</v>
      </c>
      <c r="H248" s="26">
        <v>2</v>
      </c>
      <c r="I248" s="26">
        <v>2</v>
      </c>
      <c r="J248" s="26">
        <v>0.16</v>
      </c>
      <c r="K248" s="26">
        <v>247</v>
      </c>
      <c r="L248" s="26">
        <v>0.19700000000000001</v>
      </c>
      <c r="M248" s="26">
        <v>0.8</v>
      </c>
      <c r="N248" s="26">
        <v>8.9599999999999999E-2</v>
      </c>
      <c r="O248" s="26">
        <v>2</v>
      </c>
      <c r="P248" s="26">
        <v>45</v>
      </c>
      <c r="Q248" s="34">
        <v>47</v>
      </c>
    </row>
    <row r="249" spans="1:17" x14ac:dyDescent="0.25">
      <c r="A249" s="32">
        <v>248</v>
      </c>
      <c r="B249" s="33">
        <v>40554</v>
      </c>
      <c r="C249" s="26">
        <v>1</v>
      </c>
      <c r="D249" s="26">
        <v>0</v>
      </c>
      <c r="E249" s="26">
        <v>1</v>
      </c>
      <c r="F249" s="26">
        <v>16</v>
      </c>
      <c r="G249" s="26" t="b">
        <v>0</v>
      </c>
      <c r="H249" s="26">
        <v>2</v>
      </c>
      <c r="I249" s="26">
        <v>2</v>
      </c>
      <c r="J249" s="26">
        <v>0.16</v>
      </c>
      <c r="K249" s="26">
        <v>248</v>
      </c>
      <c r="L249" s="26">
        <v>0.1515</v>
      </c>
      <c r="M249" s="26">
        <v>0.86</v>
      </c>
      <c r="N249" s="26">
        <v>0.22389999999999999</v>
      </c>
      <c r="O249" s="26">
        <v>4</v>
      </c>
      <c r="P249" s="26">
        <v>72</v>
      </c>
      <c r="Q249" s="34">
        <v>76</v>
      </c>
    </row>
    <row r="250" spans="1:17" x14ac:dyDescent="0.25">
      <c r="A250" s="32">
        <v>249</v>
      </c>
      <c r="B250" s="33">
        <v>40554</v>
      </c>
      <c r="C250" s="26">
        <v>1</v>
      </c>
      <c r="D250" s="26">
        <v>0</v>
      </c>
      <c r="E250" s="26">
        <v>1</v>
      </c>
      <c r="F250" s="26">
        <v>17</v>
      </c>
      <c r="G250" s="26" t="b">
        <v>0</v>
      </c>
      <c r="H250" s="26">
        <v>2</v>
      </c>
      <c r="I250" s="26">
        <v>2</v>
      </c>
      <c r="J250" s="26">
        <v>0.16</v>
      </c>
      <c r="K250" s="26">
        <v>249</v>
      </c>
      <c r="L250" s="26">
        <v>0.1515</v>
      </c>
      <c r="M250" s="26">
        <v>0.86</v>
      </c>
      <c r="N250" s="26">
        <v>0.22389999999999999</v>
      </c>
      <c r="O250" s="26">
        <v>6</v>
      </c>
      <c r="P250" s="26">
        <v>130</v>
      </c>
      <c r="Q250" s="34">
        <v>136</v>
      </c>
    </row>
    <row r="251" spans="1:17" x14ac:dyDescent="0.25">
      <c r="A251" s="32">
        <v>250</v>
      </c>
      <c r="B251" s="33">
        <v>40554</v>
      </c>
      <c r="C251" s="26">
        <v>1</v>
      </c>
      <c r="D251" s="26">
        <v>0</v>
      </c>
      <c r="E251" s="26">
        <v>1</v>
      </c>
      <c r="F251" s="26">
        <v>18</v>
      </c>
      <c r="G251" s="26" t="b">
        <v>0</v>
      </c>
      <c r="H251" s="26">
        <v>2</v>
      </c>
      <c r="I251" s="26">
        <v>3</v>
      </c>
      <c r="J251" s="26">
        <v>0.16</v>
      </c>
      <c r="K251" s="26">
        <v>250</v>
      </c>
      <c r="L251" s="26">
        <v>0.18179999999999999</v>
      </c>
      <c r="M251" s="26">
        <v>0.93</v>
      </c>
      <c r="N251" s="26">
        <v>0.1045</v>
      </c>
      <c r="O251" s="26">
        <v>1</v>
      </c>
      <c r="P251" s="26">
        <v>94</v>
      </c>
      <c r="Q251" s="34">
        <v>95</v>
      </c>
    </row>
    <row r="252" spans="1:17" x14ac:dyDescent="0.25">
      <c r="A252" s="32">
        <v>251</v>
      </c>
      <c r="B252" s="33">
        <v>40554</v>
      </c>
      <c r="C252" s="26">
        <v>1</v>
      </c>
      <c r="D252" s="26">
        <v>0</v>
      </c>
      <c r="E252" s="26">
        <v>1</v>
      </c>
      <c r="F252" s="26">
        <v>19</v>
      </c>
      <c r="G252" s="26" t="b">
        <v>0</v>
      </c>
      <c r="H252" s="26">
        <v>2</v>
      </c>
      <c r="I252" s="26">
        <v>3</v>
      </c>
      <c r="J252" s="26">
        <v>0.16</v>
      </c>
      <c r="K252" s="26">
        <v>251</v>
      </c>
      <c r="L252" s="26">
        <v>0.2273</v>
      </c>
      <c r="M252" s="26">
        <v>0.93</v>
      </c>
      <c r="N252" s="26">
        <v>0</v>
      </c>
      <c r="O252" s="26">
        <v>0</v>
      </c>
      <c r="P252" s="26">
        <v>51</v>
      </c>
      <c r="Q252" s="34">
        <v>51</v>
      </c>
    </row>
    <row r="253" spans="1:17" x14ac:dyDescent="0.25">
      <c r="A253" s="32">
        <v>252</v>
      </c>
      <c r="B253" s="33">
        <v>40554</v>
      </c>
      <c r="C253" s="26">
        <v>1</v>
      </c>
      <c r="D253" s="26">
        <v>0</v>
      </c>
      <c r="E253" s="26">
        <v>1</v>
      </c>
      <c r="F253" s="26">
        <v>20</v>
      </c>
      <c r="G253" s="26" t="b">
        <v>0</v>
      </c>
      <c r="H253" s="26">
        <v>2</v>
      </c>
      <c r="I253" s="26">
        <v>3</v>
      </c>
      <c r="J253" s="26">
        <v>0.16</v>
      </c>
      <c r="K253" s="26">
        <v>252</v>
      </c>
      <c r="L253" s="26">
        <v>0.1515</v>
      </c>
      <c r="M253" s="26">
        <v>0.93</v>
      </c>
      <c r="N253" s="26">
        <v>0.19400000000000001</v>
      </c>
      <c r="O253" s="26">
        <v>0</v>
      </c>
      <c r="P253" s="26">
        <v>32</v>
      </c>
      <c r="Q253" s="34">
        <v>32</v>
      </c>
    </row>
    <row r="254" spans="1:17" x14ac:dyDescent="0.25">
      <c r="A254" s="32">
        <v>253</v>
      </c>
      <c r="B254" s="33">
        <v>40554</v>
      </c>
      <c r="C254" s="26">
        <v>1</v>
      </c>
      <c r="D254" s="26">
        <v>0</v>
      </c>
      <c r="E254" s="26">
        <v>1</v>
      </c>
      <c r="F254" s="26">
        <v>21</v>
      </c>
      <c r="G254" s="26" t="b">
        <v>0</v>
      </c>
      <c r="H254" s="26">
        <v>2</v>
      </c>
      <c r="I254" s="26">
        <v>3</v>
      </c>
      <c r="J254" s="26">
        <v>0.16</v>
      </c>
      <c r="K254" s="26">
        <v>253</v>
      </c>
      <c r="L254" s="26">
        <v>0.19700000000000001</v>
      </c>
      <c r="M254" s="26">
        <v>0.86</v>
      </c>
      <c r="N254" s="26">
        <v>8.9599999999999999E-2</v>
      </c>
      <c r="O254" s="26">
        <v>0</v>
      </c>
      <c r="P254" s="26">
        <v>20</v>
      </c>
      <c r="Q254" s="34">
        <v>20</v>
      </c>
    </row>
    <row r="255" spans="1:17" x14ac:dyDescent="0.25">
      <c r="A255" s="32">
        <v>254</v>
      </c>
      <c r="B255" s="33">
        <v>40554</v>
      </c>
      <c r="C255" s="26">
        <v>1</v>
      </c>
      <c r="D255" s="26">
        <v>0</v>
      </c>
      <c r="E255" s="26">
        <v>1</v>
      </c>
      <c r="F255" s="26">
        <v>22</v>
      </c>
      <c r="G255" s="26" t="b">
        <v>0</v>
      </c>
      <c r="H255" s="26">
        <v>2</v>
      </c>
      <c r="I255" s="26">
        <v>3</v>
      </c>
      <c r="J255" s="26">
        <v>0.16</v>
      </c>
      <c r="K255" s="26">
        <v>254</v>
      </c>
      <c r="L255" s="26">
        <v>0.18179999999999999</v>
      </c>
      <c r="M255" s="26">
        <v>0.93</v>
      </c>
      <c r="N255" s="26">
        <v>0.1045</v>
      </c>
      <c r="O255" s="26">
        <v>1</v>
      </c>
      <c r="P255" s="26">
        <v>28</v>
      </c>
      <c r="Q255" s="34">
        <v>29</v>
      </c>
    </row>
    <row r="256" spans="1:17" x14ac:dyDescent="0.25">
      <c r="A256" s="32">
        <v>255</v>
      </c>
      <c r="B256" s="33">
        <v>40554</v>
      </c>
      <c r="C256" s="26">
        <v>1</v>
      </c>
      <c r="D256" s="26">
        <v>0</v>
      </c>
      <c r="E256" s="26">
        <v>1</v>
      </c>
      <c r="F256" s="26">
        <v>23</v>
      </c>
      <c r="G256" s="26" t="b">
        <v>0</v>
      </c>
      <c r="H256" s="26">
        <v>2</v>
      </c>
      <c r="I256" s="26">
        <v>3</v>
      </c>
      <c r="J256" s="26">
        <v>0.16</v>
      </c>
      <c r="K256" s="26">
        <v>255</v>
      </c>
      <c r="L256" s="26">
        <v>0.19700000000000001</v>
      </c>
      <c r="M256" s="26">
        <v>0.93</v>
      </c>
      <c r="N256" s="26">
        <v>8.9599999999999999E-2</v>
      </c>
      <c r="O256" s="26">
        <v>1</v>
      </c>
      <c r="P256" s="26">
        <v>18</v>
      </c>
      <c r="Q256" s="34">
        <v>19</v>
      </c>
    </row>
    <row r="257" spans="1:17" x14ac:dyDescent="0.25">
      <c r="A257" s="32">
        <v>256</v>
      </c>
      <c r="B257" s="33">
        <v>40555</v>
      </c>
      <c r="C257" s="26">
        <v>1</v>
      </c>
      <c r="D257" s="26">
        <v>0</v>
      </c>
      <c r="E257" s="26">
        <v>1</v>
      </c>
      <c r="F257" s="26">
        <v>0</v>
      </c>
      <c r="G257" s="26" t="b">
        <v>0</v>
      </c>
      <c r="H257" s="26">
        <v>3</v>
      </c>
      <c r="I257" s="26">
        <v>2</v>
      </c>
      <c r="J257" s="26">
        <v>0.16</v>
      </c>
      <c r="K257" s="26">
        <v>256</v>
      </c>
      <c r="L257" s="26">
        <v>0.19700000000000001</v>
      </c>
      <c r="M257" s="26">
        <v>0.86</v>
      </c>
      <c r="N257" s="26">
        <v>8.9599999999999999E-2</v>
      </c>
      <c r="O257" s="26">
        <v>0</v>
      </c>
      <c r="P257" s="26">
        <v>7</v>
      </c>
      <c r="Q257" s="34">
        <v>7</v>
      </c>
    </row>
    <row r="258" spans="1:17" x14ac:dyDescent="0.25">
      <c r="A258" s="32">
        <v>257</v>
      </c>
      <c r="B258" s="33">
        <v>40555</v>
      </c>
      <c r="C258" s="26">
        <v>1</v>
      </c>
      <c r="D258" s="26">
        <v>0</v>
      </c>
      <c r="E258" s="26">
        <v>1</v>
      </c>
      <c r="F258" s="26">
        <v>1</v>
      </c>
      <c r="G258" s="26" t="b">
        <v>0</v>
      </c>
      <c r="H258" s="26">
        <v>3</v>
      </c>
      <c r="I258" s="26">
        <v>2</v>
      </c>
      <c r="J258" s="26">
        <v>0.16</v>
      </c>
      <c r="K258" s="26">
        <v>257</v>
      </c>
      <c r="L258" s="26">
        <v>0.18179999999999999</v>
      </c>
      <c r="M258" s="26">
        <v>0.86</v>
      </c>
      <c r="N258" s="26">
        <v>0.1045</v>
      </c>
      <c r="O258" s="26">
        <v>0</v>
      </c>
      <c r="P258" s="26">
        <v>6</v>
      </c>
      <c r="Q258" s="34">
        <v>6</v>
      </c>
    </row>
    <row r="259" spans="1:17" x14ac:dyDescent="0.25">
      <c r="A259" s="32">
        <v>258</v>
      </c>
      <c r="B259" s="33">
        <v>40555</v>
      </c>
      <c r="C259" s="26">
        <v>1</v>
      </c>
      <c r="D259" s="26">
        <v>0</v>
      </c>
      <c r="E259" s="26">
        <v>1</v>
      </c>
      <c r="F259" s="26">
        <v>2</v>
      </c>
      <c r="G259" s="26" t="b">
        <v>0</v>
      </c>
      <c r="H259" s="26">
        <v>3</v>
      </c>
      <c r="I259" s="26">
        <v>1</v>
      </c>
      <c r="J259" s="26">
        <v>0.14000000000000001</v>
      </c>
      <c r="K259" s="26">
        <v>258</v>
      </c>
      <c r="L259" s="26">
        <v>0.1515</v>
      </c>
      <c r="M259" s="26">
        <v>0.86</v>
      </c>
      <c r="N259" s="26">
        <v>0.1343</v>
      </c>
      <c r="O259" s="26">
        <v>0</v>
      </c>
      <c r="P259" s="26">
        <v>1</v>
      </c>
      <c r="Q259" s="34">
        <v>1</v>
      </c>
    </row>
    <row r="260" spans="1:17" x14ac:dyDescent="0.25">
      <c r="A260" s="32">
        <v>259</v>
      </c>
      <c r="B260" s="33">
        <v>40555</v>
      </c>
      <c r="C260" s="26">
        <v>1</v>
      </c>
      <c r="D260" s="26">
        <v>0</v>
      </c>
      <c r="E260" s="26">
        <v>1</v>
      </c>
      <c r="F260" s="26">
        <v>5</v>
      </c>
      <c r="G260" s="26" t="b">
        <v>0</v>
      </c>
      <c r="H260" s="26">
        <v>3</v>
      </c>
      <c r="I260" s="26">
        <v>1</v>
      </c>
      <c r="J260" s="26">
        <v>0.14000000000000001</v>
      </c>
      <c r="K260" s="26">
        <v>259</v>
      </c>
      <c r="L260" s="26">
        <v>0.1515</v>
      </c>
      <c r="M260" s="26">
        <v>0.86</v>
      </c>
      <c r="N260" s="26">
        <v>0.16420000000000001</v>
      </c>
      <c r="O260" s="26">
        <v>0</v>
      </c>
      <c r="P260" s="26">
        <v>5</v>
      </c>
      <c r="Q260" s="34">
        <v>5</v>
      </c>
    </row>
    <row r="261" spans="1:17" x14ac:dyDescent="0.25">
      <c r="A261" s="32">
        <v>260</v>
      </c>
      <c r="B261" s="33">
        <v>40555</v>
      </c>
      <c r="C261" s="26">
        <v>1</v>
      </c>
      <c r="D261" s="26">
        <v>0</v>
      </c>
      <c r="E261" s="26">
        <v>1</v>
      </c>
      <c r="F261" s="26">
        <v>6</v>
      </c>
      <c r="G261" s="26" t="b">
        <v>0</v>
      </c>
      <c r="H261" s="26">
        <v>3</v>
      </c>
      <c r="I261" s="26">
        <v>1</v>
      </c>
      <c r="J261" s="26">
        <v>0.12</v>
      </c>
      <c r="K261" s="26">
        <v>260</v>
      </c>
      <c r="L261" s="26">
        <v>0.1515</v>
      </c>
      <c r="M261" s="26">
        <v>0.93</v>
      </c>
      <c r="N261" s="26">
        <v>0.1343</v>
      </c>
      <c r="O261" s="26">
        <v>0</v>
      </c>
      <c r="P261" s="26">
        <v>16</v>
      </c>
      <c r="Q261" s="34">
        <v>16</v>
      </c>
    </row>
    <row r="262" spans="1:17" x14ac:dyDescent="0.25">
      <c r="A262" s="32">
        <v>261</v>
      </c>
      <c r="B262" s="33">
        <v>40555</v>
      </c>
      <c r="C262" s="26">
        <v>1</v>
      </c>
      <c r="D262" s="26">
        <v>0</v>
      </c>
      <c r="E262" s="26">
        <v>1</v>
      </c>
      <c r="F262" s="26">
        <v>7</v>
      </c>
      <c r="G262" s="26" t="b">
        <v>0</v>
      </c>
      <c r="H262" s="26">
        <v>3</v>
      </c>
      <c r="I262" s="26">
        <v>1</v>
      </c>
      <c r="J262" s="26">
        <v>0.14000000000000001</v>
      </c>
      <c r="K262" s="26">
        <v>261</v>
      </c>
      <c r="L262" s="26">
        <v>0.1515</v>
      </c>
      <c r="M262" s="26">
        <v>0.69</v>
      </c>
      <c r="N262" s="26">
        <v>0.1343</v>
      </c>
      <c r="O262" s="26">
        <v>0</v>
      </c>
      <c r="P262" s="26">
        <v>54</v>
      </c>
      <c r="Q262" s="34">
        <v>54</v>
      </c>
    </row>
    <row r="263" spans="1:17" x14ac:dyDescent="0.25">
      <c r="A263" s="32">
        <v>262</v>
      </c>
      <c r="B263" s="33">
        <v>40555</v>
      </c>
      <c r="C263" s="26">
        <v>1</v>
      </c>
      <c r="D263" s="26">
        <v>0</v>
      </c>
      <c r="E263" s="26">
        <v>1</v>
      </c>
      <c r="F263" s="26">
        <v>8</v>
      </c>
      <c r="G263" s="26" t="b">
        <v>0</v>
      </c>
      <c r="H263" s="26">
        <v>3</v>
      </c>
      <c r="I263" s="26">
        <v>1</v>
      </c>
      <c r="J263" s="26">
        <v>0.16</v>
      </c>
      <c r="K263" s="26">
        <v>262</v>
      </c>
      <c r="L263" s="26">
        <v>0.16669999999999999</v>
      </c>
      <c r="M263" s="26">
        <v>0.59</v>
      </c>
      <c r="N263" s="26">
        <v>0.16420000000000001</v>
      </c>
      <c r="O263" s="26">
        <v>3</v>
      </c>
      <c r="P263" s="26">
        <v>125</v>
      </c>
      <c r="Q263" s="34">
        <v>128</v>
      </c>
    </row>
    <row r="264" spans="1:17" x14ac:dyDescent="0.25">
      <c r="A264" s="32">
        <v>263</v>
      </c>
      <c r="B264" s="33">
        <v>40555</v>
      </c>
      <c r="C264" s="26">
        <v>1</v>
      </c>
      <c r="D264" s="26">
        <v>0</v>
      </c>
      <c r="E264" s="26">
        <v>1</v>
      </c>
      <c r="F264" s="26">
        <v>9</v>
      </c>
      <c r="G264" s="26" t="b">
        <v>0</v>
      </c>
      <c r="H264" s="26">
        <v>3</v>
      </c>
      <c r="I264" s="26">
        <v>1</v>
      </c>
      <c r="J264" s="26">
        <v>0.16</v>
      </c>
      <c r="K264" s="26">
        <v>263</v>
      </c>
      <c r="L264" s="26">
        <v>0.13639999999999999</v>
      </c>
      <c r="M264" s="26">
        <v>0.59</v>
      </c>
      <c r="N264" s="26">
        <v>0.32840000000000003</v>
      </c>
      <c r="O264" s="26">
        <v>3</v>
      </c>
      <c r="P264" s="26">
        <v>78</v>
      </c>
      <c r="Q264" s="34">
        <v>81</v>
      </c>
    </row>
    <row r="265" spans="1:17" x14ac:dyDescent="0.25">
      <c r="A265" s="32">
        <v>264</v>
      </c>
      <c r="B265" s="33">
        <v>40555</v>
      </c>
      <c r="C265" s="26">
        <v>1</v>
      </c>
      <c r="D265" s="26">
        <v>0</v>
      </c>
      <c r="E265" s="26">
        <v>1</v>
      </c>
      <c r="F265" s="26">
        <v>10</v>
      </c>
      <c r="G265" s="26" t="b">
        <v>0</v>
      </c>
      <c r="H265" s="26">
        <v>3</v>
      </c>
      <c r="I265" s="26">
        <v>1</v>
      </c>
      <c r="J265" s="26">
        <v>0.18</v>
      </c>
      <c r="K265" s="26">
        <v>264</v>
      </c>
      <c r="L265" s="26">
        <v>0.18179999999999999</v>
      </c>
      <c r="M265" s="26">
        <v>0.55000000000000004</v>
      </c>
      <c r="N265" s="26">
        <v>0.22389999999999999</v>
      </c>
      <c r="O265" s="26">
        <v>0</v>
      </c>
      <c r="P265" s="26">
        <v>39</v>
      </c>
      <c r="Q265" s="34">
        <v>39</v>
      </c>
    </row>
    <row r="266" spans="1:17" x14ac:dyDescent="0.25">
      <c r="A266" s="32">
        <v>265</v>
      </c>
      <c r="B266" s="33">
        <v>40555</v>
      </c>
      <c r="C266" s="26">
        <v>1</v>
      </c>
      <c r="D266" s="26">
        <v>0</v>
      </c>
      <c r="E266" s="26">
        <v>1</v>
      </c>
      <c r="F266" s="26">
        <v>11</v>
      </c>
      <c r="G266" s="26" t="b">
        <v>0</v>
      </c>
      <c r="H266" s="26">
        <v>3</v>
      </c>
      <c r="I266" s="26">
        <v>1</v>
      </c>
      <c r="J266" s="26">
        <v>0.2</v>
      </c>
      <c r="K266" s="26">
        <v>265</v>
      </c>
      <c r="L266" s="26">
        <v>0.18179999999999999</v>
      </c>
      <c r="M266" s="26">
        <v>0.51</v>
      </c>
      <c r="N266" s="26">
        <v>0.3881</v>
      </c>
      <c r="O266" s="26">
        <v>3</v>
      </c>
      <c r="P266" s="26">
        <v>32</v>
      </c>
      <c r="Q266" s="34">
        <v>35</v>
      </c>
    </row>
    <row r="267" spans="1:17" x14ac:dyDescent="0.25">
      <c r="A267" s="32">
        <v>266</v>
      </c>
      <c r="B267" s="33">
        <v>40555</v>
      </c>
      <c r="C267" s="26">
        <v>1</v>
      </c>
      <c r="D267" s="26">
        <v>0</v>
      </c>
      <c r="E267" s="26">
        <v>1</v>
      </c>
      <c r="F267" s="26">
        <v>12</v>
      </c>
      <c r="G267" s="26" t="b">
        <v>0</v>
      </c>
      <c r="H267" s="26">
        <v>3</v>
      </c>
      <c r="I267" s="26">
        <v>1</v>
      </c>
      <c r="J267" s="26">
        <v>0.2</v>
      </c>
      <c r="K267" s="26">
        <v>266</v>
      </c>
      <c r="L267" s="26">
        <v>0.1515</v>
      </c>
      <c r="M267" s="26">
        <v>0.47</v>
      </c>
      <c r="N267" s="26">
        <v>0.58209999999999995</v>
      </c>
      <c r="O267" s="26">
        <v>3</v>
      </c>
      <c r="P267" s="26">
        <v>52</v>
      </c>
      <c r="Q267" s="34">
        <v>55</v>
      </c>
    </row>
    <row r="268" spans="1:17" x14ac:dyDescent="0.25">
      <c r="A268" s="32">
        <v>267</v>
      </c>
      <c r="B268" s="33">
        <v>40555</v>
      </c>
      <c r="C268" s="26">
        <v>1</v>
      </c>
      <c r="D268" s="26">
        <v>0</v>
      </c>
      <c r="E268" s="26">
        <v>1</v>
      </c>
      <c r="F268" s="26">
        <v>13</v>
      </c>
      <c r="G268" s="26" t="b">
        <v>0</v>
      </c>
      <c r="H268" s="26">
        <v>3</v>
      </c>
      <c r="I268" s="26">
        <v>1</v>
      </c>
      <c r="J268" s="26">
        <v>0.22</v>
      </c>
      <c r="K268" s="26">
        <v>267</v>
      </c>
      <c r="L268" s="26">
        <v>0.19700000000000001</v>
      </c>
      <c r="M268" s="26">
        <v>0.44</v>
      </c>
      <c r="N268" s="26">
        <v>0.35820000000000002</v>
      </c>
      <c r="O268" s="26">
        <v>0</v>
      </c>
      <c r="P268" s="26">
        <v>49</v>
      </c>
      <c r="Q268" s="34">
        <v>49</v>
      </c>
    </row>
    <row r="269" spans="1:17" x14ac:dyDescent="0.25">
      <c r="A269" s="32">
        <v>268</v>
      </c>
      <c r="B269" s="33">
        <v>40555</v>
      </c>
      <c r="C269" s="26">
        <v>1</v>
      </c>
      <c r="D269" s="26">
        <v>0</v>
      </c>
      <c r="E269" s="26">
        <v>1</v>
      </c>
      <c r="F269" s="26">
        <v>14</v>
      </c>
      <c r="G269" s="26" t="b">
        <v>0</v>
      </c>
      <c r="H269" s="26">
        <v>3</v>
      </c>
      <c r="I269" s="26">
        <v>1</v>
      </c>
      <c r="J269" s="26">
        <v>0.2</v>
      </c>
      <c r="K269" s="26">
        <v>268</v>
      </c>
      <c r="L269" s="26">
        <v>0.18179999999999999</v>
      </c>
      <c r="M269" s="26">
        <v>0.47</v>
      </c>
      <c r="N269" s="26">
        <v>0.32840000000000003</v>
      </c>
      <c r="O269" s="26">
        <v>0</v>
      </c>
      <c r="P269" s="26">
        <v>44</v>
      </c>
      <c r="Q269" s="34">
        <v>44</v>
      </c>
    </row>
    <row r="270" spans="1:17" x14ac:dyDescent="0.25">
      <c r="A270" s="32">
        <v>269</v>
      </c>
      <c r="B270" s="33">
        <v>40555</v>
      </c>
      <c r="C270" s="26">
        <v>1</v>
      </c>
      <c r="D270" s="26">
        <v>0</v>
      </c>
      <c r="E270" s="26">
        <v>1</v>
      </c>
      <c r="F270" s="26">
        <v>15</v>
      </c>
      <c r="G270" s="26" t="b">
        <v>0</v>
      </c>
      <c r="H270" s="26">
        <v>3</v>
      </c>
      <c r="I270" s="26">
        <v>1</v>
      </c>
      <c r="J270" s="26">
        <v>0.2</v>
      </c>
      <c r="K270" s="26">
        <v>269</v>
      </c>
      <c r="L270" s="26">
        <v>0.16669999999999999</v>
      </c>
      <c r="M270" s="26">
        <v>0.47</v>
      </c>
      <c r="N270" s="26">
        <v>0.41789999999999999</v>
      </c>
      <c r="O270" s="26">
        <v>1</v>
      </c>
      <c r="P270" s="26">
        <v>48</v>
      </c>
      <c r="Q270" s="34">
        <v>49</v>
      </c>
    </row>
    <row r="271" spans="1:17" x14ac:dyDescent="0.25">
      <c r="A271" s="32">
        <v>270</v>
      </c>
      <c r="B271" s="33">
        <v>40555</v>
      </c>
      <c r="C271" s="26">
        <v>1</v>
      </c>
      <c r="D271" s="26">
        <v>0</v>
      </c>
      <c r="E271" s="26">
        <v>1</v>
      </c>
      <c r="F271" s="26">
        <v>16</v>
      </c>
      <c r="G271" s="26" t="b">
        <v>0</v>
      </c>
      <c r="H271" s="26">
        <v>3</v>
      </c>
      <c r="I271" s="26">
        <v>1</v>
      </c>
      <c r="J271" s="26">
        <v>0.22</v>
      </c>
      <c r="K271" s="26">
        <v>270</v>
      </c>
      <c r="L271" s="26">
        <v>0.19700000000000001</v>
      </c>
      <c r="M271" s="26">
        <v>0.44</v>
      </c>
      <c r="N271" s="26">
        <v>0.32840000000000003</v>
      </c>
      <c r="O271" s="26">
        <v>5</v>
      </c>
      <c r="P271" s="26">
        <v>63</v>
      </c>
      <c r="Q271" s="34">
        <v>68</v>
      </c>
    </row>
    <row r="272" spans="1:17" x14ac:dyDescent="0.25">
      <c r="A272" s="32">
        <v>271</v>
      </c>
      <c r="B272" s="33">
        <v>40555</v>
      </c>
      <c r="C272" s="26">
        <v>1</v>
      </c>
      <c r="D272" s="26">
        <v>0</v>
      </c>
      <c r="E272" s="26">
        <v>1</v>
      </c>
      <c r="F272" s="26">
        <v>17</v>
      </c>
      <c r="G272" s="26" t="b">
        <v>0</v>
      </c>
      <c r="H272" s="26">
        <v>3</v>
      </c>
      <c r="I272" s="26">
        <v>1</v>
      </c>
      <c r="J272" s="26">
        <v>0.2</v>
      </c>
      <c r="K272" s="26">
        <v>271</v>
      </c>
      <c r="L272" s="26">
        <v>0.18179999999999999</v>
      </c>
      <c r="M272" s="26">
        <v>0.47</v>
      </c>
      <c r="N272" s="26">
        <v>0.35820000000000002</v>
      </c>
      <c r="O272" s="26">
        <v>0</v>
      </c>
      <c r="P272" s="26">
        <v>139</v>
      </c>
      <c r="Q272" s="34">
        <v>139</v>
      </c>
    </row>
    <row r="273" spans="1:17" x14ac:dyDescent="0.25">
      <c r="A273" s="32">
        <v>272</v>
      </c>
      <c r="B273" s="33">
        <v>40555</v>
      </c>
      <c r="C273" s="26">
        <v>1</v>
      </c>
      <c r="D273" s="26">
        <v>0</v>
      </c>
      <c r="E273" s="26">
        <v>1</v>
      </c>
      <c r="F273" s="26">
        <v>18</v>
      </c>
      <c r="G273" s="26" t="b">
        <v>0</v>
      </c>
      <c r="H273" s="26">
        <v>3</v>
      </c>
      <c r="I273" s="26">
        <v>1</v>
      </c>
      <c r="J273" s="26">
        <v>0.2</v>
      </c>
      <c r="K273" s="26">
        <v>272</v>
      </c>
      <c r="L273" s="26">
        <v>0.1515</v>
      </c>
      <c r="M273" s="26">
        <v>0.47</v>
      </c>
      <c r="N273" s="26">
        <v>0.52239999999999998</v>
      </c>
      <c r="O273" s="26">
        <v>2</v>
      </c>
      <c r="P273" s="26">
        <v>135</v>
      </c>
      <c r="Q273" s="34">
        <v>137</v>
      </c>
    </row>
    <row r="274" spans="1:17" x14ac:dyDescent="0.25">
      <c r="A274" s="32">
        <v>273</v>
      </c>
      <c r="B274" s="33">
        <v>40555</v>
      </c>
      <c r="C274" s="26">
        <v>1</v>
      </c>
      <c r="D274" s="26">
        <v>0</v>
      </c>
      <c r="E274" s="26">
        <v>1</v>
      </c>
      <c r="F274" s="26">
        <v>19</v>
      </c>
      <c r="G274" s="26" t="b">
        <v>0</v>
      </c>
      <c r="H274" s="26">
        <v>3</v>
      </c>
      <c r="I274" s="26">
        <v>1</v>
      </c>
      <c r="J274" s="26">
        <v>0.18</v>
      </c>
      <c r="K274" s="26">
        <v>273</v>
      </c>
      <c r="L274" s="26">
        <v>0.1515</v>
      </c>
      <c r="M274" s="26">
        <v>0.47</v>
      </c>
      <c r="N274" s="26">
        <v>0.41789999999999999</v>
      </c>
      <c r="O274" s="26">
        <v>1</v>
      </c>
      <c r="P274" s="26">
        <v>82</v>
      </c>
      <c r="Q274" s="34">
        <v>83</v>
      </c>
    </row>
    <row r="275" spans="1:17" x14ac:dyDescent="0.25">
      <c r="A275" s="32">
        <v>274</v>
      </c>
      <c r="B275" s="33">
        <v>40555</v>
      </c>
      <c r="C275" s="26">
        <v>1</v>
      </c>
      <c r="D275" s="26">
        <v>0</v>
      </c>
      <c r="E275" s="26">
        <v>1</v>
      </c>
      <c r="F275" s="26">
        <v>20</v>
      </c>
      <c r="G275" s="26" t="b">
        <v>0</v>
      </c>
      <c r="H275" s="26">
        <v>3</v>
      </c>
      <c r="I275" s="26">
        <v>1</v>
      </c>
      <c r="J275" s="26">
        <v>0.16</v>
      </c>
      <c r="K275" s="26">
        <v>274</v>
      </c>
      <c r="L275" s="26">
        <v>0.13639999999999999</v>
      </c>
      <c r="M275" s="26">
        <v>0.5</v>
      </c>
      <c r="N275" s="26">
        <v>0.32840000000000003</v>
      </c>
      <c r="O275" s="26">
        <v>2</v>
      </c>
      <c r="P275" s="26">
        <v>54</v>
      </c>
      <c r="Q275" s="34">
        <v>56</v>
      </c>
    </row>
    <row r="276" spans="1:17" x14ac:dyDescent="0.25">
      <c r="A276" s="32">
        <v>275</v>
      </c>
      <c r="B276" s="33">
        <v>40555</v>
      </c>
      <c r="C276" s="26">
        <v>1</v>
      </c>
      <c r="D276" s="26">
        <v>0</v>
      </c>
      <c r="E276" s="26">
        <v>1</v>
      </c>
      <c r="F276" s="26">
        <v>21</v>
      </c>
      <c r="G276" s="26" t="b">
        <v>0</v>
      </c>
      <c r="H276" s="26">
        <v>3</v>
      </c>
      <c r="I276" s="26">
        <v>1</v>
      </c>
      <c r="J276" s="26">
        <v>0.16</v>
      </c>
      <c r="K276" s="26">
        <v>275</v>
      </c>
      <c r="L276" s="26">
        <v>0.13639999999999999</v>
      </c>
      <c r="M276" s="26">
        <v>0.55000000000000004</v>
      </c>
      <c r="N276" s="26">
        <v>0.32840000000000003</v>
      </c>
      <c r="O276" s="26">
        <v>0</v>
      </c>
      <c r="P276" s="26">
        <v>57</v>
      </c>
      <c r="Q276" s="34">
        <v>57</v>
      </c>
    </row>
    <row r="277" spans="1:17" x14ac:dyDescent="0.25">
      <c r="A277" s="32">
        <v>276</v>
      </c>
      <c r="B277" s="33">
        <v>40555</v>
      </c>
      <c r="C277" s="26">
        <v>1</v>
      </c>
      <c r="D277" s="26">
        <v>0</v>
      </c>
      <c r="E277" s="26">
        <v>1</v>
      </c>
      <c r="F277" s="26">
        <v>22</v>
      </c>
      <c r="G277" s="26" t="b">
        <v>0</v>
      </c>
      <c r="H277" s="26">
        <v>3</v>
      </c>
      <c r="I277" s="26">
        <v>1</v>
      </c>
      <c r="J277" s="26">
        <v>0.16</v>
      </c>
      <c r="K277" s="26">
        <v>276</v>
      </c>
      <c r="L277" s="26">
        <v>0.1212</v>
      </c>
      <c r="M277" s="26">
        <v>0.55000000000000004</v>
      </c>
      <c r="N277" s="26">
        <v>0.44779999999999998</v>
      </c>
      <c r="O277" s="26">
        <v>1</v>
      </c>
      <c r="P277" s="26">
        <v>32</v>
      </c>
      <c r="Q277" s="34">
        <v>33</v>
      </c>
    </row>
    <row r="278" spans="1:17" x14ac:dyDescent="0.25">
      <c r="A278" s="32">
        <v>277</v>
      </c>
      <c r="B278" s="33">
        <v>40555</v>
      </c>
      <c r="C278" s="26">
        <v>1</v>
      </c>
      <c r="D278" s="26">
        <v>0</v>
      </c>
      <c r="E278" s="26">
        <v>1</v>
      </c>
      <c r="F278" s="26">
        <v>23</v>
      </c>
      <c r="G278" s="26" t="b">
        <v>0</v>
      </c>
      <c r="H278" s="26">
        <v>3</v>
      </c>
      <c r="I278" s="26">
        <v>1</v>
      </c>
      <c r="J278" s="26">
        <v>0.14000000000000001</v>
      </c>
      <c r="K278" s="26">
        <v>277</v>
      </c>
      <c r="L278" s="26">
        <v>0.1061</v>
      </c>
      <c r="M278" s="26">
        <v>0.59</v>
      </c>
      <c r="N278" s="26">
        <v>0.41789999999999999</v>
      </c>
      <c r="O278" s="26">
        <v>1</v>
      </c>
      <c r="P278" s="26">
        <v>19</v>
      </c>
      <c r="Q278" s="34">
        <v>20</v>
      </c>
    </row>
    <row r="279" spans="1:17" x14ac:dyDescent="0.25">
      <c r="A279" s="32">
        <v>278</v>
      </c>
      <c r="B279" s="33">
        <v>40556</v>
      </c>
      <c r="C279" s="26">
        <v>1</v>
      </c>
      <c r="D279" s="26">
        <v>0</v>
      </c>
      <c r="E279" s="26">
        <v>1</v>
      </c>
      <c r="F279" s="26">
        <v>0</v>
      </c>
      <c r="G279" s="26" t="b">
        <v>0</v>
      </c>
      <c r="H279" s="26">
        <v>4</v>
      </c>
      <c r="I279" s="26">
        <v>1</v>
      </c>
      <c r="J279" s="26">
        <v>0.14000000000000001</v>
      </c>
      <c r="K279" s="26">
        <v>278</v>
      </c>
      <c r="L279" s="26">
        <v>0.1212</v>
      </c>
      <c r="M279" s="26">
        <v>0.59</v>
      </c>
      <c r="N279" s="26">
        <v>0.28360000000000002</v>
      </c>
      <c r="O279" s="26">
        <v>1</v>
      </c>
      <c r="P279" s="26">
        <v>6</v>
      </c>
      <c r="Q279" s="34">
        <v>7</v>
      </c>
    </row>
    <row r="280" spans="1:17" x14ac:dyDescent="0.25">
      <c r="A280" s="32">
        <v>279</v>
      </c>
      <c r="B280" s="33">
        <v>40556</v>
      </c>
      <c r="C280" s="26">
        <v>1</v>
      </c>
      <c r="D280" s="26">
        <v>0</v>
      </c>
      <c r="E280" s="26">
        <v>1</v>
      </c>
      <c r="F280" s="26">
        <v>1</v>
      </c>
      <c r="G280" s="26" t="b">
        <v>0</v>
      </c>
      <c r="H280" s="26">
        <v>4</v>
      </c>
      <c r="I280" s="26">
        <v>1</v>
      </c>
      <c r="J280" s="26">
        <v>0.14000000000000001</v>
      </c>
      <c r="K280" s="26">
        <v>279</v>
      </c>
      <c r="L280" s="26">
        <v>0.1212</v>
      </c>
      <c r="M280" s="26">
        <v>0.5</v>
      </c>
      <c r="N280" s="26">
        <v>0.28360000000000002</v>
      </c>
      <c r="O280" s="26">
        <v>0</v>
      </c>
      <c r="P280" s="26">
        <v>2</v>
      </c>
      <c r="Q280" s="34">
        <v>2</v>
      </c>
    </row>
    <row r="281" spans="1:17" x14ac:dyDescent="0.25">
      <c r="A281" s="32">
        <v>280</v>
      </c>
      <c r="B281" s="33">
        <v>40556</v>
      </c>
      <c r="C281" s="26">
        <v>1</v>
      </c>
      <c r="D281" s="26">
        <v>0</v>
      </c>
      <c r="E281" s="26">
        <v>1</v>
      </c>
      <c r="F281" s="26">
        <v>2</v>
      </c>
      <c r="G281" s="26" t="b">
        <v>0</v>
      </c>
      <c r="H281" s="26">
        <v>4</v>
      </c>
      <c r="I281" s="26">
        <v>1</v>
      </c>
      <c r="J281" s="26">
        <v>0.14000000000000001</v>
      </c>
      <c r="K281" s="26">
        <v>280</v>
      </c>
      <c r="L281" s="26">
        <v>0.1212</v>
      </c>
      <c r="M281" s="26">
        <v>0.5</v>
      </c>
      <c r="N281" s="26">
        <v>0.35820000000000002</v>
      </c>
      <c r="O281" s="26">
        <v>0</v>
      </c>
      <c r="P281" s="26">
        <v>2</v>
      </c>
      <c r="Q281" s="34">
        <v>2</v>
      </c>
    </row>
    <row r="282" spans="1:17" x14ac:dyDescent="0.25">
      <c r="A282" s="32">
        <v>281</v>
      </c>
      <c r="B282" s="33">
        <v>40556</v>
      </c>
      <c r="C282" s="26">
        <v>1</v>
      </c>
      <c r="D282" s="26">
        <v>0</v>
      </c>
      <c r="E282" s="26">
        <v>1</v>
      </c>
      <c r="F282" s="26">
        <v>3</v>
      </c>
      <c r="G282" s="26" t="b">
        <v>0</v>
      </c>
      <c r="H282" s="26">
        <v>4</v>
      </c>
      <c r="I282" s="26">
        <v>1</v>
      </c>
      <c r="J282" s="26">
        <v>0.14000000000000001</v>
      </c>
      <c r="K282" s="26">
        <v>281</v>
      </c>
      <c r="L282" s="26">
        <v>0.1212</v>
      </c>
      <c r="M282" s="26">
        <v>0.5</v>
      </c>
      <c r="N282" s="26">
        <v>0.32840000000000003</v>
      </c>
      <c r="O282" s="26">
        <v>0</v>
      </c>
      <c r="P282" s="26">
        <v>3</v>
      </c>
      <c r="Q282" s="34">
        <v>3</v>
      </c>
    </row>
    <row r="283" spans="1:17" x14ac:dyDescent="0.25">
      <c r="A283" s="32">
        <v>282</v>
      </c>
      <c r="B283" s="33">
        <v>40556</v>
      </c>
      <c r="C283" s="26">
        <v>1</v>
      </c>
      <c r="D283" s="26">
        <v>0</v>
      </c>
      <c r="E283" s="26">
        <v>1</v>
      </c>
      <c r="F283" s="26">
        <v>4</v>
      </c>
      <c r="G283" s="26" t="b">
        <v>0</v>
      </c>
      <c r="H283" s="26">
        <v>4</v>
      </c>
      <c r="I283" s="26">
        <v>1</v>
      </c>
      <c r="J283" s="26">
        <v>0.14000000000000001</v>
      </c>
      <c r="K283" s="26">
        <v>282</v>
      </c>
      <c r="L283" s="26">
        <v>0.1212</v>
      </c>
      <c r="M283" s="26">
        <v>0.5</v>
      </c>
      <c r="N283" s="26">
        <v>0.25369999999999998</v>
      </c>
      <c r="O283" s="26">
        <v>0</v>
      </c>
      <c r="P283" s="26">
        <v>4</v>
      </c>
      <c r="Q283" s="34">
        <v>4</v>
      </c>
    </row>
    <row r="284" spans="1:17" x14ac:dyDescent="0.25">
      <c r="A284" s="32">
        <v>283</v>
      </c>
      <c r="B284" s="33">
        <v>40556</v>
      </c>
      <c r="C284" s="26">
        <v>1</v>
      </c>
      <c r="D284" s="26">
        <v>0</v>
      </c>
      <c r="E284" s="26">
        <v>1</v>
      </c>
      <c r="F284" s="26">
        <v>5</v>
      </c>
      <c r="G284" s="26" t="b">
        <v>0</v>
      </c>
      <c r="H284" s="26">
        <v>4</v>
      </c>
      <c r="I284" s="26">
        <v>1</v>
      </c>
      <c r="J284" s="26">
        <v>0.14000000000000001</v>
      </c>
      <c r="K284" s="26">
        <v>283</v>
      </c>
      <c r="L284" s="26">
        <v>0.1212</v>
      </c>
      <c r="M284" s="26">
        <v>0.5</v>
      </c>
      <c r="N284" s="26">
        <v>0.29849999999999999</v>
      </c>
      <c r="O284" s="26">
        <v>0</v>
      </c>
      <c r="P284" s="26">
        <v>3</v>
      </c>
      <c r="Q284" s="34">
        <v>3</v>
      </c>
    </row>
    <row r="285" spans="1:17" x14ac:dyDescent="0.25">
      <c r="A285" s="32">
        <v>284</v>
      </c>
      <c r="B285" s="33">
        <v>40556</v>
      </c>
      <c r="C285" s="26">
        <v>1</v>
      </c>
      <c r="D285" s="26">
        <v>0</v>
      </c>
      <c r="E285" s="26">
        <v>1</v>
      </c>
      <c r="F285" s="26">
        <v>6</v>
      </c>
      <c r="G285" s="26" t="b">
        <v>0</v>
      </c>
      <c r="H285" s="26">
        <v>4</v>
      </c>
      <c r="I285" s="26">
        <v>1</v>
      </c>
      <c r="J285" s="26">
        <v>0.12</v>
      </c>
      <c r="K285" s="26">
        <v>284</v>
      </c>
      <c r="L285" s="26">
        <v>0.1515</v>
      </c>
      <c r="M285" s="26">
        <v>0.54</v>
      </c>
      <c r="N285" s="26">
        <v>0.1343</v>
      </c>
      <c r="O285" s="26">
        <v>0</v>
      </c>
      <c r="P285" s="26">
        <v>28</v>
      </c>
      <c r="Q285" s="34">
        <v>28</v>
      </c>
    </row>
    <row r="286" spans="1:17" x14ac:dyDescent="0.25">
      <c r="A286" s="32">
        <v>285</v>
      </c>
      <c r="B286" s="33">
        <v>40556</v>
      </c>
      <c r="C286" s="26">
        <v>1</v>
      </c>
      <c r="D286" s="26">
        <v>0</v>
      </c>
      <c r="E286" s="26">
        <v>1</v>
      </c>
      <c r="F286" s="26">
        <v>7</v>
      </c>
      <c r="G286" s="26" t="b">
        <v>0</v>
      </c>
      <c r="H286" s="26">
        <v>4</v>
      </c>
      <c r="I286" s="26">
        <v>1</v>
      </c>
      <c r="J286" s="26">
        <v>0.12</v>
      </c>
      <c r="K286" s="26">
        <v>285</v>
      </c>
      <c r="L286" s="26">
        <v>0.1515</v>
      </c>
      <c r="M286" s="26">
        <v>0.54</v>
      </c>
      <c r="N286" s="26">
        <v>0.1343</v>
      </c>
      <c r="O286" s="26">
        <v>0</v>
      </c>
      <c r="P286" s="26">
        <v>72</v>
      </c>
      <c r="Q286" s="34">
        <v>72</v>
      </c>
    </row>
    <row r="287" spans="1:17" x14ac:dyDescent="0.25">
      <c r="A287" s="32">
        <v>286</v>
      </c>
      <c r="B287" s="33">
        <v>40556</v>
      </c>
      <c r="C287" s="26">
        <v>1</v>
      </c>
      <c r="D287" s="26">
        <v>0</v>
      </c>
      <c r="E287" s="26">
        <v>1</v>
      </c>
      <c r="F287" s="26">
        <v>8</v>
      </c>
      <c r="G287" s="26" t="b">
        <v>0</v>
      </c>
      <c r="H287" s="26">
        <v>4</v>
      </c>
      <c r="I287" s="26">
        <v>1</v>
      </c>
      <c r="J287" s="26">
        <v>0.14000000000000001</v>
      </c>
      <c r="K287" s="26">
        <v>286</v>
      </c>
      <c r="L287" s="26">
        <v>0.13639999999999999</v>
      </c>
      <c r="M287" s="26">
        <v>0.5</v>
      </c>
      <c r="N287" s="26">
        <v>0.19400000000000001</v>
      </c>
      <c r="O287" s="26">
        <v>5</v>
      </c>
      <c r="P287" s="26">
        <v>197</v>
      </c>
      <c r="Q287" s="34">
        <v>202</v>
      </c>
    </row>
    <row r="288" spans="1:17" x14ac:dyDescent="0.25">
      <c r="A288" s="32">
        <v>287</v>
      </c>
      <c r="B288" s="33">
        <v>40556</v>
      </c>
      <c r="C288" s="26">
        <v>1</v>
      </c>
      <c r="D288" s="26">
        <v>0</v>
      </c>
      <c r="E288" s="26">
        <v>1</v>
      </c>
      <c r="F288" s="26">
        <v>9</v>
      </c>
      <c r="G288" s="26" t="b">
        <v>0</v>
      </c>
      <c r="H288" s="26">
        <v>4</v>
      </c>
      <c r="I288" s="26">
        <v>1</v>
      </c>
      <c r="J288" s="26">
        <v>0.14000000000000001</v>
      </c>
      <c r="K288" s="26">
        <v>287</v>
      </c>
      <c r="L288" s="26">
        <v>0.1212</v>
      </c>
      <c r="M288" s="26">
        <v>0.5</v>
      </c>
      <c r="N288" s="26">
        <v>0.32840000000000003</v>
      </c>
      <c r="O288" s="26">
        <v>2</v>
      </c>
      <c r="P288" s="26">
        <v>137</v>
      </c>
      <c r="Q288" s="34">
        <v>139</v>
      </c>
    </row>
    <row r="289" spans="1:17" x14ac:dyDescent="0.25">
      <c r="A289" s="32">
        <v>288</v>
      </c>
      <c r="B289" s="33">
        <v>40556</v>
      </c>
      <c r="C289" s="26">
        <v>1</v>
      </c>
      <c r="D289" s="26">
        <v>0</v>
      </c>
      <c r="E289" s="26">
        <v>1</v>
      </c>
      <c r="F289" s="26">
        <v>10</v>
      </c>
      <c r="G289" s="26" t="b">
        <v>0</v>
      </c>
      <c r="H289" s="26">
        <v>4</v>
      </c>
      <c r="I289" s="26">
        <v>2</v>
      </c>
      <c r="J289" s="26">
        <v>0.16</v>
      </c>
      <c r="K289" s="26">
        <v>288</v>
      </c>
      <c r="L289" s="26">
        <v>0.13639999999999999</v>
      </c>
      <c r="M289" s="26">
        <v>0.5</v>
      </c>
      <c r="N289" s="26">
        <v>0.35820000000000002</v>
      </c>
      <c r="O289" s="26">
        <v>2</v>
      </c>
      <c r="P289" s="26">
        <v>36</v>
      </c>
      <c r="Q289" s="34">
        <v>38</v>
      </c>
    </row>
    <row r="290" spans="1:17" x14ac:dyDescent="0.25">
      <c r="A290" s="32">
        <v>289</v>
      </c>
      <c r="B290" s="33">
        <v>40556</v>
      </c>
      <c r="C290" s="26">
        <v>1</v>
      </c>
      <c r="D290" s="26">
        <v>0</v>
      </c>
      <c r="E290" s="26">
        <v>1</v>
      </c>
      <c r="F290" s="26">
        <v>11</v>
      </c>
      <c r="G290" s="26" t="b">
        <v>0</v>
      </c>
      <c r="H290" s="26">
        <v>4</v>
      </c>
      <c r="I290" s="26">
        <v>2</v>
      </c>
      <c r="J290" s="26">
        <v>0.2</v>
      </c>
      <c r="K290" s="26">
        <v>289</v>
      </c>
      <c r="L290" s="26">
        <v>0.16669999999999999</v>
      </c>
      <c r="M290" s="26">
        <v>0.44</v>
      </c>
      <c r="N290" s="26">
        <v>0.44779999999999998</v>
      </c>
      <c r="O290" s="26">
        <v>4</v>
      </c>
      <c r="P290" s="26">
        <v>33</v>
      </c>
      <c r="Q290" s="34">
        <v>37</v>
      </c>
    </row>
    <row r="291" spans="1:17" x14ac:dyDescent="0.25">
      <c r="A291" s="32">
        <v>290</v>
      </c>
      <c r="B291" s="33">
        <v>40556</v>
      </c>
      <c r="C291" s="26">
        <v>1</v>
      </c>
      <c r="D291" s="26">
        <v>0</v>
      </c>
      <c r="E291" s="26">
        <v>1</v>
      </c>
      <c r="F291" s="26">
        <v>12</v>
      </c>
      <c r="G291" s="26" t="b">
        <v>0</v>
      </c>
      <c r="H291" s="26">
        <v>4</v>
      </c>
      <c r="I291" s="26">
        <v>1</v>
      </c>
      <c r="J291" s="26">
        <v>0.2</v>
      </c>
      <c r="K291" s="26">
        <v>290</v>
      </c>
      <c r="L291" s="26">
        <v>0.16669999999999999</v>
      </c>
      <c r="M291" s="26">
        <v>0.44</v>
      </c>
      <c r="N291" s="26">
        <v>0.41789999999999999</v>
      </c>
      <c r="O291" s="26">
        <v>3</v>
      </c>
      <c r="P291" s="26">
        <v>49</v>
      </c>
      <c r="Q291" s="34">
        <v>52</v>
      </c>
    </row>
    <row r="292" spans="1:17" x14ac:dyDescent="0.25">
      <c r="A292" s="32">
        <v>291</v>
      </c>
      <c r="B292" s="33">
        <v>40556</v>
      </c>
      <c r="C292" s="26">
        <v>1</v>
      </c>
      <c r="D292" s="26">
        <v>0</v>
      </c>
      <c r="E292" s="26">
        <v>1</v>
      </c>
      <c r="F292" s="26">
        <v>13</v>
      </c>
      <c r="G292" s="26" t="b">
        <v>0</v>
      </c>
      <c r="H292" s="26">
        <v>4</v>
      </c>
      <c r="I292" s="26">
        <v>1</v>
      </c>
      <c r="J292" s="26">
        <v>0.22</v>
      </c>
      <c r="K292" s="26">
        <v>291</v>
      </c>
      <c r="L292" s="26">
        <v>0.19700000000000001</v>
      </c>
      <c r="M292" s="26">
        <v>0.41</v>
      </c>
      <c r="N292" s="26">
        <v>0.44779999999999998</v>
      </c>
      <c r="O292" s="26">
        <v>2</v>
      </c>
      <c r="P292" s="26">
        <v>81</v>
      </c>
      <c r="Q292" s="34">
        <v>83</v>
      </c>
    </row>
    <row r="293" spans="1:17" x14ac:dyDescent="0.25">
      <c r="A293" s="32">
        <v>292</v>
      </c>
      <c r="B293" s="33">
        <v>40556</v>
      </c>
      <c r="C293" s="26">
        <v>1</v>
      </c>
      <c r="D293" s="26">
        <v>0</v>
      </c>
      <c r="E293" s="26">
        <v>1</v>
      </c>
      <c r="F293" s="26">
        <v>14</v>
      </c>
      <c r="G293" s="26" t="b">
        <v>0</v>
      </c>
      <c r="H293" s="26">
        <v>4</v>
      </c>
      <c r="I293" s="26">
        <v>1</v>
      </c>
      <c r="J293" s="26">
        <v>0.22</v>
      </c>
      <c r="K293" s="26">
        <v>292</v>
      </c>
      <c r="L293" s="26">
        <v>0.19700000000000001</v>
      </c>
      <c r="M293" s="26">
        <v>0.41</v>
      </c>
      <c r="N293" s="26">
        <v>0.3881</v>
      </c>
      <c r="O293" s="26">
        <v>3</v>
      </c>
      <c r="P293" s="26">
        <v>39</v>
      </c>
      <c r="Q293" s="34">
        <v>42</v>
      </c>
    </row>
    <row r="294" spans="1:17" x14ac:dyDescent="0.25">
      <c r="A294" s="32">
        <v>293</v>
      </c>
      <c r="B294" s="33">
        <v>40556</v>
      </c>
      <c r="C294" s="26">
        <v>1</v>
      </c>
      <c r="D294" s="26">
        <v>0</v>
      </c>
      <c r="E294" s="26">
        <v>1</v>
      </c>
      <c r="F294" s="26">
        <v>15</v>
      </c>
      <c r="G294" s="26" t="b">
        <v>0</v>
      </c>
      <c r="H294" s="26">
        <v>4</v>
      </c>
      <c r="I294" s="26">
        <v>1</v>
      </c>
      <c r="J294" s="26">
        <v>0.24</v>
      </c>
      <c r="K294" s="26">
        <v>293</v>
      </c>
      <c r="L294" s="26">
        <v>0.21210000000000001</v>
      </c>
      <c r="M294" s="26">
        <v>0.38</v>
      </c>
      <c r="N294" s="26">
        <v>0.29849999999999999</v>
      </c>
      <c r="O294" s="26">
        <v>5</v>
      </c>
      <c r="P294" s="26">
        <v>55</v>
      </c>
      <c r="Q294" s="34">
        <v>60</v>
      </c>
    </row>
    <row r="295" spans="1:17" x14ac:dyDescent="0.25">
      <c r="A295" s="32">
        <v>294</v>
      </c>
      <c r="B295" s="33">
        <v>40556</v>
      </c>
      <c r="C295" s="26">
        <v>1</v>
      </c>
      <c r="D295" s="26">
        <v>0</v>
      </c>
      <c r="E295" s="26">
        <v>1</v>
      </c>
      <c r="F295" s="26">
        <v>16</v>
      </c>
      <c r="G295" s="26" t="b">
        <v>0</v>
      </c>
      <c r="H295" s="26">
        <v>4</v>
      </c>
      <c r="I295" s="26">
        <v>1</v>
      </c>
      <c r="J295" s="26">
        <v>0.24</v>
      </c>
      <c r="K295" s="26">
        <v>294</v>
      </c>
      <c r="L295" s="26">
        <v>0.21210000000000001</v>
      </c>
      <c r="M295" s="26">
        <v>0.38</v>
      </c>
      <c r="N295" s="26">
        <v>0.35820000000000002</v>
      </c>
      <c r="O295" s="26">
        <v>2</v>
      </c>
      <c r="P295" s="26">
        <v>76</v>
      </c>
      <c r="Q295" s="34">
        <v>78</v>
      </c>
    </row>
    <row r="296" spans="1:17" x14ac:dyDescent="0.25">
      <c r="A296" s="32">
        <v>295</v>
      </c>
      <c r="B296" s="33">
        <v>40556</v>
      </c>
      <c r="C296" s="26">
        <v>1</v>
      </c>
      <c r="D296" s="26">
        <v>0</v>
      </c>
      <c r="E296" s="26">
        <v>1</v>
      </c>
      <c r="F296" s="26">
        <v>17</v>
      </c>
      <c r="G296" s="26" t="b">
        <v>0</v>
      </c>
      <c r="H296" s="26">
        <v>4</v>
      </c>
      <c r="I296" s="26">
        <v>1</v>
      </c>
      <c r="J296" s="26">
        <v>0.2</v>
      </c>
      <c r="K296" s="26">
        <v>295</v>
      </c>
      <c r="L296" s="26">
        <v>0.18179999999999999</v>
      </c>
      <c r="M296" s="26">
        <v>0.4</v>
      </c>
      <c r="N296" s="26">
        <v>0.28360000000000002</v>
      </c>
      <c r="O296" s="26">
        <v>4</v>
      </c>
      <c r="P296" s="26">
        <v>158</v>
      </c>
      <c r="Q296" s="34">
        <v>162</v>
      </c>
    </row>
    <row r="297" spans="1:17" x14ac:dyDescent="0.25">
      <c r="A297" s="32">
        <v>296</v>
      </c>
      <c r="B297" s="33">
        <v>40556</v>
      </c>
      <c r="C297" s="26">
        <v>1</v>
      </c>
      <c r="D297" s="26">
        <v>0</v>
      </c>
      <c r="E297" s="26">
        <v>1</v>
      </c>
      <c r="F297" s="26">
        <v>18</v>
      </c>
      <c r="G297" s="26" t="b">
        <v>0</v>
      </c>
      <c r="H297" s="26">
        <v>4</v>
      </c>
      <c r="I297" s="26">
        <v>1</v>
      </c>
      <c r="J297" s="26">
        <v>0.2</v>
      </c>
      <c r="K297" s="26">
        <v>296</v>
      </c>
      <c r="L297" s="26">
        <v>0.18179999999999999</v>
      </c>
      <c r="M297" s="26">
        <v>0.4</v>
      </c>
      <c r="N297" s="26">
        <v>0.32840000000000003</v>
      </c>
      <c r="O297" s="26">
        <v>3</v>
      </c>
      <c r="P297" s="26">
        <v>141</v>
      </c>
      <c r="Q297" s="34">
        <v>144</v>
      </c>
    </row>
    <row r="298" spans="1:17" x14ac:dyDescent="0.25">
      <c r="A298" s="32">
        <v>297</v>
      </c>
      <c r="B298" s="33">
        <v>40556</v>
      </c>
      <c r="C298" s="26">
        <v>1</v>
      </c>
      <c r="D298" s="26">
        <v>0</v>
      </c>
      <c r="E298" s="26">
        <v>1</v>
      </c>
      <c r="F298" s="26">
        <v>19</v>
      </c>
      <c r="G298" s="26" t="b">
        <v>0</v>
      </c>
      <c r="H298" s="26">
        <v>4</v>
      </c>
      <c r="I298" s="26">
        <v>1</v>
      </c>
      <c r="J298" s="26">
        <v>0.16</v>
      </c>
      <c r="K298" s="26">
        <v>297</v>
      </c>
      <c r="L298" s="26">
        <v>0.1515</v>
      </c>
      <c r="M298" s="26">
        <v>0.47</v>
      </c>
      <c r="N298" s="26">
        <v>0.25369999999999998</v>
      </c>
      <c r="O298" s="26">
        <v>1</v>
      </c>
      <c r="P298" s="26">
        <v>98</v>
      </c>
      <c r="Q298" s="34">
        <v>99</v>
      </c>
    </row>
    <row r="299" spans="1:17" x14ac:dyDescent="0.25">
      <c r="A299" s="32">
        <v>298</v>
      </c>
      <c r="B299" s="33">
        <v>40556</v>
      </c>
      <c r="C299" s="26">
        <v>1</v>
      </c>
      <c r="D299" s="26">
        <v>0</v>
      </c>
      <c r="E299" s="26">
        <v>1</v>
      </c>
      <c r="F299" s="26">
        <v>20</v>
      </c>
      <c r="G299" s="26" t="b">
        <v>0</v>
      </c>
      <c r="H299" s="26">
        <v>4</v>
      </c>
      <c r="I299" s="26">
        <v>1</v>
      </c>
      <c r="J299" s="26">
        <v>0.16</v>
      </c>
      <c r="K299" s="26">
        <v>298</v>
      </c>
      <c r="L299" s="26">
        <v>0.1515</v>
      </c>
      <c r="M299" s="26">
        <v>0.47</v>
      </c>
      <c r="N299" s="26">
        <v>0.22389999999999999</v>
      </c>
      <c r="O299" s="26">
        <v>0</v>
      </c>
      <c r="P299" s="26">
        <v>64</v>
      </c>
      <c r="Q299" s="34">
        <v>64</v>
      </c>
    </row>
    <row r="300" spans="1:17" x14ac:dyDescent="0.25">
      <c r="A300" s="32">
        <v>299</v>
      </c>
      <c r="B300" s="33">
        <v>40556</v>
      </c>
      <c r="C300" s="26">
        <v>1</v>
      </c>
      <c r="D300" s="26">
        <v>0</v>
      </c>
      <c r="E300" s="26">
        <v>1</v>
      </c>
      <c r="F300" s="26">
        <v>21</v>
      </c>
      <c r="G300" s="26" t="b">
        <v>0</v>
      </c>
      <c r="H300" s="26">
        <v>4</v>
      </c>
      <c r="I300" s="26">
        <v>1</v>
      </c>
      <c r="J300" s="26">
        <v>0.14000000000000001</v>
      </c>
      <c r="K300" s="26">
        <v>299</v>
      </c>
      <c r="L300" s="26">
        <v>0.1212</v>
      </c>
      <c r="M300" s="26">
        <v>0.46</v>
      </c>
      <c r="N300" s="26">
        <v>0.29849999999999999</v>
      </c>
      <c r="O300" s="26">
        <v>0</v>
      </c>
      <c r="P300" s="26">
        <v>40</v>
      </c>
      <c r="Q300" s="34">
        <v>40</v>
      </c>
    </row>
    <row r="301" spans="1:17" x14ac:dyDescent="0.25">
      <c r="A301" s="32">
        <v>300</v>
      </c>
      <c r="B301" s="33">
        <v>40556</v>
      </c>
      <c r="C301" s="26">
        <v>1</v>
      </c>
      <c r="D301" s="26">
        <v>0</v>
      </c>
      <c r="E301" s="26">
        <v>1</v>
      </c>
      <c r="F301" s="26">
        <v>22</v>
      </c>
      <c r="G301" s="26" t="b">
        <v>0</v>
      </c>
      <c r="H301" s="26">
        <v>4</v>
      </c>
      <c r="I301" s="26">
        <v>1</v>
      </c>
      <c r="J301" s="26">
        <v>0.14000000000000001</v>
      </c>
      <c r="K301" s="26">
        <v>300</v>
      </c>
      <c r="L301" s="26">
        <v>0.1212</v>
      </c>
      <c r="M301" s="26">
        <v>0.46</v>
      </c>
      <c r="N301" s="26">
        <v>0.32840000000000003</v>
      </c>
      <c r="O301" s="26">
        <v>0</v>
      </c>
      <c r="P301" s="26">
        <v>30</v>
      </c>
      <c r="Q301" s="34">
        <v>30</v>
      </c>
    </row>
    <row r="302" spans="1:17" x14ac:dyDescent="0.25">
      <c r="A302" s="32">
        <v>301</v>
      </c>
      <c r="B302" s="33">
        <v>40556</v>
      </c>
      <c r="C302" s="26">
        <v>1</v>
      </c>
      <c r="D302" s="26">
        <v>0</v>
      </c>
      <c r="E302" s="26">
        <v>1</v>
      </c>
      <c r="F302" s="26">
        <v>23</v>
      </c>
      <c r="G302" s="26" t="b">
        <v>0</v>
      </c>
      <c r="H302" s="26">
        <v>4</v>
      </c>
      <c r="I302" s="26">
        <v>1</v>
      </c>
      <c r="J302" s="26">
        <v>0.12</v>
      </c>
      <c r="K302" s="26">
        <v>301</v>
      </c>
      <c r="L302" s="26">
        <v>0.13639999999999999</v>
      </c>
      <c r="M302" s="26">
        <v>0.5</v>
      </c>
      <c r="N302" s="26">
        <v>0.19400000000000001</v>
      </c>
      <c r="O302" s="26">
        <v>1</v>
      </c>
      <c r="P302" s="26">
        <v>14</v>
      </c>
      <c r="Q302" s="34">
        <v>15</v>
      </c>
    </row>
    <row r="303" spans="1:17" x14ac:dyDescent="0.25">
      <c r="A303" s="32">
        <v>302</v>
      </c>
      <c r="B303" s="33">
        <v>40557</v>
      </c>
      <c r="C303" s="26">
        <v>1</v>
      </c>
      <c r="D303" s="26">
        <v>0</v>
      </c>
      <c r="E303" s="26">
        <v>1</v>
      </c>
      <c r="F303" s="26">
        <v>0</v>
      </c>
      <c r="G303" s="26" t="b">
        <v>0</v>
      </c>
      <c r="H303" s="26">
        <v>5</v>
      </c>
      <c r="I303" s="26">
        <v>1</v>
      </c>
      <c r="J303" s="26">
        <v>0.12</v>
      </c>
      <c r="K303" s="26">
        <v>302</v>
      </c>
      <c r="L303" s="26">
        <v>0.13639999999999999</v>
      </c>
      <c r="M303" s="26">
        <v>0.5</v>
      </c>
      <c r="N303" s="26">
        <v>0.19400000000000001</v>
      </c>
      <c r="O303" s="26">
        <v>0</v>
      </c>
      <c r="P303" s="26">
        <v>14</v>
      </c>
      <c r="Q303" s="34">
        <v>14</v>
      </c>
    </row>
    <row r="304" spans="1:17" x14ac:dyDescent="0.25">
      <c r="A304" s="32">
        <v>303</v>
      </c>
      <c r="B304" s="33">
        <v>40557</v>
      </c>
      <c r="C304" s="26">
        <v>1</v>
      </c>
      <c r="D304" s="26">
        <v>0</v>
      </c>
      <c r="E304" s="26">
        <v>1</v>
      </c>
      <c r="F304" s="26">
        <v>1</v>
      </c>
      <c r="G304" s="26" t="b">
        <v>0</v>
      </c>
      <c r="H304" s="26">
        <v>5</v>
      </c>
      <c r="I304" s="26">
        <v>1</v>
      </c>
      <c r="J304" s="26">
        <v>0.1</v>
      </c>
      <c r="K304" s="26">
        <v>303</v>
      </c>
      <c r="L304" s="26">
        <v>0.1212</v>
      </c>
      <c r="M304" s="26">
        <v>0.54</v>
      </c>
      <c r="N304" s="26">
        <v>0.16420000000000001</v>
      </c>
      <c r="O304" s="26">
        <v>0</v>
      </c>
      <c r="P304" s="26">
        <v>5</v>
      </c>
      <c r="Q304" s="34">
        <v>5</v>
      </c>
    </row>
    <row r="305" spans="1:17" x14ac:dyDescent="0.25">
      <c r="A305" s="32">
        <v>304</v>
      </c>
      <c r="B305" s="33">
        <v>40557</v>
      </c>
      <c r="C305" s="26">
        <v>1</v>
      </c>
      <c r="D305" s="26">
        <v>0</v>
      </c>
      <c r="E305" s="26">
        <v>1</v>
      </c>
      <c r="F305" s="26">
        <v>2</v>
      </c>
      <c r="G305" s="26" t="b">
        <v>0</v>
      </c>
      <c r="H305" s="26">
        <v>5</v>
      </c>
      <c r="I305" s="26">
        <v>1</v>
      </c>
      <c r="J305" s="26">
        <v>0.1</v>
      </c>
      <c r="K305" s="26">
        <v>304</v>
      </c>
      <c r="L305" s="26">
        <v>0.1212</v>
      </c>
      <c r="M305" s="26">
        <v>0.54</v>
      </c>
      <c r="N305" s="26">
        <v>0.1343</v>
      </c>
      <c r="O305" s="26">
        <v>0</v>
      </c>
      <c r="P305" s="26">
        <v>1</v>
      </c>
      <c r="Q305" s="34">
        <v>1</v>
      </c>
    </row>
    <row r="306" spans="1:17" x14ac:dyDescent="0.25">
      <c r="A306" s="32">
        <v>305</v>
      </c>
      <c r="B306" s="33">
        <v>40557</v>
      </c>
      <c r="C306" s="26">
        <v>1</v>
      </c>
      <c r="D306" s="26">
        <v>0</v>
      </c>
      <c r="E306" s="26">
        <v>1</v>
      </c>
      <c r="F306" s="26">
        <v>3</v>
      </c>
      <c r="G306" s="26" t="b">
        <v>0</v>
      </c>
      <c r="H306" s="26">
        <v>5</v>
      </c>
      <c r="I306" s="26">
        <v>1</v>
      </c>
      <c r="J306" s="26">
        <v>0.1</v>
      </c>
      <c r="K306" s="26">
        <v>305</v>
      </c>
      <c r="L306" s="26">
        <v>0.13639999999999999</v>
      </c>
      <c r="M306" s="26">
        <v>0.54</v>
      </c>
      <c r="N306" s="26">
        <v>0.1045</v>
      </c>
      <c r="O306" s="26">
        <v>0</v>
      </c>
      <c r="P306" s="26">
        <v>1</v>
      </c>
      <c r="Q306" s="34">
        <v>1</v>
      </c>
    </row>
    <row r="307" spans="1:17" x14ac:dyDescent="0.25">
      <c r="A307" s="32">
        <v>306</v>
      </c>
      <c r="B307" s="33">
        <v>40557</v>
      </c>
      <c r="C307" s="26">
        <v>1</v>
      </c>
      <c r="D307" s="26">
        <v>0</v>
      </c>
      <c r="E307" s="26">
        <v>1</v>
      </c>
      <c r="F307" s="26">
        <v>5</v>
      </c>
      <c r="G307" s="26" t="b">
        <v>0</v>
      </c>
      <c r="H307" s="26">
        <v>5</v>
      </c>
      <c r="I307" s="26">
        <v>1</v>
      </c>
      <c r="J307" s="26">
        <v>0.1</v>
      </c>
      <c r="K307" s="26">
        <v>306</v>
      </c>
      <c r="L307" s="26">
        <v>0.13639999999999999</v>
      </c>
      <c r="M307" s="26">
        <v>0.54</v>
      </c>
      <c r="N307" s="26">
        <v>8.9599999999999999E-2</v>
      </c>
      <c r="O307" s="26">
        <v>0</v>
      </c>
      <c r="P307" s="26">
        <v>8</v>
      </c>
      <c r="Q307" s="34">
        <v>8</v>
      </c>
    </row>
    <row r="308" spans="1:17" x14ac:dyDescent="0.25">
      <c r="A308" s="32">
        <v>307</v>
      </c>
      <c r="B308" s="33">
        <v>40557</v>
      </c>
      <c r="C308" s="26">
        <v>1</v>
      </c>
      <c r="D308" s="26">
        <v>0</v>
      </c>
      <c r="E308" s="26">
        <v>1</v>
      </c>
      <c r="F308" s="26">
        <v>6</v>
      </c>
      <c r="G308" s="26" t="b">
        <v>0</v>
      </c>
      <c r="H308" s="26">
        <v>5</v>
      </c>
      <c r="I308" s="26">
        <v>1</v>
      </c>
      <c r="J308" s="26">
        <v>0.1</v>
      </c>
      <c r="K308" s="26">
        <v>307</v>
      </c>
      <c r="L308" s="26">
        <v>0.18179999999999999</v>
      </c>
      <c r="M308" s="26">
        <v>0.54</v>
      </c>
      <c r="N308" s="26">
        <v>0</v>
      </c>
      <c r="O308" s="26">
        <v>0</v>
      </c>
      <c r="P308" s="26">
        <v>17</v>
      </c>
      <c r="Q308" s="34">
        <v>17</v>
      </c>
    </row>
    <row r="309" spans="1:17" x14ac:dyDescent="0.25">
      <c r="A309" s="32">
        <v>308</v>
      </c>
      <c r="B309" s="33">
        <v>40557</v>
      </c>
      <c r="C309" s="26">
        <v>1</v>
      </c>
      <c r="D309" s="26">
        <v>0</v>
      </c>
      <c r="E309" s="26">
        <v>1</v>
      </c>
      <c r="F309" s="26">
        <v>7</v>
      </c>
      <c r="G309" s="26" t="b">
        <v>0</v>
      </c>
      <c r="H309" s="26">
        <v>5</v>
      </c>
      <c r="I309" s="26">
        <v>1</v>
      </c>
      <c r="J309" s="26">
        <v>0.1</v>
      </c>
      <c r="K309" s="26">
        <v>308</v>
      </c>
      <c r="L309" s="26">
        <v>0.1212</v>
      </c>
      <c r="M309" s="26">
        <v>0.74</v>
      </c>
      <c r="N309" s="26">
        <v>0.16420000000000001</v>
      </c>
      <c r="O309" s="26">
        <v>0</v>
      </c>
      <c r="P309" s="26">
        <v>70</v>
      </c>
      <c r="Q309" s="34">
        <v>70</v>
      </c>
    </row>
    <row r="310" spans="1:17" x14ac:dyDescent="0.25">
      <c r="A310" s="32">
        <v>309</v>
      </c>
      <c r="B310" s="33">
        <v>40557</v>
      </c>
      <c r="C310" s="26">
        <v>1</v>
      </c>
      <c r="D310" s="26">
        <v>0</v>
      </c>
      <c r="E310" s="26">
        <v>1</v>
      </c>
      <c r="F310" s="26">
        <v>8</v>
      </c>
      <c r="G310" s="26" t="b">
        <v>0</v>
      </c>
      <c r="H310" s="26">
        <v>5</v>
      </c>
      <c r="I310" s="26">
        <v>1</v>
      </c>
      <c r="J310" s="26">
        <v>0.12</v>
      </c>
      <c r="K310" s="26">
        <v>309</v>
      </c>
      <c r="L310" s="26">
        <v>0.16669999999999999</v>
      </c>
      <c r="M310" s="26">
        <v>0.68</v>
      </c>
      <c r="N310" s="26">
        <v>0</v>
      </c>
      <c r="O310" s="26">
        <v>2</v>
      </c>
      <c r="P310" s="26">
        <v>156</v>
      </c>
      <c r="Q310" s="34">
        <v>158</v>
      </c>
    </row>
    <row r="311" spans="1:17" x14ac:dyDescent="0.25">
      <c r="A311" s="32">
        <v>310</v>
      </c>
      <c r="B311" s="33">
        <v>40557</v>
      </c>
      <c r="C311" s="26">
        <v>1</v>
      </c>
      <c r="D311" s="26">
        <v>0</v>
      </c>
      <c r="E311" s="26">
        <v>1</v>
      </c>
      <c r="F311" s="26">
        <v>9</v>
      </c>
      <c r="G311" s="26" t="b">
        <v>0</v>
      </c>
      <c r="H311" s="26">
        <v>5</v>
      </c>
      <c r="I311" s="26">
        <v>1</v>
      </c>
      <c r="J311" s="26">
        <v>0.14000000000000001</v>
      </c>
      <c r="K311" s="26">
        <v>310</v>
      </c>
      <c r="L311" s="26">
        <v>0.1515</v>
      </c>
      <c r="M311" s="26">
        <v>0.69</v>
      </c>
      <c r="N311" s="26">
        <v>0.1343</v>
      </c>
      <c r="O311" s="26">
        <v>0</v>
      </c>
      <c r="P311" s="26">
        <v>117</v>
      </c>
      <c r="Q311" s="34">
        <v>117</v>
      </c>
    </row>
    <row r="312" spans="1:17" x14ac:dyDescent="0.25">
      <c r="A312" s="32">
        <v>311</v>
      </c>
      <c r="B312" s="33">
        <v>40557</v>
      </c>
      <c r="C312" s="26">
        <v>1</v>
      </c>
      <c r="D312" s="26">
        <v>0</v>
      </c>
      <c r="E312" s="26">
        <v>1</v>
      </c>
      <c r="F312" s="26">
        <v>10</v>
      </c>
      <c r="G312" s="26" t="b">
        <v>0</v>
      </c>
      <c r="H312" s="26">
        <v>5</v>
      </c>
      <c r="I312" s="26">
        <v>1</v>
      </c>
      <c r="J312" s="26">
        <v>0.18</v>
      </c>
      <c r="K312" s="26">
        <v>311</v>
      </c>
      <c r="L312" s="26">
        <v>0.18179999999999999</v>
      </c>
      <c r="M312" s="26">
        <v>0.55000000000000004</v>
      </c>
      <c r="N312" s="26">
        <v>0.19400000000000001</v>
      </c>
      <c r="O312" s="26">
        <v>4</v>
      </c>
      <c r="P312" s="26">
        <v>40</v>
      </c>
      <c r="Q312" s="34">
        <v>44</v>
      </c>
    </row>
    <row r="313" spans="1:17" x14ac:dyDescent="0.25">
      <c r="A313" s="32">
        <v>312</v>
      </c>
      <c r="B313" s="33">
        <v>40557</v>
      </c>
      <c r="C313" s="26">
        <v>1</v>
      </c>
      <c r="D313" s="26">
        <v>0</v>
      </c>
      <c r="E313" s="26">
        <v>1</v>
      </c>
      <c r="F313" s="26">
        <v>11</v>
      </c>
      <c r="G313" s="26" t="b">
        <v>0</v>
      </c>
      <c r="H313" s="26">
        <v>5</v>
      </c>
      <c r="I313" s="26">
        <v>1</v>
      </c>
      <c r="J313" s="26">
        <v>0.18</v>
      </c>
      <c r="K313" s="26">
        <v>312</v>
      </c>
      <c r="L313" s="26">
        <v>0.16669999999999999</v>
      </c>
      <c r="M313" s="26">
        <v>0.51</v>
      </c>
      <c r="N313" s="26">
        <v>0.28360000000000002</v>
      </c>
      <c r="O313" s="26">
        <v>6</v>
      </c>
      <c r="P313" s="26">
        <v>47</v>
      </c>
      <c r="Q313" s="34">
        <v>53</v>
      </c>
    </row>
    <row r="314" spans="1:17" x14ac:dyDescent="0.25">
      <c r="A314" s="32">
        <v>313</v>
      </c>
      <c r="B314" s="33">
        <v>40557</v>
      </c>
      <c r="C314" s="26">
        <v>1</v>
      </c>
      <c r="D314" s="26">
        <v>0</v>
      </c>
      <c r="E314" s="26">
        <v>1</v>
      </c>
      <c r="F314" s="26">
        <v>12</v>
      </c>
      <c r="G314" s="26" t="b">
        <v>0</v>
      </c>
      <c r="H314" s="26">
        <v>5</v>
      </c>
      <c r="I314" s="26">
        <v>1</v>
      </c>
      <c r="J314" s="26">
        <v>0.2</v>
      </c>
      <c r="K314" s="26">
        <v>313</v>
      </c>
      <c r="L314" s="26">
        <v>0.19700000000000001</v>
      </c>
      <c r="M314" s="26">
        <v>0.44</v>
      </c>
      <c r="N314" s="26">
        <v>0.25369999999999998</v>
      </c>
      <c r="O314" s="26">
        <v>2</v>
      </c>
      <c r="P314" s="26">
        <v>59</v>
      </c>
      <c r="Q314" s="34">
        <v>61</v>
      </c>
    </row>
    <row r="315" spans="1:17" x14ac:dyDescent="0.25">
      <c r="A315" s="32">
        <v>314</v>
      </c>
      <c r="B315" s="33">
        <v>40557</v>
      </c>
      <c r="C315" s="26">
        <v>1</v>
      </c>
      <c r="D315" s="26">
        <v>0</v>
      </c>
      <c r="E315" s="26">
        <v>1</v>
      </c>
      <c r="F315" s="26">
        <v>13</v>
      </c>
      <c r="G315" s="26" t="b">
        <v>0</v>
      </c>
      <c r="H315" s="26">
        <v>5</v>
      </c>
      <c r="I315" s="26">
        <v>1</v>
      </c>
      <c r="J315" s="26">
        <v>0.22</v>
      </c>
      <c r="K315" s="26">
        <v>314</v>
      </c>
      <c r="L315" s="26">
        <v>0.19700000000000001</v>
      </c>
      <c r="M315" s="26">
        <v>0.37</v>
      </c>
      <c r="N315" s="26">
        <v>0.3881</v>
      </c>
      <c r="O315" s="26">
        <v>4</v>
      </c>
      <c r="P315" s="26">
        <v>73</v>
      </c>
      <c r="Q315" s="34">
        <v>77</v>
      </c>
    </row>
    <row r="316" spans="1:17" x14ac:dyDescent="0.25">
      <c r="A316" s="32">
        <v>315</v>
      </c>
      <c r="B316" s="33">
        <v>40557</v>
      </c>
      <c r="C316" s="26">
        <v>1</v>
      </c>
      <c r="D316" s="26">
        <v>0</v>
      </c>
      <c r="E316" s="26">
        <v>1</v>
      </c>
      <c r="F316" s="26">
        <v>14</v>
      </c>
      <c r="G316" s="26" t="b">
        <v>0</v>
      </c>
      <c r="H316" s="26">
        <v>5</v>
      </c>
      <c r="I316" s="26">
        <v>1</v>
      </c>
      <c r="J316" s="26">
        <v>0.22</v>
      </c>
      <c r="K316" s="26">
        <v>315</v>
      </c>
      <c r="L316" s="26">
        <v>0.21210000000000001</v>
      </c>
      <c r="M316" s="26">
        <v>0.41</v>
      </c>
      <c r="N316" s="26">
        <v>0.28360000000000002</v>
      </c>
      <c r="O316" s="26">
        <v>5</v>
      </c>
      <c r="P316" s="26">
        <v>59</v>
      </c>
      <c r="Q316" s="34">
        <v>64</v>
      </c>
    </row>
    <row r="317" spans="1:17" x14ac:dyDescent="0.25">
      <c r="A317" s="32">
        <v>316</v>
      </c>
      <c r="B317" s="33">
        <v>40557</v>
      </c>
      <c r="C317" s="26">
        <v>1</v>
      </c>
      <c r="D317" s="26">
        <v>0</v>
      </c>
      <c r="E317" s="26">
        <v>1</v>
      </c>
      <c r="F317" s="26">
        <v>15</v>
      </c>
      <c r="G317" s="26" t="b">
        <v>0</v>
      </c>
      <c r="H317" s="26">
        <v>5</v>
      </c>
      <c r="I317" s="26">
        <v>1</v>
      </c>
      <c r="J317" s="26">
        <v>0.24</v>
      </c>
      <c r="K317" s="26">
        <v>316</v>
      </c>
      <c r="L317" s="26">
        <v>0.2424</v>
      </c>
      <c r="M317" s="26">
        <v>0.38</v>
      </c>
      <c r="N317" s="26">
        <v>0.16420000000000001</v>
      </c>
      <c r="O317" s="26">
        <v>9</v>
      </c>
      <c r="P317" s="26">
        <v>59</v>
      </c>
      <c r="Q317" s="34">
        <v>68</v>
      </c>
    </row>
    <row r="318" spans="1:17" x14ac:dyDescent="0.25">
      <c r="A318" s="32">
        <v>317</v>
      </c>
      <c r="B318" s="33">
        <v>40557</v>
      </c>
      <c r="C318" s="26">
        <v>1</v>
      </c>
      <c r="D318" s="26">
        <v>0</v>
      </c>
      <c r="E318" s="26">
        <v>1</v>
      </c>
      <c r="F318" s="26">
        <v>16</v>
      </c>
      <c r="G318" s="26" t="b">
        <v>0</v>
      </c>
      <c r="H318" s="26">
        <v>5</v>
      </c>
      <c r="I318" s="26">
        <v>1</v>
      </c>
      <c r="J318" s="26">
        <v>0.22</v>
      </c>
      <c r="K318" s="26">
        <v>317</v>
      </c>
      <c r="L318" s="26">
        <v>0.2424</v>
      </c>
      <c r="M318" s="26">
        <v>0.41</v>
      </c>
      <c r="N318" s="26">
        <v>0.1045</v>
      </c>
      <c r="O318" s="26">
        <v>3</v>
      </c>
      <c r="P318" s="26">
        <v>87</v>
      </c>
      <c r="Q318" s="34">
        <v>90</v>
      </c>
    </row>
    <row r="319" spans="1:17" x14ac:dyDescent="0.25">
      <c r="A319" s="32">
        <v>318</v>
      </c>
      <c r="B319" s="33">
        <v>40557</v>
      </c>
      <c r="C319" s="26">
        <v>1</v>
      </c>
      <c r="D319" s="26">
        <v>0</v>
      </c>
      <c r="E319" s="26">
        <v>1</v>
      </c>
      <c r="F319" s="26">
        <v>17</v>
      </c>
      <c r="G319" s="26" t="b">
        <v>0</v>
      </c>
      <c r="H319" s="26">
        <v>5</v>
      </c>
      <c r="I319" s="26">
        <v>1</v>
      </c>
      <c r="J319" s="26">
        <v>0.22</v>
      </c>
      <c r="K319" s="26">
        <v>318</v>
      </c>
      <c r="L319" s="26">
        <v>0.2273</v>
      </c>
      <c r="M319" s="26">
        <v>0.41</v>
      </c>
      <c r="N319" s="26">
        <v>0.16420000000000001</v>
      </c>
      <c r="O319" s="26">
        <v>4</v>
      </c>
      <c r="P319" s="26">
        <v>155</v>
      </c>
      <c r="Q319" s="34">
        <v>159</v>
      </c>
    </row>
    <row r="320" spans="1:17" x14ac:dyDescent="0.25">
      <c r="A320" s="32">
        <v>319</v>
      </c>
      <c r="B320" s="33">
        <v>40557</v>
      </c>
      <c r="C320" s="26">
        <v>1</v>
      </c>
      <c r="D320" s="26">
        <v>0</v>
      </c>
      <c r="E320" s="26">
        <v>1</v>
      </c>
      <c r="F320" s="26">
        <v>18</v>
      </c>
      <c r="G320" s="26" t="b">
        <v>0</v>
      </c>
      <c r="H320" s="26">
        <v>5</v>
      </c>
      <c r="I320" s="26">
        <v>1</v>
      </c>
      <c r="J320" s="26">
        <v>0.2</v>
      </c>
      <c r="K320" s="26">
        <v>319</v>
      </c>
      <c r="L320" s="26">
        <v>0.2576</v>
      </c>
      <c r="M320" s="26">
        <v>0.47</v>
      </c>
      <c r="N320" s="26">
        <v>0</v>
      </c>
      <c r="O320" s="26">
        <v>5</v>
      </c>
      <c r="P320" s="26">
        <v>134</v>
      </c>
      <c r="Q320" s="34">
        <v>139</v>
      </c>
    </row>
    <row r="321" spans="1:17" x14ac:dyDescent="0.25">
      <c r="A321" s="32">
        <v>320</v>
      </c>
      <c r="B321" s="33">
        <v>40557</v>
      </c>
      <c r="C321" s="26">
        <v>1</v>
      </c>
      <c r="D321" s="26">
        <v>0</v>
      </c>
      <c r="E321" s="26">
        <v>1</v>
      </c>
      <c r="F321" s="26">
        <v>19</v>
      </c>
      <c r="G321" s="26" t="b">
        <v>0</v>
      </c>
      <c r="H321" s="26">
        <v>5</v>
      </c>
      <c r="I321" s="26">
        <v>1</v>
      </c>
      <c r="J321" s="26">
        <v>0.16</v>
      </c>
      <c r="K321" s="26">
        <v>320</v>
      </c>
      <c r="L321" s="26">
        <v>0.19700000000000001</v>
      </c>
      <c r="M321" s="26">
        <v>0.59</v>
      </c>
      <c r="N321" s="26">
        <v>8.9599999999999999E-2</v>
      </c>
      <c r="O321" s="26">
        <v>3</v>
      </c>
      <c r="P321" s="26">
        <v>89</v>
      </c>
      <c r="Q321" s="34">
        <v>92</v>
      </c>
    </row>
    <row r="322" spans="1:17" x14ac:dyDescent="0.25">
      <c r="A322" s="32">
        <v>321</v>
      </c>
      <c r="B322" s="33">
        <v>40557</v>
      </c>
      <c r="C322" s="26">
        <v>1</v>
      </c>
      <c r="D322" s="26">
        <v>0</v>
      </c>
      <c r="E322" s="26">
        <v>1</v>
      </c>
      <c r="F322" s="26">
        <v>20</v>
      </c>
      <c r="G322" s="26" t="b">
        <v>0</v>
      </c>
      <c r="H322" s="26">
        <v>5</v>
      </c>
      <c r="I322" s="26">
        <v>1</v>
      </c>
      <c r="J322" s="26">
        <v>0.18</v>
      </c>
      <c r="K322" s="26">
        <v>321</v>
      </c>
      <c r="L322" s="26">
        <v>0.2424</v>
      </c>
      <c r="M322" s="26">
        <v>0.59</v>
      </c>
      <c r="N322" s="26">
        <v>0</v>
      </c>
      <c r="O322" s="26">
        <v>0</v>
      </c>
      <c r="P322" s="26">
        <v>68</v>
      </c>
      <c r="Q322" s="34">
        <v>68</v>
      </c>
    </row>
    <row r="323" spans="1:17" x14ac:dyDescent="0.25">
      <c r="A323" s="32">
        <v>322</v>
      </c>
      <c r="B323" s="33">
        <v>40557</v>
      </c>
      <c r="C323" s="26">
        <v>1</v>
      </c>
      <c r="D323" s="26">
        <v>0</v>
      </c>
      <c r="E323" s="26">
        <v>1</v>
      </c>
      <c r="F323" s="26">
        <v>21</v>
      </c>
      <c r="G323" s="26" t="b">
        <v>0</v>
      </c>
      <c r="H323" s="26">
        <v>5</v>
      </c>
      <c r="I323" s="26">
        <v>1</v>
      </c>
      <c r="J323" s="26">
        <v>0.16</v>
      </c>
      <c r="K323" s="26">
        <v>322</v>
      </c>
      <c r="L323" s="26">
        <v>0.2273</v>
      </c>
      <c r="M323" s="26">
        <v>0.69</v>
      </c>
      <c r="N323" s="26">
        <v>0</v>
      </c>
      <c r="O323" s="26">
        <v>4</v>
      </c>
      <c r="P323" s="26">
        <v>48</v>
      </c>
      <c r="Q323" s="34">
        <v>52</v>
      </c>
    </row>
    <row r="324" spans="1:17" x14ac:dyDescent="0.25">
      <c r="A324" s="32">
        <v>323</v>
      </c>
      <c r="B324" s="33">
        <v>40557</v>
      </c>
      <c r="C324" s="26">
        <v>1</v>
      </c>
      <c r="D324" s="26">
        <v>0</v>
      </c>
      <c r="E324" s="26">
        <v>1</v>
      </c>
      <c r="F324" s="26">
        <v>22</v>
      </c>
      <c r="G324" s="26" t="b">
        <v>0</v>
      </c>
      <c r="H324" s="26">
        <v>5</v>
      </c>
      <c r="I324" s="26">
        <v>2</v>
      </c>
      <c r="J324" s="26">
        <v>0.16</v>
      </c>
      <c r="K324" s="26">
        <v>323</v>
      </c>
      <c r="L324" s="26">
        <v>0.2273</v>
      </c>
      <c r="M324" s="26">
        <v>0.69</v>
      </c>
      <c r="N324" s="26">
        <v>0</v>
      </c>
      <c r="O324" s="26">
        <v>2</v>
      </c>
      <c r="P324" s="26">
        <v>34</v>
      </c>
      <c r="Q324" s="34">
        <v>36</v>
      </c>
    </row>
    <row r="325" spans="1:17" x14ac:dyDescent="0.25">
      <c r="A325" s="32">
        <v>324</v>
      </c>
      <c r="B325" s="33">
        <v>40557</v>
      </c>
      <c r="C325" s="26">
        <v>1</v>
      </c>
      <c r="D325" s="26">
        <v>0</v>
      </c>
      <c r="E325" s="26">
        <v>1</v>
      </c>
      <c r="F325" s="26">
        <v>23</v>
      </c>
      <c r="G325" s="26" t="b">
        <v>0</v>
      </c>
      <c r="H325" s="26">
        <v>5</v>
      </c>
      <c r="I325" s="26">
        <v>2</v>
      </c>
      <c r="J325" s="26">
        <v>0.18</v>
      </c>
      <c r="K325" s="26">
        <v>324</v>
      </c>
      <c r="L325" s="26">
        <v>0.2424</v>
      </c>
      <c r="M325" s="26">
        <v>0.55000000000000004</v>
      </c>
      <c r="N325" s="26">
        <v>0</v>
      </c>
      <c r="O325" s="26">
        <v>1</v>
      </c>
      <c r="P325" s="26">
        <v>26</v>
      </c>
      <c r="Q325" s="34">
        <v>27</v>
      </c>
    </row>
    <row r="326" spans="1:17" x14ac:dyDescent="0.25">
      <c r="A326" s="32">
        <v>325</v>
      </c>
      <c r="B326" s="33">
        <v>40558</v>
      </c>
      <c r="C326" s="26">
        <v>1</v>
      </c>
      <c r="D326" s="26">
        <v>0</v>
      </c>
      <c r="E326" s="26">
        <v>1</v>
      </c>
      <c r="F326" s="26">
        <v>0</v>
      </c>
      <c r="G326" s="26" t="b">
        <v>0</v>
      </c>
      <c r="H326" s="26">
        <v>6</v>
      </c>
      <c r="I326" s="26">
        <v>1</v>
      </c>
      <c r="J326" s="26">
        <v>0.18</v>
      </c>
      <c r="K326" s="26">
        <v>325</v>
      </c>
      <c r="L326" s="26">
        <v>0.2424</v>
      </c>
      <c r="M326" s="26">
        <v>0.55000000000000004</v>
      </c>
      <c r="N326" s="26">
        <v>0</v>
      </c>
      <c r="O326" s="26">
        <v>3</v>
      </c>
      <c r="P326" s="26">
        <v>25</v>
      </c>
      <c r="Q326" s="34">
        <v>28</v>
      </c>
    </row>
    <row r="327" spans="1:17" x14ac:dyDescent="0.25">
      <c r="A327" s="32">
        <v>326</v>
      </c>
      <c r="B327" s="33">
        <v>40558</v>
      </c>
      <c r="C327" s="26">
        <v>1</v>
      </c>
      <c r="D327" s="26">
        <v>0</v>
      </c>
      <c r="E327" s="26">
        <v>1</v>
      </c>
      <c r="F327" s="26">
        <v>1</v>
      </c>
      <c r="G327" s="26" t="b">
        <v>0</v>
      </c>
      <c r="H327" s="26">
        <v>6</v>
      </c>
      <c r="I327" s="26">
        <v>2</v>
      </c>
      <c r="J327" s="26">
        <v>0.16</v>
      </c>
      <c r="K327" s="26">
        <v>326</v>
      </c>
      <c r="L327" s="26">
        <v>0.19700000000000001</v>
      </c>
      <c r="M327" s="26">
        <v>0.59</v>
      </c>
      <c r="N327" s="26">
        <v>8.9599999999999999E-2</v>
      </c>
      <c r="O327" s="26">
        <v>2</v>
      </c>
      <c r="P327" s="26">
        <v>18</v>
      </c>
      <c r="Q327" s="34">
        <v>20</v>
      </c>
    </row>
    <row r="328" spans="1:17" x14ac:dyDescent="0.25">
      <c r="A328" s="32">
        <v>327</v>
      </c>
      <c r="B328" s="33">
        <v>40558</v>
      </c>
      <c r="C328" s="26">
        <v>1</v>
      </c>
      <c r="D328" s="26">
        <v>0</v>
      </c>
      <c r="E328" s="26">
        <v>1</v>
      </c>
      <c r="F328" s="26">
        <v>2</v>
      </c>
      <c r="G328" s="26" t="b">
        <v>0</v>
      </c>
      <c r="H328" s="26">
        <v>6</v>
      </c>
      <c r="I328" s="26">
        <v>2</v>
      </c>
      <c r="J328" s="26">
        <v>0.16</v>
      </c>
      <c r="K328" s="26">
        <v>327</v>
      </c>
      <c r="L328" s="26">
        <v>0.19700000000000001</v>
      </c>
      <c r="M328" s="26">
        <v>0.59</v>
      </c>
      <c r="N328" s="26">
        <v>8.9599999999999999E-2</v>
      </c>
      <c r="O328" s="26">
        <v>0</v>
      </c>
      <c r="P328" s="26">
        <v>12</v>
      </c>
      <c r="Q328" s="34">
        <v>12</v>
      </c>
    </row>
    <row r="329" spans="1:17" x14ac:dyDescent="0.25">
      <c r="A329" s="32">
        <v>328</v>
      </c>
      <c r="B329" s="33">
        <v>40558</v>
      </c>
      <c r="C329" s="26">
        <v>1</v>
      </c>
      <c r="D329" s="26">
        <v>0</v>
      </c>
      <c r="E329" s="26">
        <v>1</v>
      </c>
      <c r="F329" s="26">
        <v>3</v>
      </c>
      <c r="G329" s="26" t="b">
        <v>0</v>
      </c>
      <c r="H329" s="26">
        <v>6</v>
      </c>
      <c r="I329" s="26">
        <v>2</v>
      </c>
      <c r="J329" s="26">
        <v>0.16</v>
      </c>
      <c r="K329" s="26">
        <v>328</v>
      </c>
      <c r="L329" s="26">
        <v>0.2273</v>
      </c>
      <c r="M329" s="26">
        <v>0.59</v>
      </c>
      <c r="N329" s="26">
        <v>0</v>
      </c>
      <c r="O329" s="26">
        <v>1</v>
      </c>
      <c r="P329" s="26">
        <v>7</v>
      </c>
      <c r="Q329" s="34">
        <v>8</v>
      </c>
    </row>
    <row r="330" spans="1:17" x14ac:dyDescent="0.25">
      <c r="A330" s="32">
        <v>329</v>
      </c>
      <c r="B330" s="33">
        <v>40558</v>
      </c>
      <c r="C330" s="26">
        <v>1</v>
      </c>
      <c r="D330" s="26">
        <v>0</v>
      </c>
      <c r="E330" s="26">
        <v>1</v>
      </c>
      <c r="F330" s="26">
        <v>4</v>
      </c>
      <c r="G330" s="26" t="b">
        <v>0</v>
      </c>
      <c r="H330" s="26">
        <v>6</v>
      </c>
      <c r="I330" s="26">
        <v>2</v>
      </c>
      <c r="J330" s="26">
        <v>0.16</v>
      </c>
      <c r="K330" s="26">
        <v>329</v>
      </c>
      <c r="L330" s="26">
        <v>0.2273</v>
      </c>
      <c r="M330" s="26">
        <v>0.59</v>
      </c>
      <c r="N330" s="26">
        <v>0</v>
      </c>
      <c r="O330" s="26">
        <v>0</v>
      </c>
      <c r="P330" s="26">
        <v>5</v>
      </c>
      <c r="Q330" s="34">
        <v>5</v>
      </c>
    </row>
    <row r="331" spans="1:17" x14ac:dyDescent="0.25">
      <c r="A331" s="32">
        <v>330</v>
      </c>
      <c r="B331" s="33">
        <v>40558</v>
      </c>
      <c r="C331" s="26">
        <v>1</v>
      </c>
      <c r="D331" s="26">
        <v>0</v>
      </c>
      <c r="E331" s="26">
        <v>1</v>
      </c>
      <c r="F331" s="26">
        <v>5</v>
      </c>
      <c r="G331" s="26" t="b">
        <v>0</v>
      </c>
      <c r="H331" s="26">
        <v>6</v>
      </c>
      <c r="I331" s="26">
        <v>1</v>
      </c>
      <c r="J331" s="26">
        <v>0.16</v>
      </c>
      <c r="K331" s="26">
        <v>330</v>
      </c>
      <c r="L331" s="26">
        <v>0.2273</v>
      </c>
      <c r="M331" s="26">
        <v>0.59</v>
      </c>
      <c r="N331" s="26">
        <v>0</v>
      </c>
      <c r="O331" s="26">
        <v>0</v>
      </c>
      <c r="P331" s="26">
        <v>1</v>
      </c>
      <c r="Q331" s="34">
        <v>1</v>
      </c>
    </row>
    <row r="332" spans="1:17" x14ac:dyDescent="0.25">
      <c r="A332" s="32">
        <v>331</v>
      </c>
      <c r="B332" s="33">
        <v>40558</v>
      </c>
      <c r="C332" s="26">
        <v>1</v>
      </c>
      <c r="D332" s="26">
        <v>0</v>
      </c>
      <c r="E332" s="26">
        <v>1</v>
      </c>
      <c r="F332" s="26">
        <v>6</v>
      </c>
      <c r="G332" s="26" t="b">
        <v>0</v>
      </c>
      <c r="H332" s="26">
        <v>6</v>
      </c>
      <c r="I332" s="26">
        <v>1</v>
      </c>
      <c r="J332" s="26">
        <v>0.14000000000000001</v>
      </c>
      <c r="K332" s="26">
        <v>331</v>
      </c>
      <c r="L332" s="26">
        <v>0.16669999999999999</v>
      </c>
      <c r="M332" s="26">
        <v>0.63</v>
      </c>
      <c r="N332" s="26">
        <v>0.1045</v>
      </c>
      <c r="O332" s="26">
        <v>1</v>
      </c>
      <c r="P332" s="26">
        <v>2</v>
      </c>
      <c r="Q332" s="34">
        <v>3</v>
      </c>
    </row>
    <row r="333" spans="1:17" x14ac:dyDescent="0.25">
      <c r="A333" s="32">
        <v>332</v>
      </c>
      <c r="B333" s="33">
        <v>40558</v>
      </c>
      <c r="C333" s="26">
        <v>1</v>
      </c>
      <c r="D333" s="26">
        <v>0</v>
      </c>
      <c r="E333" s="26">
        <v>1</v>
      </c>
      <c r="F333" s="26">
        <v>7</v>
      </c>
      <c r="G333" s="26" t="b">
        <v>0</v>
      </c>
      <c r="H333" s="26">
        <v>6</v>
      </c>
      <c r="I333" s="26">
        <v>1</v>
      </c>
      <c r="J333" s="26">
        <v>0.14000000000000001</v>
      </c>
      <c r="K333" s="26">
        <v>332</v>
      </c>
      <c r="L333" s="26">
        <v>0.21210000000000001</v>
      </c>
      <c r="M333" s="26">
        <v>0.63</v>
      </c>
      <c r="N333" s="26">
        <v>0</v>
      </c>
      <c r="O333" s="26">
        <v>1</v>
      </c>
      <c r="P333" s="26">
        <v>9</v>
      </c>
      <c r="Q333" s="34">
        <v>10</v>
      </c>
    </row>
    <row r="334" spans="1:17" x14ac:dyDescent="0.25">
      <c r="A334" s="32">
        <v>333</v>
      </c>
      <c r="B334" s="33">
        <v>40558</v>
      </c>
      <c r="C334" s="26">
        <v>1</v>
      </c>
      <c r="D334" s="26">
        <v>0</v>
      </c>
      <c r="E334" s="26">
        <v>1</v>
      </c>
      <c r="F334" s="26">
        <v>8</v>
      </c>
      <c r="G334" s="26" t="b">
        <v>0</v>
      </c>
      <c r="H334" s="26">
        <v>6</v>
      </c>
      <c r="I334" s="26">
        <v>1</v>
      </c>
      <c r="J334" s="26">
        <v>0.14000000000000001</v>
      </c>
      <c r="K334" s="26">
        <v>333</v>
      </c>
      <c r="L334" s="26">
        <v>0.1515</v>
      </c>
      <c r="M334" s="26">
        <v>0.63</v>
      </c>
      <c r="N334" s="26">
        <v>0.1343</v>
      </c>
      <c r="O334" s="26">
        <v>1</v>
      </c>
      <c r="P334" s="26">
        <v>22</v>
      </c>
      <c r="Q334" s="34">
        <v>23</v>
      </c>
    </row>
    <row r="335" spans="1:17" x14ac:dyDescent="0.25">
      <c r="A335" s="32">
        <v>334</v>
      </c>
      <c r="B335" s="33">
        <v>40558</v>
      </c>
      <c r="C335" s="26">
        <v>1</v>
      </c>
      <c r="D335" s="26">
        <v>0</v>
      </c>
      <c r="E335" s="26">
        <v>1</v>
      </c>
      <c r="F335" s="26">
        <v>9</v>
      </c>
      <c r="G335" s="26" t="b">
        <v>0</v>
      </c>
      <c r="H335" s="26">
        <v>6</v>
      </c>
      <c r="I335" s="26">
        <v>1</v>
      </c>
      <c r="J335" s="26">
        <v>0.16</v>
      </c>
      <c r="K335" s="26">
        <v>334</v>
      </c>
      <c r="L335" s="26">
        <v>0.18179999999999999</v>
      </c>
      <c r="M335" s="26">
        <v>0.64</v>
      </c>
      <c r="N335" s="26">
        <v>0.1343</v>
      </c>
      <c r="O335" s="26">
        <v>2</v>
      </c>
      <c r="P335" s="26">
        <v>31</v>
      </c>
      <c r="Q335" s="34">
        <v>33</v>
      </c>
    </row>
    <row r="336" spans="1:17" x14ac:dyDescent="0.25">
      <c r="A336" s="32">
        <v>335</v>
      </c>
      <c r="B336" s="33">
        <v>40558</v>
      </c>
      <c r="C336" s="26">
        <v>1</v>
      </c>
      <c r="D336" s="26">
        <v>0</v>
      </c>
      <c r="E336" s="26">
        <v>1</v>
      </c>
      <c r="F336" s="26">
        <v>10</v>
      </c>
      <c r="G336" s="26" t="b">
        <v>0</v>
      </c>
      <c r="H336" s="26">
        <v>6</v>
      </c>
      <c r="I336" s="26">
        <v>1</v>
      </c>
      <c r="J336" s="26">
        <v>0.18</v>
      </c>
      <c r="K336" s="26">
        <v>335</v>
      </c>
      <c r="L336" s="26">
        <v>0.19700000000000001</v>
      </c>
      <c r="M336" s="26">
        <v>0.59</v>
      </c>
      <c r="N336" s="26">
        <v>0.16420000000000001</v>
      </c>
      <c r="O336" s="26">
        <v>2</v>
      </c>
      <c r="P336" s="26">
        <v>57</v>
      </c>
      <c r="Q336" s="34">
        <v>59</v>
      </c>
    </row>
    <row r="337" spans="1:17" x14ac:dyDescent="0.25">
      <c r="A337" s="32">
        <v>336</v>
      </c>
      <c r="B337" s="33">
        <v>40558</v>
      </c>
      <c r="C337" s="26">
        <v>1</v>
      </c>
      <c r="D337" s="26">
        <v>0</v>
      </c>
      <c r="E337" s="26">
        <v>1</v>
      </c>
      <c r="F337" s="26">
        <v>11</v>
      </c>
      <c r="G337" s="26" t="b">
        <v>0</v>
      </c>
      <c r="H337" s="26">
        <v>6</v>
      </c>
      <c r="I337" s="26">
        <v>1</v>
      </c>
      <c r="J337" s="26">
        <v>0.2</v>
      </c>
      <c r="K337" s="26">
        <v>336</v>
      </c>
      <c r="L337" s="26">
        <v>0.19700000000000001</v>
      </c>
      <c r="M337" s="26">
        <v>0.55000000000000004</v>
      </c>
      <c r="N337" s="26">
        <v>0.22389999999999999</v>
      </c>
      <c r="O337" s="26">
        <v>18</v>
      </c>
      <c r="P337" s="26">
        <v>54</v>
      </c>
      <c r="Q337" s="34">
        <v>72</v>
      </c>
    </row>
    <row r="338" spans="1:17" x14ac:dyDescent="0.25">
      <c r="A338" s="32">
        <v>337</v>
      </c>
      <c r="B338" s="33">
        <v>40558</v>
      </c>
      <c r="C338" s="26">
        <v>1</v>
      </c>
      <c r="D338" s="26">
        <v>0</v>
      </c>
      <c r="E338" s="26">
        <v>1</v>
      </c>
      <c r="F338" s="26">
        <v>12</v>
      </c>
      <c r="G338" s="26" t="b">
        <v>0</v>
      </c>
      <c r="H338" s="26">
        <v>6</v>
      </c>
      <c r="I338" s="26">
        <v>1</v>
      </c>
      <c r="J338" s="26">
        <v>0.24</v>
      </c>
      <c r="K338" s="26">
        <v>337</v>
      </c>
      <c r="L338" s="26">
        <v>0.2273</v>
      </c>
      <c r="M338" s="26">
        <v>0.48</v>
      </c>
      <c r="N338" s="26">
        <v>0.22389999999999999</v>
      </c>
      <c r="O338" s="26">
        <v>15</v>
      </c>
      <c r="P338" s="26">
        <v>74</v>
      </c>
      <c r="Q338" s="34">
        <v>89</v>
      </c>
    </row>
    <row r="339" spans="1:17" x14ac:dyDescent="0.25">
      <c r="A339" s="32">
        <v>338</v>
      </c>
      <c r="B339" s="33">
        <v>40558</v>
      </c>
      <c r="C339" s="26">
        <v>1</v>
      </c>
      <c r="D339" s="26">
        <v>0</v>
      </c>
      <c r="E339" s="26">
        <v>1</v>
      </c>
      <c r="F339" s="26">
        <v>13</v>
      </c>
      <c r="G339" s="26" t="b">
        <v>0</v>
      </c>
      <c r="H339" s="26">
        <v>6</v>
      </c>
      <c r="I339" s="26">
        <v>1</v>
      </c>
      <c r="J339" s="26">
        <v>0.28000000000000003</v>
      </c>
      <c r="K339" s="26">
        <v>338</v>
      </c>
      <c r="L339" s="26">
        <v>0.2576</v>
      </c>
      <c r="M339" s="26">
        <v>0.38</v>
      </c>
      <c r="N339" s="26">
        <v>0.29849999999999999</v>
      </c>
      <c r="O339" s="26">
        <v>21</v>
      </c>
      <c r="P339" s="26">
        <v>80</v>
      </c>
      <c r="Q339" s="34">
        <v>101</v>
      </c>
    </row>
    <row r="340" spans="1:17" x14ac:dyDescent="0.25">
      <c r="A340" s="32">
        <v>339</v>
      </c>
      <c r="B340" s="33">
        <v>40558</v>
      </c>
      <c r="C340" s="26">
        <v>1</v>
      </c>
      <c r="D340" s="26">
        <v>0</v>
      </c>
      <c r="E340" s="26">
        <v>1</v>
      </c>
      <c r="F340" s="26">
        <v>14</v>
      </c>
      <c r="G340" s="26" t="b">
        <v>0</v>
      </c>
      <c r="H340" s="26">
        <v>6</v>
      </c>
      <c r="I340" s="26">
        <v>1</v>
      </c>
      <c r="J340" s="26">
        <v>0.3</v>
      </c>
      <c r="K340" s="26">
        <v>339</v>
      </c>
      <c r="L340" s="26">
        <v>0.28789999999999999</v>
      </c>
      <c r="M340" s="26">
        <v>0.39</v>
      </c>
      <c r="N340" s="26">
        <v>0.28360000000000002</v>
      </c>
      <c r="O340" s="26">
        <v>26</v>
      </c>
      <c r="P340" s="26">
        <v>92</v>
      </c>
      <c r="Q340" s="34">
        <v>118</v>
      </c>
    </row>
    <row r="341" spans="1:17" x14ac:dyDescent="0.25">
      <c r="A341" s="32">
        <v>340</v>
      </c>
      <c r="B341" s="33">
        <v>40558</v>
      </c>
      <c r="C341" s="26">
        <v>1</v>
      </c>
      <c r="D341" s="26">
        <v>0</v>
      </c>
      <c r="E341" s="26">
        <v>1</v>
      </c>
      <c r="F341" s="26">
        <v>15</v>
      </c>
      <c r="G341" s="26" t="b">
        <v>0</v>
      </c>
      <c r="H341" s="26">
        <v>6</v>
      </c>
      <c r="I341" s="26">
        <v>2</v>
      </c>
      <c r="J341" s="26">
        <v>0.32</v>
      </c>
      <c r="K341" s="26">
        <v>340</v>
      </c>
      <c r="L341" s="26">
        <v>0.31819999999999998</v>
      </c>
      <c r="M341" s="26">
        <v>0.36</v>
      </c>
      <c r="N341" s="26">
        <v>0.19400000000000001</v>
      </c>
      <c r="O341" s="26">
        <v>21</v>
      </c>
      <c r="P341" s="26">
        <v>108</v>
      </c>
      <c r="Q341" s="34">
        <v>129</v>
      </c>
    </row>
    <row r="342" spans="1:17" x14ac:dyDescent="0.25">
      <c r="A342" s="32">
        <v>341</v>
      </c>
      <c r="B342" s="33">
        <v>40558</v>
      </c>
      <c r="C342" s="26">
        <v>1</v>
      </c>
      <c r="D342" s="26">
        <v>0</v>
      </c>
      <c r="E342" s="26">
        <v>1</v>
      </c>
      <c r="F342" s="26">
        <v>16</v>
      </c>
      <c r="G342" s="26" t="b">
        <v>0</v>
      </c>
      <c r="H342" s="26">
        <v>6</v>
      </c>
      <c r="I342" s="26">
        <v>2</v>
      </c>
      <c r="J342" s="26">
        <v>0.34</v>
      </c>
      <c r="K342" s="26">
        <v>341</v>
      </c>
      <c r="L342" s="26">
        <v>0.33329999999999999</v>
      </c>
      <c r="M342" s="26">
        <v>0.34</v>
      </c>
      <c r="N342" s="26">
        <v>0.19400000000000001</v>
      </c>
      <c r="O342" s="26">
        <v>33</v>
      </c>
      <c r="P342" s="26">
        <v>95</v>
      </c>
      <c r="Q342" s="34">
        <v>128</v>
      </c>
    </row>
    <row r="343" spans="1:17" x14ac:dyDescent="0.25">
      <c r="A343" s="32">
        <v>342</v>
      </c>
      <c r="B343" s="33">
        <v>40558</v>
      </c>
      <c r="C343" s="26">
        <v>1</v>
      </c>
      <c r="D343" s="26">
        <v>0</v>
      </c>
      <c r="E343" s="26">
        <v>1</v>
      </c>
      <c r="F343" s="26">
        <v>17</v>
      </c>
      <c r="G343" s="26" t="b">
        <v>0</v>
      </c>
      <c r="H343" s="26">
        <v>6</v>
      </c>
      <c r="I343" s="26">
        <v>2</v>
      </c>
      <c r="J343" s="26">
        <v>0.32</v>
      </c>
      <c r="K343" s="26">
        <v>342</v>
      </c>
      <c r="L343" s="26">
        <v>0.30299999999999999</v>
      </c>
      <c r="M343" s="26">
        <v>0.36</v>
      </c>
      <c r="N343" s="26">
        <v>0.28360000000000002</v>
      </c>
      <c r="O343" s="26">
        <v>29</v>
      </c>
      <c r="P343" s="26">
        <v>54</v>
      </c>
      <c r="Q343" s="34">
        <v>83</v>
      </c>
    </row>
    <row r="344" spans="1:17" x14ac:dyDescent="0.25">
      <c r="A344" s="32">
        <v>343</v>
      </c>
      <c r="B344" s="33">
        <v>40558</v>
      </c>
      <c r="C344" s="26">
        <v>1</v>
      </c>
      <c r="D344" s="26">
        <v>0</v>
      </c>
      <c r="E344" s="26">
        <v>1</v>
      </c>
      <c r="F344" s="26">
        <v>18</v>
      </c>
      <c r="G344" s="26" t="b">
        <v>0</v>
      </c>
      <c r="H344" s="26">
        <v>6</v>
      </c>
      <c r="I344" s="26">
        <v>2</v>
      </c>
      <c r="J344" s="26">
        <v>0.3</v>
      </c>
      <c r="K344" s="26">
        <v>343</v>
      </c>
      <c r="L344" s="26">
        <v>0.28789999999999999</v>
      </c>
      <c r="M344" s="26">
        <v>0.45</v>
      </c>
      <c r="N344" s="26">
        <v>0.25369999999999998</v>
      </c>
      <c r="O344" s="26">
        <v>15</v>
      </c>
      <c r="P344" s="26">
        <v>69</v>
      </c>
      <c r="Q344" s="34">
        <v>84</v>
      </c>
    </row>
    <row r="345" spans="1:17" x14ac:dyDescent="0.25">
      <c r="A345" s="32">
        <v>344</v>
      </c>
      <c r="B345" s="33">
        <v>40558</v>
      </c>
      <c r="C345" s="26">
        <v>1</v>
      </c>
      <c r="D345" s="26">
        <v>0</v>
      </c>
      <c r="E345" s="26">
        <v>1</v>
      </c>
      <c r="F345" s="26">
        <v>19</v>
      </c>
      <c r="G345" s="26" t="b">
        <v>0</v>
      </c>
      <c r="H345" s="26">
        <v>6</v>
      </c>
      <c r="I345" s="26">
        <v>2</v>
      </c>
      <c r="J345" s="26">
        <v>0.32</v>
      </c>
      <c r="K345" s="26">
        <v>344</v>
      </c>
      <c r="L345" s="26">
        <v>0.30299999999999999</v>
      </c>
      <c r="M345" s="26">
        <v>0.39</v>
      </c>
      <c r="N345" s="26">
        <v>0.25369999999999998</v>
      </c>
      <c r="O345" s="26">
        <v>14</v>
      </c>
      <c r="P345" s="26">
        <v>60</v>
      </c>
      <c r="Q345" s="34">
        <v>74</v>
      </c>
    </row>
    <row r="346" spans="1:17" x14ac:dyDescent="0.25">
      <c r="A346" s="32">
        <v>345</v>
      </c>
      <c r="B346" s="33">
        <v>40558</v>
      </c>
      <c r="C346" s="26">
        <v>1</v>
      </c>
      <c r="D346" s="26">
        <v>0</v>
      </c>
      <c r="E346" s="26">
        <v>1</v>
      </c>
      <c r="F346" s="26">
        <v>20</v>
      </c>
      <c r="G346" s="26" t="b">
        <v>0</v>
      </c>
      <c r="H346" s="26">
        <v>6</v>
      </c>
      <c r="I346" s="26">
        <v>2</v>
      </c>
      <c r="J346" s="26">
        <v>0.32</v>
      </c>
      <c r="K346" s="26">
        <v>345</v>
      </c>
      <c r="L346" s="26">
        <v>0.30299999999999999</v>
      </c>
      <c r="M346" s="26">
        <v>0.39</v>
      </c>
      <c r="N346" s="26">
        <v>0.25369999999999998</v>
      </c>
      <c r="O346" s="26">
        <v>6</v>
      </c>
      <c r="P346" s="26">
        <v>35</v>
      </c>
      <c r="Q346" s="34">
        <v>41</v>
      </c>
    </row>
    <row r="347" spans="1:17" x14ac:dyDescent="0.25">
      <c r="A347" s="32">
        <v>346</v>
      </c>
      <c r="B347" s="33">
        <v>40558</v>
      </c>
      <c r="C347" s="26">
        <v>1</v>
      </c>
      <c r="D347" s="26">
        <v>0</v>
      </c>
      <c r="E347" s="26">
        <v>1</v>
      </c>
      <c r="F347" s="26">
        <v>21</v>
      </c>
      <c r="G347" s="26" t="b">
        <v>0</v>
      </c>
      <c r="H347" s="26">
        <v>6</v>
      </c>
      <c r="I347" s="26">
        <v>2</v>
      </c>
      <c r="J347" s="26">
        <v>0.32</v>
      </c>
      <c r="K347" s="26">
        <v>346</v>
      </c>
      <c r="L347" s="26">
        <v>0.30299999999999999</v>
      </c>
      <c r="M347" s="26">
        <v>0.39</v>
      </c>
      <c r="N347" s="26">
        <v>0.22389999999999999</v>
      </c>
      <c r="O347" s="26">
        <v>6</v>
      </c>
      <c r="P347" s="26">
        <v>51</v>
      </c>
      <c r="Q347" s="34">
        <v>57</v>
      </c>
    </row>
    <row r="348" spans="1:17" x14ac:dyDescent="0.25">
      <c r="A348" s="32">
        <v>347</v>
      </c>
      <c r="B348" s="33">
        <v>40558</v>
      </c>
      <c r="C348" s="26">
        <v>1</v>
      </c>
      <c r="D348" s="26">
        <v>0</v>
      </c>
      <c r="E348" s="26">
        <v>1</v>
      </c>
      <c r="F348" s="26">
        <v>22</v>
      </c>
      <c r="G348" s="26" t="b">
        <v>0</v>
      </c>
      <c r="H348" s="26">
        <v>6</v>
      </c>
      <c r="I348" s="26">
        <v>2</v>
      </c>
      <c r="J348" s="26">
        <v>0.3</v>
      </c>
      <c r="K348" s="26">
        <v>347</v>
      </c>
      <c r="L348" s="26">
        <v>0.31819999999999998</v>
      </c>
      <c r="M348" s="26">
        <v>0.42</v>
      </c>
      <c r="N348" s="26">
        <v>0.1045</v>
      </c>
      <c r="O348" s="26">
        <v>0</v>
      </c>
      <c r="P348" s="26">
        <v>26</v>
      </c>
      <c r="Q348" s="34">
        <v>26</v>
      </c>
    </row>
    <row r="349" spans="1:17" x14ac:dyDescent="0.25">
      <c r="A349" s="32">
        <v>348</v>
      </c>
      <c r="B349" s="33">
        <v>40558</v>
      </c>
      <c r="C349" s="26">
        <v>1</v>
      </c>
      <c r="D349" s="26">
        <v>0</v>
      </c>
      <c r="E349" s="26">
        <v>1</v>
      </c>
      <c r="F349" s="26">
        <v>23</v>
      </c>
      <c r="G349" s="26" t="b">
        <v>0</v>
      </c>
      <c r="H349" s="26">
        <v>6</v>
      </c>
      <c r="I349" s="26">
        <v>1</v>
      </c>
      <c r="J349" s="26">
        <v>0.3</v>
      </c>
      <c r="K349" s="26">
        <v>348</v>
      </c>
      <c r="L349" s="26">
        <v>0.28789999999999999</v>
      </c>
      <c r="M349" s="26">
        <v>0.45</v>
      </c>
      <c r="N349" s="26">
        <v>0.28360000000000002</v>
      </c>
      <c r="O349" s="26">
        <v>5</v>
      </c>
      <c r="P349" s="26">
        <v>39</v>
      </c>
      <c r="Q349" s="34">
        <v>44</v>
      </c>
    </row>
    <row r="350" spans="1:17" x14ac:dyDescent="0.25">
      <c r="A350" s="32">
        <v>349</v>
      </c>
      <c r="B350" s="33">
        <v>40559</v>
      </c>
      <c r="C350" s="26">
        <v>1</v>
      </c>
      <c r="D350" s="26">
        <v>0</v>
      </c>
      <c r="E350" s="26">
        <v>1</v>
      </c>
      <c r="F350" s="26">
        <v>0</v>
      </c>
      <c r="G350" s="26" t="b">
        <v>0</v>
      </c>
      <c r="H350" s="26">
        <v>0</v>
      </c>
      <c r="I350" s="26">
        <v>1</v>
      </c>
      <c r="J350" s="26">
        <v>0.26</v>
      </c>
      <c r="K350" s="26">
        <v>349</v>
      </c>
      <c r="L350" s="26">
        <v>0.30299999999999999</v>
      </c>
      <c r="M350" s="26">
        <v>0.56000000000000005</v>
      </c>
      <c r="N350" s="26">
        <v>0</v>
      </c>
      <c r="O350" s="26">
        <v>6</v>
      </c>
      <c r="P350" s="26">
        <v>33</v>
      </c>
      <c r="Q350" s="34">
        <v>39</v>
      </c>
    </row>
    <row r="351" spans="1:17" x14ac:dyDescent="0.25">
      <c r="A351" s="32">
        <v>350</v>
      </c>
      <c r="B351" s="33">
        <v>40559</v>
      </c>
      <c r="C351" s="26">
        <v>1</v>
      </c>
      <c r="D351" s="26">
        <v>0</v>
      </c>
      <c r="E351" s="26">
        <v>1</v>
      </c>
      <c r="F351" s="26">
        <v>1</v>
      </c>
      <c r="G351" s="26" t="b">
        <v>0</v>
      </c>
      <c r="H351" s="26">
        <v>0</v>
      </c>
      <c r="I351" s="26">
        <v>1</v>
      </c>
      <c r="J351" s="26">
        <v>0.26</v>
      </c>
      <c r="K351" s="26">
        <v>350</v>
      </c>
      <c r="L351" s="26">
        <v>0.2727</v>
      </c>
      <c r="M351" s="26">
        <v>0.56000000000000005</v>
      </c>
      <c r="N351" s="26">
        <v>0.1343</v>
      </c>
      <c r="O351" s="26">
        <v>4</v>
      </c>
      <c r="P351" s="26">
        <v>19</v>
      </c>
      <c r="Q351" s="34">
        <v>23</v>
      </c>
    </row>
    <row r="352" spans="1:17" x14ac:dyDescent="0.25">
      <c r="A352" s="32">
        <v>351</v>
      </c>
      <c r="B352" s="33">
        <v>40559</v>
      </c>
      <c r="C352" s="26">
        <v>1</v>
      </c>
      <c r="D352" s="26">
        <v>0</v>
      </c>
      <c r="E352" s="26">
        <v>1</v>
      </c>
      <c r="F352" s="26">
        <v>2</v>
      </c>
      <c r="G352" s="26" t="b">
        <v>0</v>
      </c>
      <c r="H352" s="26">
        <v>0</v>
      </c>
      <c r="I352" s="26">
        <v>1</v>
      </c>
      <c r="J352" s="26">
        <v>0.26</v>
      </c>
      <c r="K352" s="26">
        <v>351</v>
      </c>
      <c r="L352" s="26">
        <v>0.28789999999999999</v>
      </c>
      <c r="M352" s="26">
        <v>0.56000000000000005</v>
      </c>
      <c r="N352" s="26">
        <v>8.9599999999999999E-2</v>
      </c>
      <c r="O352" s="26">
        <v>3</v>
      </c>
      <c r="P352" s="26">
        <v>13</v>
      </c>
      <c r="Q352" s="34">
        <v>16</v>
      </c>
    </row>
    <row r="353" spans="1:17" x14ac:dyDescent="0.25">
      <c r="A353" s="32">
        <v>352</v>
      </c>
      <c r="B353" s="33">
        <v>40559</v>
      </c>
      <c r="C353" s="26">
        <v>1</v>
      </c>
      <c r="D353" s="26">
        <v>0</v>
      </c>
      <c r="E353" s="26">
        <v>1</v>
      </c>
      <c r="F353" s="26">
        <v>3</v>
      </c>
      <c r="G353" s="26" t="b">
        <v>0</v>
      </c>
      <c r="H353" s="26">
        <v>0</v>
      </c>
      <c r="I353" s="26">
        <v>1</v>
      </c>
      <c r="J353" s="26">
        <v>0.22</v>
      </c>
      <c r="K353" s="26">
        <v>352</v>
      </c>
      <c r="L353" s="26">
        <v>0.2727</v>
      </c>
      <c r="M353" s="26">
        <v>0.69</v>
      </c>
      <c r="N353" s="26">
        <v>0</v>
      </c>
      <c r="O353" s="26">
        <v>9</v>
      </c>
      <c r="P353" s="26">
        <v>6</v>
      </c>
      <c r="Q353" s="34">
        <v>15</v>
      </c>
    </row>
    <row r="354" spans="1:17" x14ac:dyDescent="0.25">
      <c r="A354" s="32">
        <v>353</v>
      </c>
      <c r="B354" s="33">
        <v>40559</v>
      </c>
      <c r="C354" s="26">
        <v>1</v>
      </c>
      <c r="D354" s="26">
        <v>0</v>
      </c>
      <c r="E354" s="26">
        <v>1</v>
      </c>
      <c r="F354" s="26">
        <v>4</v>
      </c>
      <c r="G354" s="26" t="b">
        <v>0</v>
      </c>
      <c r="H354" s="26">
        <v>0</v>
      </c>
      <c r="I354" s="26">
        <v>1</v>
      </c>
      <c r="J354" s="26">
        <v>0.26</v>
      </c>
      <c r="K354" s="26">
        <v>353</v>
      </c>
      <c r="L354" s="26">
        <v>0.2576</v>
      </c>
      <c r="M354" s="26">
        <v>0.56000000000000005</v>
      </c>
      <c r="N354" s="26">
        <v>0.16420000000000001</v>
      </c>
      <c r="O354" s="26">
        <v>0</v>
      </c>
      <c r="P354" s="26">
        <v>1</v>
      </c>
      <c r="Q354" s="34">
        <v>1</v>
      </c>
    </row>
    <row r="355" spans="1:17" x14ac:dyDescent="0.25">
      <c r="A355" s="32">
        <v>354</v>
      </c>
      <c r="B355" s="33">
        <v>40559</v>
      </c>
      <c r="C355" s="26">
        <v>1</v>
      </c>
      <c r="D355" s="26">
        <v>0</v>
      </c>
      <c r="E355" s="26">
        <v>1</v>
      </c>
      <c r="F355" s="26">
        <v>5</v>
      </c>
      <c r="G355" s="26" t="b">
        <v>0</v>
      </c>
      <c r="H355" s="26">
        <v>0</v>
      </c>
      <c r="I355" s="26">
        <v>2</v>
      </c>
      <c r="J355" s="26">
        <v>0.26</v>
      </c>
      <c r="K355" s="26">
        <v>354</v>
      </c>
      <c r="L355" s="26">
        <v>0.2576</v>
      </c>
      <c r="M355" s="26">
        <v>0.56000000000000005</v>
      </c>
      <c r="N355" s="26">
        <v>0.16420000000000001</v>
      </c>
      <c r="O355" s="26">
        <v>1</v>
      </c>
      <c r="P355" s="26">
        <v>1</v>
      </c>
      <c r="Q355" s="34">
        <v>2</v>
      </c>
    </row>
    <row r="356" spans="1:17" x14ac:dyDescent="0.25">
      <c r="A356" s="32">
        <v>355</v>
      </c>
      <c r="B356" s="33">
        <v>40559</v>
      </c>
      <c r="C356" s="26">
        <v>1</v>
      </c>
      <c r="D356" s="26">
        <v>0</v>
      </c>
      <c r="E356" s="26">
        <v>1</v>
      </c>
      <c r="F356" s="26">
        <v>6</v>
      </c>
      <c r="G356" s="26" t="b">
        <v>0</v>
      </c>
      <c r="H356" s="26">
        <v>0</v>
      </c>
      <c r="I356" s="26">
        <v>2</v>
      </c>
      <c r="J356" s="26">
        <v>0.26</v>
      </c>
      <c r="K356" s="26">
        <v>355</v>
      </c>
      <c r="L356" s="26">
        <v>0.2576</v>
      </c>
      <c r="M356" s="26">
        <v>0.56000000000000005</v>
      </c>
      <c r="N356" s="26">
        <v>0.16420000000000001</v>
      </c>
      <c r="O356" s="26">
        <v>0</v>
      </c>
      <c r="P356" s="26">
        <v>1</v>
      </c>
      <c r="Q356" s="34">
        <v>1</v>
      </c>
    </row>
    <row r="357" spans="1:17" x14ac:dyDescent="0.25">
      <c r="A357" s="32">
        <v>356</v>
      </c>
      <c r="B357" s="33">
        <v>40559</v>
      </c>
      <c r="C357" s="26">
        <v>1</v>
      </c>
      <c r="D357" s="26">
        <v>0</v>
      </c>
      <c r="E357" s="26">
        <v>1</v>
      </c>
      <c r="F357" s="26">
        <v>7</v>
      </c>
      <c r="G357" s="26" t="b">
        <v>0</v>
      </c>
      <c r="H357" s="26">
        <v>0</v>
      </c>
      <c r="I357" s="26">
        <v>2</v>
      </c>
      <c r="J357" s="26">
        <v>0.24</v>
      </c>
      <c r="K357" s="26">
        <v>356</v>
      </c>
      <c r="L357" s="26">
        <v>0.21210000000000001</v>
      </c>
      <c r="M357" s="26">
        <v>0.56000000000000005</v>
      </c>
      <c r="N357" s="26">
        <v>0.29849999999999999</v>
      </c>
      <c r="O357" s="26">
        <v>0</v>
      </c>
      <c r="P357" s="26">
        <v>3</v>
      </c>
      <c r="Q357" s="34">
        <v>3</v>
      </c>
    </row>
    <row r="358" spans="1:17" x14ac:dyDescent="0.25">
      <c r="A358" s="32">
        <v>357</v>
      </c>
      <c r="B358" s="33">
        <v>40559</v>
      </c>
      <c r="C358" s="26">
        <v>1</v>
      </c>
      <c r="D358" s="26">
        <v>0</v>
      </c>
      <c r="E358" s="26">
        <v>1</v>
      </c>
      <c r="F358" s="26">
        <v>8</v>
      </c>
      <c r="G358" s="26" t="b">
        <v>0</v>
      </c>
      <c r="H358" s="26">
        <v>0</v>
      </c>
      <c r="I358" s="26">
        <v>1</v>
      </c>
      <c r="J358" s="26">
        <v>0.22</v>
      </c>
      <c r="K358" s="26">
        <v>357</v>
      </c>
      <c r="L358" s="26">
        <v>0.21210000000000001</v>
      </c>
      <c r="M358" s="26">
        <v>0.55000000000000004</v>
      </c>
      <c r="N358" s="26">
        <v>0.28360000000000002</v>
      </c>
      <c r="O358" s="26">
        <v>0</v>
      </c>
      <c r="P358" s="26">
        <v>18</v>
      </c>
      <c r="Q358" s="34">
        <v>18</v>
      </c>
    </row>
    <row r="359" spans="1:17" x14ac:dyDescent="0.25">
      <c r="A359" s="32">
        <v>358</v>
      </c>
      <c r="B359" s="33">
        <v>40559</v>
      </c>
      <c r="C359" s="26">
        <v>1</v>
      </c>
      <c r="D359" s="26">
        <v>0</v>
      </c>
      <c r="E359" s="26">
        <v>1</v>
      </c>
      <c r="F359" s="26">
        <v>9</v>
      </c>
      <c r="G359" s="26" t="b">
        <v>0</v>
      </c>
      <c r="H359" s="26">
        <v>0</v>
      </c>
      <c r="I359" s="26">
        <v>1</v>
      </c>
      <c r="J359" s="26">
        <v>0.22</v>
      </c>
      <c r="K359" s="26">
        <v>358</v>
      </c>
      <c r="L359" s="26">
        <v>0.21210000000000001</v>
      </c>
      <c r="M359" s="26">
        <v>0.51</v>
      </c>
      <c r="N359" s="26">
        <v>0.25369999999999998</v>
      </c>
      <c r="O359" s="26">
        <v>3</v>
      </c>
      <c r="P359" s="26">
        <v>29</v>
      </c>
      <c r="Q359" s="34">
        <v>32</v>
      </c>
    </row>
    <row r="360" spans="1:17" x14ac:dyDescent="0.25">
      <c r="A360" s="32">
        <v>359</v>
      </c>
      <c r="B360" s="33">
        <v>40559</v>
      </c>
      <c r="C360" s="26">
        <v>1</v>
      </c>
      <c r="D360" s="26">
        <v>0</v>
      </c>
      <c r="E360" s="26">
        <v>1</v>
      </c>
      <c r="F360" s="26">
        <v>10</v>
      </c>
      <c r="G360" s="26" t="b">
        <v>0</v>
      </c>
      <c r="H360" s="26">
        <v>0</v>
      </c>
      <c r="I360" s="26">
        <v>1</v>
      </c>
      <c r="J360" s="26">
        <v>0.22</v>
      </c>
      <c r="K360" s="26">
        <v>359</v>
      </c>
      <c r="L360" s="26">
        <v>0.21210000000000001</v>
      </c>
      <c r="M360" s="26">
        <v>0.51</v>
      </c>
      <c r="N360" s="26">
        <v>0.28360000000000002</v>
      </c>
      <c r="O360" s="26">
        <v>8</v>
      </c>
      <c r="P360" s="26">
        <v>71</v>
      </c>
      <c r="Q360" s="34">
        <v>79</v>
      </c>
    </row>
    <row r="361" spans="1:17" x14ac:dyDescent="0.25">
      <c r="A361" s="32">
        <v>360</v>
      </c>
      <c r="B361" s="33">
        <v>40559</v>
      </c>
      <c r="C361" s="26">
        <v>1</v>
      </c>
      <c r="D361" s="26">
        <v>0</v>
      </c>
      <c r="E361" s="26">
        <v>1</v>
      </c>
      <c r="F361" s="26">
        <v>11</v>
      </c>
      <c r="G361" s="26" t="b">
        <v>0</v>
      </c>
      <c r="H361" s="26">
        <v>0</v>
      </c>
      <c r="I361" s="26">
        <v>1</v>
      </c>
      <c r="J361" s="26">
        <v>0.24</v>
      </c>
      <c r="K361" s="26">
        <v>360</v>
      </c>
      <c r="L361" s="26">
        <v>0.2273</v>
      </c>
      <c r="M361" s="26">
        <v>0.44</v>
      </c>
      <c r="N361" s="26">
        <v>0.25369999999999998</v>
      </c>
      <c r="O361" s="26">
        <v>23</v>
      </c>
      <c r="P361" s="26">
        <v>70</v>
      </c>
      <c r="Q361" s="34">
        <v>93</v>
      </c>
    </row>
    <row r="362" spans="1:17" x14ac:dyDescent="0.25">
      <c r="A362" s="32">
        <v>361</v>
      </c>
      <c r="B362" s="33">
        <v>40559</v>
      </c>
      <c r="C362" s="26">
        <v>1</v>
      </c>
      <c r="D362" s="26">
        <v>0</v>
      </c>
      <c r="E362" s="26">
        <v>1</v>
      </c>
      <c r="F362" s="26">
        <v>12</v>
      </c>
      <c r="G362" s="26" t="b">
        <v>0</v>
      </c>
      <c r="H362" s="26">
        <v>0</v>
      </c>
      <c r="I362" s="26">
        <v>1</v>
      </c>
      <c r="J362" s="26">
        <v>0.24</v>
      </c>
      <c r="K362" s="26">
        <v>361</v>
      </c>
      <c r="L362" s="26">
        <v>0.21210000000000001</v>
      </c>
      <c r="M362" s="26">
        <v>0.41</v>
      </c>
      <c r="N362" s="26">
        <v>0.28360000000000002</v>
      </c>
      <c r="O362" s="26">
        <v>29</v>
      </c>
      <c r="P362" s="26">
        <v>75</v>
      </c>
      <c r="Q362" s="34">
        <v>104</v>
      </c>
    </row>
    <row r="363" spans="1:17" x14ac:dyDescent="0.25">
      <c r="A363" s="32">
        <v>362</v>
      </c>
      <c r="B363" s="33">
        <v>40559</v>
      </c>
      <c r="C363" s="26">
        <v>1</v>
      </c>
      <c r="D363" s="26">
        <v>0</v>
      </c>
      <c r="E363" s="26">
        <v>1</v>
      </c>
      <c r="F363" s="26">
        <v>13</v>
      </c>
      <c r="G363" s="26" t="b">
        <v>0</v>
      </c>
      <c r="H363" s="26">
        <v>0</v>
      </c>
      <c r="I363" s="26">
        <v>1</v>
      </c>
      <c r="J363" s="26">
        <v>0.26</v>
      </c>
      <c r="K363" s="26">
        <v>362</v>
      </c>
      <c r="L363" s="26">
        <v>0.2273</v>
      </c>
      <c r="M363" s="26">
        <v>0.35</v>
      </c>
      <c r="N363" s="26">
        <v>0.29849999999999999</v>
      </c>
      <c r="O363" s="26">
        <v>23</v>
      </c>
      <c r="P363" s="26">
        <v>95</v>
      </c>
      <c r="Q363" s="34">
        <v>118</v>
      </c>
    </row>
    <row r="364" spans="1:17" x14ac:dyDescent="0.25">
      <c r="A364" s="32">
        <v>363</v>
      </c>
      <c r="B364" s="33">
        <v>40559</v>
      </c>
      <c r="C364" s="26">
        <v>1</v>
      </c>
      <c r="D364" s="26">
        <v>0</v>
      </c>
      <c r="E364" s="26">
        <v>1</v>
      </c>
      <c r="F364" s="26">
        <v>14</v>
      </c>
      <c r="G364" s="26" t="b">
        <v>0</v>
      </c>
      <c r="H364" s="26">
        <v>0</v>
      </c>
      <c r="I364" s="26">
        <v>1</v>
      </c>
      <c r="J364" s="26">
        <v>0.28000000000000003</v>
      </c>
      <c r="K364" s="26">
        <v>363</v>
      </c>
      <c r="L364" s="26">
        <v>0.2727</v>
      </c>
      <c r="M364" s="26">
        <v>0.36</v>
      </c>
      <c r="N364" s="26">
        <v>0.25369999999999998</v>
      </c>
      <c r="O364" s="26">
        <v>22</v>
      </c>
      <c r="P364" s="26">
        <v>69</v>
      </c>
      <c r="Q364" s="34">
        <v>91</v>
      </c>
    </row>
    <row r="365" spans="1:17" x14ac:dyDescent="0.25">
      <c r="A365" s="32">
        <v>364</v>
      </c>
      <c r="B365" s="33">
        <v>40559</v>
      </c>
      <c r="C365" s="26">
        <v>1</v>
      </c>
      <c r="D365" s="26">
        <v>0</v>
      </c>
      <c r="E365" s="26">
        <v>1</v>
      </c>
      <c r="F365" s="26">
        <v>15</v>
      </c>
      <c r="G365" s="26" t="b">
        <v>0</v>
      </c>
      <c r="H365" s="26">
        <v>0</v>
      </c>
      <c r="I365" s="26">
        <v>1</v>
      </c>
      <c r="J365" s="26">
        <v>0.26</v>
      </c>
      <c r="K365" s="26">
        <v>364</v>
      </c>
      <c r="L365" s="26">
        <v>0.2424</v>
      </c>
      <c r="M365" s="26">
        <v>0.38</v>
      </c>
      <c r="N365" s="26">
        <v>0.25369999999999998</v>
      </c>
      <c r="O365" s="26">
        <v>35</v>
      </c>
      <c r="P365" s="26">
        <v>78</v>
      </c>
      <c r="Q365" s="34">
        <v>113</v>
      </c>
    </row>
    <row r="366" spans="1:17" x14ac:dyDescent="0.25">
      <c r="A366" s="32">
        <v>365</v>
      </c>
      <c r="B366" s="33">
        <v>40559</v>
      </c>
      <c r="C366" s="26">
        <v>1</v>
      </c>
      <c r="D366" s="26">
        <v>0</v>
      </c>
      <c r="E366" s="26">
        <v>1</v>
      </c>
      <c r="F366" s="26">
        <v>16</v>
      </c>
      <c r="G366" s="26" t="b">
        <v>0</v>
      </c>
      <c r="H366" s="26">
        <v>0</v>
      </c>
      <c r="I366" s="26">
        <v>1</v>
      </c>
      <c r="J366" s="26">
        <v>0.24</v>
      </c>
      <c r="K366" s="26">
        <v>365</v>
      </c>
      <c r="L366" s="26">
        <v>0.2273</v>
      </c>
      <c r="M366" s="26">
        <v>0.38</v>
      </c>
      <c r="N366" s="26">
        <v>0.22389999999999999</v>
      </c>
      <c r="O366" s="26">
        <v>22</v>
      </c>
      <c r="P366" s="26">
        <v>77</v>
      </c>
      <c r="Q366" s="34">
        <v>99</v>
      </c>
    </row>
    <row r="367" spans="1:17" x14ac:dyDescent="0.25">
      <c r="A367" s="32">
        <v>366</v>
      </c>
      <c r="B367" s="33">
        <v>40559</v>
      </c>
      <c r="C367" s="26">
        <v>1</v>
      </c>
      <c r="D367" s="26">
        <v>0</v>
      </c>
      <c r="E367" s="26">
        <v>1</v>
      </c>
      <c r="F367" s="26">
        <v>17</v>
      </c>
      <c r="G367" s="26" t="b">
        <v>0</v>
      </c>
      <c r="H367" s="26">
        <v>0</v>
      </c>
      <c r="I367" s="26">
        <v>1</v>
      </c>
      <c r="J367" s="26">
        <v>0.22</v>
      </c>
      <c r="K367" s="26">
        <v>366</v>
      </c>
      <c r="L367" s="26">
        <v>0.21210000000000001</v>
      </c>
      <c r="M367" s="26">
        <v>0.37</v>
      </c>
      <c r="N367" s="26">
        <v>0.25369999999999998</v>
      </c>
      <c r="O367" s="26">
        <v>23</v>
      </c>
      <c r="P367" s="26">
        <v>82</v>
      </c>
      <c r="Q367" s="34">
        <v>105</v>
      </c>
    </row>
    <row r="368" spans="1:17" x14ac:dyDescent="0.25">
      <c r="A368" s="32">
        <v>367</v>
      </c>
      <c r="B368" s="33">
        <v>40559</v>
      </c>
      <c r="C368" s="26">
        <v>1</v>
      </c>
      <c r="D368" s="26">
        <v>0</v>
      </c>
      <c r="E368" s="26">
        <v>1</v>
      </c>
      <c r="F368" s="26">
        <v>18</v>
      </c>
      <c r="G368" s="26" t="b">
        <v>0</v>
      </c>
      <c r="H368" s="26">
        <v>0</v>
      </c>
      <c r="I368" s="26">
        <v>1</v>
      </c>
      <c r="J368" s="26">
        <v>0.2</v>
      </c>
      <c r="K368" s="26">
        <v>367</v>
      </c>
      <c r="L368" s="26">
        <v>0.21210000000000001</v>
      </c>
      <c r="M368" s="26">
        <v>0.4</v>
      </c>
      <c r="N368" s="26">
        <v>0.16420000000000001</v>
      </c>
      <c r="O368" s="26">
        <v>11</v>
      </c>
      <c r="P368" s="26">
        <v>56</v>
      </c>
      <c r="Q368" s="34">
        <v>67</v>
      </c>
    </row>
    <row r="369" spans="1:17" x14ac:dyDescent="0.25">
      <c r="A369" s="32">
        <v>368</v>
      </c>
      <c r="B369" s="33">
        <v>40559</v>
      </c>
      <c r="C369" s="26">
        <v>1</v>
      </c>
      <c r="D369" s="26">
        <v>0</v>
      </c>
      <c r="E369" s="26">
        <v>1</v>
      </c>
      <c r="F369" s="26">
        <v>19</v>
      </c>
      <c r="G369" s="26" t="b">
        <v>0</v>
      </c>
      <c r="H369" s="26">
        <v>0</v>
      </c>
      <c r="I369" s="26">
        <v>1</v>
      </c>
      <c r="J369" s="26">
        <v>0.18</v>
      </c>
      <c r="K369" s="26">
        <v>368</v>
      </c>
      <c r="L369" s="26">
        <v>0.19700000000000001</v>
      </c>
      <c r="M369" s="26">
        <v>0.47</v>
      </c>
      <c r="N369" s="26">
        <v>0.1343</v>
      </c>
      <c r="O369" s="26">
        <v>14</v>
      </c>
      <c r="P369" s="26">
        <v>47</v>
      </c>
      <c r="Q369" s="34">
        <v>61</v>
      </c>
    </row>
    <row r="370" spans="1:17" x14ac:dyDescent="0.25">
      <c r="A370" s="32">
        <v>369</v>
      </c>
      <c r="B370" s="33">
        <v>40559</v>
      </c>
      <c r="C370" s="26">
        <v>1</v>
      </c>
      <c r="D370" s="26">
        <v>0</v>
      </c>
      <c r="E370" s="26">
        <v>1</v>
      </c>
      <c r="F370" s="26">
        <v>20</v>
      </c>
      <c r="G370" s="26" t="b">
        <v>0</v>
      </c>
      <c r="H370" s="26">
        <v>0</v>
      </c>
      <c r="I370" s="26">
        <v>1</v>
      </c>
      <c r="J370" s="26">
        <v>0.18</v>
      </c>
      <c r="K370" s="26">
        <v>369</v>
      </c>
      <c r="L370" s="26">
        <v>0.19700000000000001</v>
      </c>
      <c r="M370" s="26">
        <v>0.47</v>
      </c>
      <c r="N370" s="26">
        <v>0.16420000000000001</v>
      </c>
      <c r="O370" s="26">
        <v>7</v>
      </c>
      <c r="P370" s="26">
        <v>50</v>
      </c>
      <c r="Q370" s="34">
        <v>57</v>
      </c>
    </row>
    <row r="371" spans="1:17" x14ac:dyDescent="0.25">
      <c r="A371" s="32">
        <v>370</v>
      </c>
      <c r="B371" s="33">
        <v>40559</v>
      </c>
      <c r="C371" s="26">
        <v>1</v>
      </c>
      <c r="D371" s="26">
        <v>0</v>
      </c>
      <c r="E371" s="26">
        <v>1</v>
      </c>
      <c r="F371" s="26">
        <v>21</v>
      </c>
      <c r="G371" s="26" t="b">
        <v>0</v>
      </c>
      <c r="H371" s="26">
        <v>0</v>
      </c>
      <c r="I371" s="26">
        <v>1</v>
      </c>
      <c r="J371" s="26">
        <v>0.18</v>
      </c>
      <c r="K371" s="26">
        <v>370</v>
      </c>
      <c r="L371" s="26">
        <v>0.19700000000000001</v>
      </c>
      <c r="M371" s="26">
        <v>0.51</v>
      </c>
      <c r="N371" s="26">
        <v>0.16420000000000001</v>
      </c>
      <c r="O371" s="26">
        <v>6</v>
      </c>
      <c r="P371" s="26">
        <v>22</v>
      </c>
      <c r="Q371" s="34">
        <v>28</v>
      </c>
    </row>
    <row r="372" spans="1:17" x14ac:dyDescent="0.25">
      <c r="A372" s="32">
        <v>371</v>
      </c>
      <c r="B372" s="33">
        <v>40559</v>
      </c>
      <c r="C372" s="26">
        <v>1</v>
      </c>
      <c r="D372" s="26">
        <v>0</v>
      </c>
      <c r="E372" s="26">
        <v>1</v>
      </c>
      <c r="F372" s="26">
        <v>22</v>
      </c>
      <c r="G372" s="26" t="b">
        <v>0</v>
      </c>
      <c r="H372" s="26">
        <v>0</v>
      </c>
      <c r="I372" s="26">
        <v>2</v>
      </c>
      <c r="J372" s="26">
        <v>0.2</v>
      </c>
      <c r="K372" s="26">
        <v>371</v>
      </c>
      <c r="L372" s="26">
        <v>0.21210000000000001</v>
      </c>
      <c r="M372" s="26">
        <v>0.49</v>
      </c>
      <c r="N372" s="26">
        <v>0.1343</v>
      </c>
      <c r="O372" s="26">
        <v>2</v>
      </c>
      <c r="P372" s="26">
        <v>19</v>
      </c>
      <c r="Q372" s="34">
        <v>21</v>
      </c>
    </row>
    <row r="373" spans="1:17" x14ac:dyDescent="0.25">
      <c r="A373" s="32">
        <v>372</v>
      </c>
      <c r="B373" s="33">
        <v>40559</v>
      </c>
      <c r="C373" s="26">
        <v>1</v>
      </c>
      <c r="D373" s="26">
        <v>0</v>
      </c>
      <c r="E373" s="26">
        <v>1</v>
      </c>
      <c r="F373" s="26">
        <v>23</v>
      </c>
      <c r="G373" s="26" t="b">
        <v>0</v>
      </c>
      <c r="H373" s="26">
        <v>0</v>
      </c>
      <c r="I373" s="26">
        <v>2</v>
      </c>
      <c r="J373" s="26">
        <v>0.2</v>
      </c>
      <c r="K373" s="26">
        <v>372</v>
      </c>
      <c r="L373" s="26">
        <v>0.2273</v>
      </c>
      <c r="M373" s="26">
        <v>0.4</v>
      </c>
      <c r="N373" s="26">
        <v>0.1045</v>
      </c>
      <c r="O373" s="26">
        <v>0</v>
      </c>
      <c r="P373" s="26">
        <v>18</v>
      </c>
      <c r="Q373" s="34">
        <v>18</v>
      </c>
    </row>
    <row r="374" spans="1:17" x14ac:dyDescent="0.25">
      <c r="A374" s="32">
        <v>373</v>
      </c>
      <c r="B374" s="33">
        <v>40560</v>
      </c>
      <c r="C374" s="26">
        <v>1</v>
      </c>
      <c r="D374" s="26">
        <v>0</v>
      </c>
      <c r="E374" s="26">
        <v>1</v>
      </c>
      <c r="F374" s="26">
        <v>0</v>
      </c>
      <c r="G374" s="26" t="b">
        <v>1</v>
      </c>
      <c r="H374" s="26">
        <v>1</v>
      </c>
      <c r="I374" s="26">
        <v>2</v>
      </c>
      <c r="J374" s="26">
        <v>0.2</v>
      </c>
      <c r="K374" s="26">
        <v>373</v>
      </c>
      <c r="L374" s="26">
        <v>0.19700000000000001</v>
      </c>
      <c r="M374" s="26">
        <v>0.47</v>
      </c>
      <c r="N374" s="26">
        <v>0.22389999999999999</v>
      </c>
      <c r="O374" s="26">
        <v>1</v>
      </c>
      <c r="P374" s="26">
        <v>16</v>
      </c>
      <c r="Q374" s="34">
        <v>17</v>
      </c>
    </row>
    <row r="375" spans="1:17" x14ac:dyDescent="0.25">
      <c r="A375" s="32">
        <v>374</v>
      </c>
      <c r="B375" s="33">
        <v>40560</v>
      </c>
      <c r="C375" s="26">
        <v>1</v>
      </c>
      <c r="D375" s="26">
        <v>0</v>
      </c>
      <c r="E375" s="26">
        <v>1</v>
      </c>
      <c r="F375" s="26">
        <v>1</v>
      </c>
      <c r="G375" s="26" t="b">
        <v>1</v>
      </c>
      <c r="H375" s="26">
        <v>1</v>
      </c>
      <c r="I375" s="26">
        <v>2</v>
      </c>
      <c r="J375" s="26">
        <v>0.2</v>
      </c>
      <c r="K375" s="26">
        <v>374</v>
      </c>
      <c r="L375" s="26">
        <v>0.19700000000000001</v>
      </c>
      <c r="M375" s="26">
        <v>0.44</v>
      </c>
      <c r="N375" s="26">
        <v>0.19400000000000001</v>
      </c>
      <c r="O375" s="26">
        <v>1</v>
      </c>
      <c r="P375" s="26">
        <v>15</v>
      </c>
      <c r="Q375" s="34">
        <v>16</v>
      </c>
    </row>
    <row r="376" spans="1:17" x14ac:dyDescent="0.25">
      <c r="A376" s="32">
        <v>375</v>
      </c>
      <c r="B376" s="33">
        <v>40560</v>
      </c>
      <c r="C376" s="26">
        <v>1</v>
      </c>
      <c r="D376" s="26">
        <v>0</v>
      </c>
      <c r="E376" s="26">
        <v>1</v>
      </c>
      <c r="F376" s="26">
        <v>2</v>
      </c>
      <c r="G376" s="26" t="b">
        <v>1</v>
      </c>
      <c r="H376" s="26">
        <v>1</v>
      </c>
      <c r="I376" s="26">
        <v>2</v>
      </c>
      <c r="J376" s="26">
        <v>0.18</v>
      </c>
      <c r="K376" s="26">
        <v>375</v>
      </c>
      <c r="L376" s="26">
        <v>0.16669999999999999</v>
      </c>
      <c r="M376" s="26">
        <v>0.43</v>
      </c>
      <c r="N376" s="26">
        <v>0.25369999999999998</v>
      </c>
      <c r="O376" s="26">
        <v>0</v>
      </c>
      <c r="P376" s="26">
        <v>8</v>
      </c>
      <c r="Q376" s="34">
        <v>8</v>
      </c>
    </row>
    <row r="377" spans="1:17" x14ac:dyDescent="0.25">
      <c r="A377" s="32">
        <v>376</v>
      </c>
      <c r="B377" s="33">
        <v>40560</v>
      </c>
      <c r="C377" s="26">
        <v>1</v>
      </c>
      <c r="D377" s="26">
        <v>0</v>
      </c>
      <c r="E377" s="26">
        <v>1</v>
      </c>
      <c r="F377" s="26">
        <v>3</v>
      </c>
      <c r="G377" s="26" t="b">
        <v>1</v>
      </c>
      <c r="H377" s="26">
        <v>1</v>
      </c>
      <c r="I377" s="26">
        <v>2</v>
      </c>
      <c r="J377" s="26">
        <v>0.18</v>
      </c>
      <c r="K377" s="26">
        <v>376</v>
      </c>
      <c r="L377" s="26">
        <v>0.18179999999999999</v>
      </c>
      <c r="M377" s="26">
        <v>0.43</v>
      </c>
      <c r="N377" s="26">
        <v>0.19400000000000001</v>
      </c>
      <c r="O377" s="26">
        <v>0</v>
      </c>
      <c r="P377" s="26">
        <v>2</v>
      </c>
      <c r="Q377" s="34">
        <v>2</v>
      </c>
    </row>
    <row r="378" spans="1:17" x14ac:dyDescent="0.25">
      <c r="A378" s="32">
        <v>377</v>
      </c>
      <c r="B378" s="33">
        <v>40560</v>
      </c>
      <c r="C378" s="26">
        <v>1</v>
      </c>
      <c r="D378" s="26">
        <v>0</v>
      </c>
      <c r="E378" s="26">
        <v>1</v>
      </c>
      <c r="F378" s="26">
        <v>4</v>
      </c>
      <c r="G378" s="26" t="b">
        <v>1</v>
      </c>
      <c r="H378" s="26">
        <v>1</v>
      </c>
      <c r="I378" s="26">
        <v>2</v>
      </c>
      <c r="J378" s="26">
        <v>0.18</v>
      </c>
      <c r="K378" s="26">
        <v>377</v>
      </c>
      <c r="L378" s="26">
        <v>0.19700000000000001</v>
      </c>
      <c r="M378" s="26">
        <v>0.43</v>
      </c>
      <c r="N378" s="26">
        <v>0.1343</v>
      </c>
      <c r="O378" s="26">
        <v>1</v>
      </c>
      <c r="P378" s="26">
        <v>2</v>
      </c>
      <c r="Q378" s="34">
        <v>3</v>
      </c>
    </row>
    <row r="379" spans="1:17" x14ac:dyDescent="0.25">
      <c r="A379" s="32">
        <v>378</v>
      </c>
      <c r="B379" s="33">
        <v>40560</v>
      </c>
      <c r="C379" s="26">
        <v>1</v>
      </c>
      <c r="D379" s="26">
        <v>0</v>
      </c>
      <c r="E379" s="26">
        <v>1</v>
      </c>
      <c r="F379" s="26">
        <v>5</v>
      </c>
      <c r="G379" s="26" t="b">
        <v>1</v>
      </c>
      <c r="H379" s="26">
        <v>1</v>
      </c>
      <c r="I379" s="26">
        <v>2</v>
      </c>
      <c r="J379" s="26">
        <v>0.18</v>
      </c>
      <c r="K379" s="26">
        <v>378</v>
      </c>
      <c r="L379" s="26">
        <v>0.19700000000000001</v>
      </c>
      <c r="M379" s="26">
        <v>0.43</v>
      </c>
      <c r="N379" s="26">
        <v>0.16420000000000001</v>
      </c>
      <c r="O379" s="26">
        <v>0</v>
      </c>
      <c r="P379" s="26">
        <v>1</v>
      </c>
      <c r="Q379" s="34">
        <v>1</v>
      </c>
    </row>
    <row r="380" spans="1:17" x14ac:dyDescent="0.25">
      <c r="A380" s="32">
        <v>379</v>
      </c>
      <c r="B380" s="33">
        <v>40560</v>
      </c>
      <c r="C380" s="26">
        <v>1</v>
      </c>
      <c r="D380" s="26">
        <v>0</v>
      </c>
      <c r="E380" s="26">
        <v>1</v>
      </c>
      <c r="F380" s="26">
        <v>6</v>
      </c>
      <c r="G380" s="26" t="b">
        <v>1</v>
      </c>
      <c r="H380" s="26">
        <v>1</v>
      </c>
      <c r="I380" s="26">
        <v>2</v>
      </c>
      <c r="J380" s="26">
        <v>0.18</v>
      </c>
      <c r="K380" s="26">
        <v>379</v>
      </c>
      <c r="L380" s="26">
        <v>0.18179999999999999</v>
      </c>
      <c r="M380" s="26">
        <v>0.43</v>
      </c>
      <c r="N380" s="26">
        <v>0.19400000000000001</v>
      </c>
      <c r="O380" s="26">
        <v>0</v>
      </c>
      <c r="P380" s="26">
        <v>5</v>
      </c>
      <c r="Q380" s="34">
        <v>5</v>
      </c>
    </row>
    <row r="381" spans="1:17" x14ac:dyDescent="0.25">
      <c r="A381" s="32">
        <v>380</v>
      </c>
      <c r="B381" s="33">
        <v>40560</v>
      </c>
      <c r="C381" s="26">
        <v>1</v>
      </c>
      <c r="D381" s="26">
        <v>0</v>
      </c>
      <c r="E381" s="26">
        <v>1</v>
      </c>
      <c r="F381" s="26">
        <v>7</v>
      </c>
      <c r="G381" s="26" t="b">
        <v>1</v>
      </c>
      <c r="H381" s="26">
        <v>1</v>
      </c>
      <c r="I381" s="26">
        <v>2</v>
      </c>
      <c r="J381" s="26">
        <v>0.16</v>
      </c>
      <c r="K381" s="26">
        <v>380</v>
      </c>
      <c r="L381" s="26">
        <v>0.18179999999999999</v>
      </c>
      <c r="M381" s="26">
        <v>0.5</v>
      </c>
      <c r="N381" s="26">
        <v>0.1343</v>
      </c>
      <c r="O381" s="26">
        <v>4</v>
      </c>
      <c r="P381" s="26">
        <v>9</v>
      </c>
      <c r="Q381" s="34">
        <v>13</v>
      </c>
    </row>
    <row r="382" spans="1:17" x14ac:dyDescent="0.25">
      <c r="A382" s="32">
        <v>381</v>
      </c>
      <c r="B382" s="33">
        <v>40560</v>
      </c>
      <c r="C382" s="26">
        <v>1</v>
      </c>
      <c r="D382" s="26">
        <v>0</v>
      </c>
      <c r="E382" s="26">
        <v>1</v>
      </c>
      <c r="F382" s="26">
        <v>8</v>
      </c>
      <c r="G382" s="26" t="b">
        <v>1</v>
      </c>
      <c r="H382" s="26">
        <v>1</v>
      </c>
      <c r="I382" s="26">
        <v>2</v>
      </c>
      <c r="J382" s="26">
        <v>0.16</v>
      </c>
      <c r="K382" s="26">
        <v>381</v>
      </c>
      <c r="L382" s="26">
        <v>0.1515</v>
      </c>
      <c r="M382" s="26">
        <v>0.47</v>
      </c>
      <c r="N382" s="26">
        <v>0.22389999999999999</v>
      </c>
      <c r="O382" s="26">
        <v>3</v>
      </c>
      <c r="P382" s="26">
        <v>30</v>
      </c>
      <c r="Q382" s="34">
        <v>33</v>
      </c>
    </row>
    <row r="383" spans="1:17" x14ac:dyDescent="0.25">
      <c r="A383" s="32">
        <v>382</v>
      </c>
      <c r="B383" s="33">
        <v>40560</v>
      </c>
      <c r="C383" s="26">
        <v>1</v>
      </c>
      <c r="D383" s="26">
        <v>0</v>
      </c>
      <c r="E383" s="26">
        <v>1</v>
      </c>
      <c r="F383" s="26">
        <v>9</v>
      </c>
      <c r="G383" s="26" t="b">
        <v>1</v>
      </c>
      <c r="H383" s="26">
        <v>1</v>
      </c>
      <c r="I383" s="26">
        <v>2</v>
      </c>
      <c r="J383" s="26">
        <v>0.16</v>
      </c>
      <c r="K383" s="26">
        <v>382</v>
      </c>
      <c r="L383" s="26">
        <v>0.1515</v>
      </c>
      <c r="M383" s="26">
        <v>0.47</v>
      </c>
      <c r="N383" s="26">
        <v>0.22389999999999999</v>
      </c>
      <c r="O383" s="26">
        <v>8</v>
      </c>
      <c r="P383" s="26">
        <v>39</v>
      </c>
      <c r="Q383" s="34">
        <v>47</v>
      </c>
    </row>
    <row r="384" spans="1:17" x14ac:dyDescent="0.25">
      <c r="A384" s="32">
        <v>383</v>
      </c>
      <c r="B384" s="33">
        <v>40560</v>
      </c>
      <c r="C384" s="26">
        <v>1</v>
      </c>
      <c r="D384" s="26">
        <v>0</v>
      </c>
      <c r="E384" s="26">
        <v>1</v>
      </c>
      <c r="F384" s="26">
        <v>10</v>
      </c>
      <c r="G384" s="26" t="b">
        <v>1</v>
      </c>
      <c r="H384" s="26">
        <v>1</v>
      </c>
      <c r="I384" s="26">
        <v>2</v>
      </c>
      <c r="J384" s="26">
        <v>0.16</v>
      </c>
      <c r="K384" s="26">
        <v>383</v>
      </c>
      <c r="L384" s="26">
        <v>0.1515</v>
      </c>
      <c r="M384" s="26">
        <v>0.5</v>
      </c>
      <c r="N384" s="26">
        <v>0.25369999999999998</v>
      </c>
      <c r="O384" s="26">
        <v>7</v>
      </c>
      <c r="P384" s="26">
        <v>50</v>
      </c>
      <c r="Q384" s="34">
        <v>57</v>
      </c>
    </row>
    <row r="385" spans="1:17" x14ac:dyDescent="0.25">
      <c r="A385" s="32">
        <v>384</v>
      </c>
      <c r="B385" s="33">
        <v>40560</v>
      </c>
      <c r="C385" s="26">
        <v>1</v>
      </c>
      <c r="D385" s="26">
        <v>0</v>
      </c>
      <c r="E385" s="26">
        <v>1</v>
      </c>
      <c r="F385" s="26">
        <v>11</v>
      </c>
      <c r="G385" s="26" t="b">
        <v>1</v>
      </c>
      <c r="H385" s="26">
        <v>1</v>
      </c>
      <c r="I385" s="26">
        <v>2</v>
      </c>
      <c r="J385" s="26">
        <v>0.16</v>
      </c>
      <c r="K385" s="26">
        <v>384</v>
      </c>
      <c r="L385" s="26">
        <v>0.1515</v>
      </c>
      <c r="M385" s="26">
        <v>0.55000000000000004</v>
      </c>
      <c r="N385" s="26">
        <v>0.19400000000000001</v>
      </c>
      <c r="O385" s="26">
        <v>9</v>
      </c>
      <c r="P385" s="26">
        <v>55</v>
      </c>
      <c r="Q385" s="34">
        <v>64</v>
      </c>
    </row>
    <row r="386" spans="1:17" x14ac:dyDescent="0.25">
      <c r="A386" s="32">
        <v>385</v>
      </c>
      <c r="B386" s="33">
        <v>40560</v>
      </c>
      <c r="C386" s="26">
        <v>1</v>
      </c>
      <c r="D386" s="26">
        <v>0</v>
      </c>
      <c r="E386" s="26">
        <v>1</v>
      </c>
      <c r="F386" s="26">
        <v>12</v>
      </c>
      <c r="G386" s="26" t="b">
        <v>1</v>
      </c>
      <c r="H386" s="26">
        <v>1</v>
      </c>
      <c r="I386" s="26">
        <v>2</v>
      </c>
      <c r="J386" s="26">
        <v>0.18</v>
      </c>
      <c r="K386" s="26">
        <v>385</v>
      </c>
      <c r="L386" s="26">
        <v>0.19700000000000001</v>
      </c>
      <c r="M386" s="26">
        <v>0.47</v>
      </c>
      <c r="N386" s="26">
        <v>0.1343</v>
      </c>
      <c r="O386" s="26">
        <v>10</v>
      </c>
      <c r="P386" s="26">
        <v>70</v>
      </c>
      <c r="Q386" s="34">
        <v>80</v>
      </c>
    </row>
    <row r="387" spans="1:17" x14ac:dyDescent="0.25">
      <c r="A387" s="32">
        <v>386</v>
      </c>
      <c r="B387" s="33">
        <v>40560</v>
      </c>
      <c r="C387" s="26">
        <v>1</v>
      </c>
      <c r="D387" s="26">
        <v>0</v>
      </c>
      <c r="E387" s="26">
        <v>1</v>
      </c>
      <c r="F387" s="26">
        <v>13</v>
      </c>
      <c r="G387" s="26" t="b">
        <v>1</v>
      </c>
      <c r="H387" s="26">
        <v>1</v>
      </c>
      <c r="I387" s="26">
        <v>2</v>
      </c>
      <c r="J387" s="26">
        <v>0.18</v>
      </c>
      <c r="K387" s="26">
        <v>386</v>
      </c>
      <c r="L387" s="26">
        <v>0.19700000000000001</v>
      </c>
      <c r="M387" s="26">
        <v>0.47</v>
      </c>
      <c r="N387" s="26">
        <v>0.1343</v>
      </c>
      <c r="O387" s="26">
        <v>13</v>
      </c>
      <c r="P387" s="26">
        <v>80</v>
      </c>
      <c r="Q387" s="34">
        <v>93</v>
      </c>
    </row>
    <row r="388" spans="1:17" x14ac:dyDescent="0.25">
      <c r="A388" s="32">
        <v>387</v>
      </c>
      <c r="B388" s="33">
        <v>40560</v>
      </c>
      <c r="C388" s="26">
        <v>1</v>
      </c>
      <c r="D388" s="26">
        <v>0</v>
      </c>
      <c r="E388" s="26">
        <v>1</v>
      </c>
      <c r="F388" s="26">
        <v>14</v>
      </c>
      <c r="G388" s="26" t="b">
        <v>1</v>
      </c>
      <c r="H388" s="26">
        <v>1</v>
      </c>
      <c r="I388" s="26">
        <v>2</v>
      </c>
      <c r="J388" s="26">
        <v>0.18</v>
      </c>
      <c r="K388" s="26">
        <v>387</v>
      </c>
      <c r="L388" s="26">
        <v>0.21210000000000001</v>
      </c>
      <c r="M388" s="26">
        <v>0.43</v>
      </c>
      <c r="N388" s="26">
        <v>0.1045</v>
      </c>
      <c r="O388" s="26">
        <v>12</v>
      </c>
      <c r="P388" s="26">
        <v>74</v>
      </c>
      <c r="Q388" s="34">
        <v>86</v>
      </c>
    </row>
    <row r="389" spans="1:17" x14ac:dyDescent="0.25">
      <c r="A389" s="32">
        <v>388</v>
      </c>
      <c r="B389" s="33">
        <v>40560</v>
      </c>
      <c r="C389" s="26">
        <v>1</v>
      </c>
      <c r="D389" s="26">
        <v>0</v>
      </c>
      <c r="E389" s="26">
        <v>1</v>
      </c>
      <c r="F389" s="26">
        <v>15</v>
      </c>
      <c r="G389" s="26" t="b">
        <v>1</v>
      </c>
      <c r="H389" s="26">
        <v>1</v>
      </c>
      <c r="I389" s="26">
        <v>2</v>
      </c>
      <c r="J389" s="26">
        <v>0.2</v>
      </c>
      <c r="K389" s="26">
        <v>388</v>
      </c>
      <c r="L389" s="26">
        <v>0.21210000000000001</v>
      </c>
      <c r="M389" s="26">
        <v>0.47</v>
      </c>
      <c r="N389" s="26">
        <v>0.16420000000000001</v>
      </c>
      <c r="O389" s="26">
        <v>21</v>
      </c>
      <c r="P389" s="26">
        <v>72</v>
      </c>
      <c r="Q389" s="34">
        <v>93</v>
      </c>
    </row>
    <row r="390" spans="1:17" x14ac:dyDescent="0.25">
      <c r="A390" s="32">
        <v>389</v>
      </c>
      <c r="B390" s="33">
        <v>40560</v>
      </c>
      <c r="C390" s="26">
        <v>1</v>
      </c>
      <c r="D390" s="26">
        <v>0</v>
      </c>
      <c r="E390" s="26">
        <v>1</v>
      </c>
      <c r="F390" s="26">
        <v>16</v>
      </c>
      <c r="G390" s="26" t="b">
        <v>1</v>
      </c>
      <c r="H390" s="26">
        <v>1</v>
      </c>
      <c r="I390" s="26">
        <v>2</v>
      </c>
      <c r="J390" s="26">
        <v>0.2</v>
      </c>
      <c r="K390" s="26">
        <v>389</v>
      </c>
      <c r="L390" s="26">
        <v>0.21210000000000001</v>
      </c>
      <c r="M390" s="26">
        <v>0.47</v>
      </c>
      <c r="N390" s="26">
        <v>0.16420000000000001</v>
      </c>
      <c r="O390" s="26">
        <v>6</v>
      </c>
      <c r="P390" s="26">
        <v>76</v>
      </c>
      <c r="Q390" s="34">
        <v>82</v>
      </c>
    </row>
    <row r="391" spans="1:17" x14ac:dyDescent="0.25">
      <c r="A391" s="32">
        <v>390</v>
      </c>
      <c r="B391" s="33">
        <v>40560</v>
      </c>
      <c r="C391" s="26">
        <v>1</v>
      </c>
      <c r="D391" s="26">
        <v>0</v>
      </c>
      <c r="E391" s="26">
        <v>1</v>
      </c>
      <c r="F391" s="26">
        <v>17</v>
      </c>
      <c r="G391" s="26" t="b">
        <v>1</v>
      </c>
      <c r="H391" s="26">
        <v>1</v>
      </c>
      <c r="I391" s="26">
        <v>1</v>
      </c>
      <c r="J391" s="26">
        <v>0.2</v>
      </c>
      <c r="K391" s="26">
        <v>390</v>
      </c>
      <c r="L391" s="26">
        <v>0.19700000000000001</v>
      </c>
      <c r="M391" s="26">
        <v>0.51</v>
      </c>
      <c r="N391" s="26">
        <v>0.19400000000000001</v>
      </c>
      <c r="O391" s="26">
        <v>4</v>
      </c>
      <c r="P391" s="26">
        <v>67</v>
      </c>
      <c r="Q391" s="34">
        <v>71</v>
      </c>
    </row>
    <row r="392" spans="1:17" x14ac:dyDescent="0.25">
      <c r="A392" s="32">
        <v>391</v>
      </c>
      <c r="B392" s="33">
        <v>40560</v>
      </c>
      <c r="C392" s="26">
        <v>1</v>
      </c>
      <c r="D392" s="26">
        <v>0</v>
      </c>
      <c r="E392" s="26">
        <v>1</v>
      </c>
      <c r="F392" s="26">
        <v>18</v>
      </c>
      <c r="G392" s="26" t="b">
        <v>1</v>
      </c>
      <c r="H392" s="26">
        <v>1</v>
      </c>
      <c r="I392" s="26">
        <v>2</v>
      </c>
      <c r="J392" s="26">
        <v>0.18</v>
      </c>
      <c r="K392" s="26">
        <v>391</v>
      </c>
      <c r="L392" s="26">
        <v>0.16669999999999999</v>
      </c>
      <c r="M392" s="26">
        <v>0.55000000000000004</v>
      </c>
      <c r="N392" s="26">
        <v>0.25369999999999998</v>
      </c>
      <c r="O392" s="26">
        <v>7</v>
      </c>
      <c r="P392" s="26">
        <v>85</v>
      </c>
      <c r="Q392" s="34">
        <v>92</v>
      </c>
    </row>
    <row r="393" spans="1:17" x14ac:dyDescent="0.25">
      <c r="A393" s="32">
        <v>392</v>
      </c>
      <c r="B393" s="33">
        <v>40560</v>
      </c>
      <c r="C393" s="26">
        <v>1</v>
      </c>
      <c r="D393" s="26">
        <v>0</v>
      </c>
      <c r="E393" s="26">
        <v>1</v>
      </c>
      <c r="F393" s="26">
        <v>19</v>
      </c>
      <c r="G393" s="26" t="b">
        <v>1</v>
      </c>
      <c r="H393" s="26">
        <v>1</v>
      </c>
      <c r="I393" s="26">
        <v>3</v>
      </c>
      <c r="J393" s="26">
        <v>0.18</v>
      </c>
      <c r="K393" s="26">
        <v>392</v>
      </c>
      <c r="L393" s="26">
        <v>0.18179999999999999</v>
      </c>
      <c r="M393" s="26">
        <v>0.59</v>
      </c>
      <c r="N393" s="26">
        <v>0.19400000000000001</v>
      </c>
      <c r="O393" s="26">
        <v>2</v>
      </c>
      <c r="P393" s="26">
        <v>58</v>
      </c>
      <c r="Q393" s="34">
        <v>60</v>
      </c>
    </row>
    <row r="394" spans="1:17" x14ac:dyDescent="0.25">
      <c r="A394" s="32">
        <v>393</v>
      </c>
      <c r="B394" s="33">
        <v>40560</v>
      </c>
      <c r="C394" s="26">
        <v>1</v>
      </c>
      <c r="D394" s="26">
        <v>0</v>
      </c>
      <c r="E394" s="26">
        <v>1</v>
      </c>
      <c r="F394" s="26">
        <v>20</v>
      </c>
      <c r="G394" s="26" t="b">
        <v>1</v>
      </c>
      <c r="H394" s="26">
        <v>1</v>
      </c>
      <c r="I394" s="26">
        <v>3</v>
      </c>
      <c r="J394" s="26">
        <v>0.16</v>
      </c>
      <c r="K394" s="26">
        <v>393</v>
      </c>
      <c r="L394" s="26">
        <v>0.1515</v>
      </c>
      <c r="M394" s="26">
        <v>0.8</v>
      </c>
      <c r="N394" s="26">
        <v>0.19400000000000001</v>
      </c>
      <c r="O394" s="26">
        <v>4</v>
      </c>
      <c r="P394" s="26">
        <v>29</v>
      </c>
      <c r="Q394" s="34">
        <v>33</v>
      </c>
    </row>
    <row r="395" spans="1:17" x14ac:dyDescent="0.25">
      <c r="A395" s="32">
        <v>394</v>
      </c>
      <c r="B395" s="33">
        <v>40560</v>
      </c>
      <c r="C395" s="26">
        <v>1</v>
      </c>
      <c r="D395" s="26">
        <v>0</v>
      </c>
      <c r="E395" s="26">
        <v>1</v>
      </c>
      <c r="F395" s="26">
        <v>21</v>
      </c>
      <c r="G395" s="26" t="b">
        <v>1</v>
      </c>
      <c r="H395" s="26">
        <v>1</v>
      </c>
      <c r="I395" s="26">
        <v>3</v>
      </c>
      <c r="J395" s="26">
        <v>0.16</v>
      </c>
      <c r="K395" s="26">
        <v>394</v>
      </c>
      <c r="L395" s="26">
        <v>0.1515</v>
      </c>
      <c r="M395" s="26">
        <v>0.8</v>
      </c>
      <c r="N395" s="26">
        <v>0.19400000000000001</v>
      </c>
      <c r="O395" s="26">
        <v>3</v>
      </c>
      <c r="P395" s="26">
        <v>24</v>
      </c>
      <c r="Q395" s="34">
        <v>27</v>
      </c>
    </row>
    <row r="396" spans="1:17" x14ac:dyDescent="0.25">
      <c r="A396" s="32">
        <v>395</v>
      </c>
      <c r="B396" s="33">
        <v>40560</v>
      </c>
      <c r="C396" s="26">
        <v>1</v>
      </c>
      <c r="D396" s="26">
        <v>0</v>
      </c>
      <c r="E396" s="26">
        <v>1</v>
      </c>
      <c r="F396" s="26">
        <v>22</v>
      </c>
      <c r="G396" s="26" t="b">
        <v>1</v>
      </c>
      <c r="H396" s="26">
        <v>1</v>
      </c>
      <c r="I396" s="26">
        <v>3</v>
      </c>
      <c r="J396" s="26">
        <v>0.14000000000000001</v>
      </c>
      <c r="K396" s="26">
        <v>395</v>
      </c>
      <c r="L396" s="26">
        <v>0.1212</v>
      </c>
      <c r="M396" s="26">
        <v>0.93</v>
      </c>
      <c r="N396" s="26">
        <v>0.25369999999999998</v>
      </c>
      <c r="O396" s="26">
        <v>0</v>
      </c>
      <c r="P396" s="26">
        <v>13</v>
      </c>
      <c r="Q396" s="34">
        <v>13</v>
      </c>
    </row>
    <row r="397" spans="1:17" x14ac:dyDescent="0.25">
      <c r="A397" s="32">
        <v>396</v>
      </c>
      <c r="B397" s="33">
        <v>40560</v>
      </c>
      <c r="C397" s="26">
        <v>1</v>
      </c>
      <c r="D397" s="26">
        <v>0</v>
      </c>
      <c r="E397" s="26">
        <v>1</v>
      </c>
      <c r="F397" s="26">
        <v>23</v>
      </c>
      <c r="G397" s="26" t="b">
        <v>1</v>
      </c>
      <c r="H397" s="26">
        <v>1</v>
      </c>
      <c r="I397" s="26">
        <v>3</v>
      </c>
      <c r="J397" s="26">
        <v>0.16</v>
      </c>
      <c r="K397" s="26">
        <v>396</v>
      </c>
      <c r="L397" s="26">
        <v>0.13639999999999999</v>
      </c>
      <c r="M397" s="26">
        <v>0.86</v>
      </c>
      <c r="N397" s="26">
        <v>0.28360000000000002</v>
      </c>
      <c r="O397" s="26">
        <v>1</v>
      </c>
      <c r="P397" s="26">
        <v>3</v>
      </c>
      <c r="Q397" s="34">
        <v>4</v>
      </c>
    </row>
    <row r="398" spans="1:17" x14ac:dyDescent="0.25">
      <c r="A398" s="32">
        <v>397</v>
      </c>
      <c r="B398" s="33">
        <v>40561</v>
      </c>
      <c r="C398" s="26">
        <v>1</v>
      </c>
      <c r="D398" s="26">
        <v>0</v>
      </c>
      <c r="E398" s="26">
        <v>1</v>
      </c>
      <c r="F398" s="26">
        <v>12</v>
      </c>
      <c r="G398" s="26" t="b">
        <v>0</v>
      </c>
      <c r="H398" s="26">
        <v>2</v>
      </c>
      <c r="I398" s="26">
        <v>2</v>
      </c>
      <c r="J398" s="26">
        <v>0.2</v>
      </c>
      <c r="K398" s="26">
        <v>397</v>
      </c>
      <c r="L398" s="26">
        <v>0.18179999999999999</v>
      </c>
      <c r="M398" s="26">
        <v>0.86</v>
      </c>
      <c r="N398" s="26">
        <v>0.32840000000000003</v>
      </c>
      <c r="O398" s="26">
        <v>0</v>
      </c>
      <c r="P398" s="26">
        <v>3</v>
      </c>
      <c r="Q398" s="34">
        <v>3</v>
      </c>
    </row>
    <row r="399" spans="1:17" x14ac:dyDescent="0.25">
      <c r="A399" s="32">
        <v>398</v>
      </c>
      <c r="B399" s="33">
        <v>40561</v>
      </c>
      <c r="C399" s="26">
        <v>1</v>
      </c>
      <c r="D399" s="26">
        <v>0</v>
      </c>
      <c r="E399" s="26">
        <v>1</v>
      </c>
      <c r="F399" s="26">
        <v>13</v>
      </c>
      <c r="G399" s="26" t="b">
        <v>0</v>
      </c>
      <c r="H399" s="26">
        <v>2</v>
      </c>
      <c r="I399" s="26">
        <v>2</v>
      </c>
      <c r="J399" s="26">
        <v>0.2</v>
      </c>
      <c r="K399" s="26">
        <v>398</v>
      </c>
      <c r="L399" s="26">
        <v>0.19700000000000001</v>
      </c>
      <c r="M399" s="26">
        <v>0.86</v>
      </c>
      <c r="N399" s="26">
        <v>0.22389999999999999</v>
      </c>
      <c r="O399" s="26">
        <v>0</v>
      </c>
      <c r="P399" s="26">
        <v>22</v>
      </c>
      <c r="Q399" s="34">
        <v>22</v>
      </c>
    </row>
    <row r="400" spans="1:17" x14ac:dyDescent="0.25">
      <c r="A400" s="32">
        <v>399</v>
      </c>
      <c r="B400" s="33">
        <v>40561</v>
      </c>
      <c r="C400" s="26">
        <v>1</v>
      </c>
      <c r="D400" s="26">
        <v>0</v>
      </c>
      <c r="E400" s="26">
        <v>1</v>
      </c>
      <c r="F400" s="26">
        <v>14</v>
      </c>
      <c r="G400" s="26" t="b">
        <v>0</v>
      </c>
      <c r="H400" s="26">
        <v>2</v>
      </c>
      <c r="I400" s="26">
        <v>2</v>
      </c>
      <c r="J400" s="26">
        <v>0.22</v>
      </c>
      <c r="K400" s="26">
        <v>399</v>
      </c>
      <c r="L400" s="26">
        <v>0.2273</v>
      </c>
      <c r="M400" s="26">
        <v>0.8</v>
      </c>
      <c r="N400" s="26">
        <v>0.16420000000000001</v>
      </c>
      <c r="O400" s="26">
        <v>2</v>
      </c>
      <c r="P400" s="26">
        <v>26</v>
      </c>
      <c r="Q400" s="34">
        <v>28</v>
      </c>
    </row>
    <row r="401" spans="1:17" x14ac:dyDescent="0.25">
      <c r="A401" s="32">
        <v>400</v>
      </c>
      <c r="B401" s="33">
        <v>40561</v>
      </c>
      <c r="C401" s="26">
        <v>1</v>
      </c>
      <c r="D401" s="26">
        <v>0</v>
      </c>
      <c r="E401" s="26">
        <v>1</v>
      </c>
      <c r="F401" s="26">
        <v>15</v>
      </c>
      <c r="G401" s="26" t="b">
        <v>0</v>
      </c>
      <c r="H401" s="26">
        <v>2</v>
      </c>
      <c r="I401" s="26">
        <v>2</v>
      </c>
      <c r="J401" s="26">
        <v>0.22</v>
      </c>
      <c r="K401" s="26">
        <v>400</v>
      </c>
      <c r="L401" s="26">
        <v>0.2273</v>
      </c>
      <c r="M401" s="26">
        <v>0.87</v>
      </c>
      <c r="N401" s="26">
        <v>0.16420000000000001</v>
      </c>
      <c r="O401" s="26">
        <v>3</v>
      </c>
      <c r="P401" s="26">
        <v>32</v>
      </c>
      <c r="Q401" s="34">
        <v>35</v>
      </c>
    </row>
    <row r="402" spans="1:17" x14ac:dyDescent="0.25">
      <c r="A402" s="32">
        <v>401</v>
      </c>
      <c r="B402" s="33">
        <v>40561</v>
      </c>
      <c r="C402" s="26">
        <v>1</v>
      </c>
      <c r="D402" s="26">
        <v>0</v>
      </c>
      <c r="E402" s="26">
        <v>1</v>
      </c>
      <c r="F402" s="26">
        <v>16</v>
      </c>
      <c r="G402" s="26" t="b">
        <v>0</v>
      </c>
      <c r="H402" s="26">
        <v>2</v>
      </c>
      <c r="I402" s="26">
        <v>2</v>
      </c>
      <c r="J402" s="26">
        <v>0.22</v>
      </c>
      <c r="K402" s="26">
        <v>401</v>
      </c>
      <c r="L402" s="26">
        <v>0.2273</v>
      </c>
      <c r="M402" s="26">
        <v>0.87</v>
      </c>
      <c r="N402" s="26">
        <v>0.19400000000000001</v>
      </c>
      <c r="O402" s="26">
        <v>0</v>
      </c>
      <c r="P402" s="26">
        <v>61</v>
      </c>
      <c r="Q402" s="34">
        <v>61</v>
      </c>
    </row>
    <row r="403" spans="1:17" x14ac:dyDescent="0.25">
      <c r="A403" s="32">
        <v>402</v>
      </c>
      <c r="B403" s="33">
        <v>40561</v>
      </c>
      <c r="C403" s="26">
        <v>1</v>
      </c>
      <c r="D403" s="26">
        <v>0</v>
      </c>
      <c r="E403" s="26">
        <v>1</v>
      </c>
      <c r="F403" s="26">
        <v>17</v>
      </c>
      <c r="G403" s="26" t="b">
        <v>0</v>
      </c>
      <c r="H403" s="26">
        <v>2</v>
      </c>
      <c r="I403" s="26">
        <v>2</v>
      </c>
      <c r="J403" s="26">
        <v>0.22</v>
      </c>
      <c r="K403" s="26">
        <v>402</v>
      </c>
      <c r="L403" s="26">
        <v>0.2273</v>
      </c>
      <c r="M403" s="26">
        <v>0.82</v>
      </c>
      <c r="N403" s="26">
        <v>0.19400000000000001</v>
      </c>
      <c r="O403" s="26">
        <v>1</v>
      </c>
      <c r="P403" s="26">
        <v>124</v>
      </c>
      <c r="Q403" s="34">
        <v>125</v>
      </c>
    </row>
    <row r="404" spans="1:17" x14ac:dyDescent="0.25">
      <c r="A404" s="32">
        <v>403</v>
      </c>
      <c r="B404" s="33">
        <v>40561</v>
      </c>
      <c r="C404" s="26">
        <v>1</v>
      </c>
      <c r="D404" s="26">
        <v>0</v>
      </c>
      <c r="E404" s="26">
        <v>1</v>
      </c>
      <c r="F404" s="26">
        <v>18</v>
      </c>
      <c r="G404" s="26" t="b">
        <v>0</v>
      </c>
      <c r="H404" s="26">
        <v>2</v>
      </c>
      <c r="I404" s="26">
        <v>2</v>
      </c>
      <c r="J404" s="26">
        <v>0.22</v>
      </c>
      <c r="K404" s="26">
        <v>403</v>
      </c>
      <c r="L404" s="26">
        <v>0.2273</v>
      </c>
      <c r="M404" s="26">
        <v>0.8</v>
      </c>
      <c r="N404" s="26">
        <v>0.16420000000000001</v>
      </c>
      <c r="O404" s="26">
        <v>1</v>
      </c>
      <c r="P404" s="26">
        <v>132</v>
      </c>
      <c r="Q404" s="34">
        <v>133</v>
      </c>
    </row>
    <row r="405" spans="1:17" x14ac:dyDescent="0.25">
      <c r="A405" s="32">
        <v>404</v>
      </c>
      <c r="B405" s="33">
        <v>40561</v>
      </c>
      <c r="C405" s="26">
        <v>1</v>
      </c>
      <c r="D405" s="26">
        <v>0</v>
      </c>
      <c r="E405" s="26">
        <v>1</v>
      </c>
      <c r="F405" s="26">
        <v>19</v>
      </c>
      <c r="G405" s="26" t="b">
        <v>0</v>
      </c>
      <c r="H405" s="26">
        <v>2</v>
      </c>
      <c r="I405" s="26">
        <v>2</v>
      </c>
      <c r="J405" s="26">
        <v>0.22</v>
      </c>
      <c r="K405" s="26">
        <v>404</v>
      </c>
      <c r="L405" s="26">
        <v>0.2273</v>
      </c>
      <c r="M405" s="26">
        <v>0.8</v>
      </c>
      <c r="N405" s="26">
        <v>0.1343</v>
      </c>
      <c r="O405" s="26">
        <v>1</v>
      </c>
      <c r="P405" s="26">
        <v>98</v>
      </c>
      <c r="Q405" s="34">
        <v>99</v>
      </c>
    </row>
    <row r="406" spans="1:17" x14ac:dyDescent="0.25">
      <c r="A406" s="32">
        <v>405</v>
      </c>
      <c r="B406" s="33">
        <v>40561</v>
      </c>
      <c r="C406" s="26">
        <v>1</v>
      </c>
      <c r="D406" s="26">
        <v>0</v>
      </c>
      <c r="E406" s="26">
        <v>1</v>
      </c>
      <c r="F406" s="26">
        <v>20</v>
      </c>
      <c r="G406" s="26" t="b">
        <v>0</v>
      </c>
      <c r="H406" s="26">
        <v>2</v>
      </c>
      <c r="I406" s="26">
        <v>2</v>
      </c>
      <c r="J406" s="26">
        <v>0.22</v>
      </c>
      <c r="K406" s="26">
        <v>405</v>
      </c>
      <c r="L406" s="26">
        <v>0.2727</v>
      </c>
      <c r="M406" s="26">
        <v>0.87</v>
      </c>
      <c r="N406" s="26">
        <v>0</v>
      </c>
      <c r="O406" s="26">
        <v>0</v>
      </c>
      <c r="P406" s="26">
        <v>83</v>
      </c>
      <c r="Q406" s="34">
        <v>83</v>
      </c>
    </row>
    <row r="407" spans="1:17" x14ac:dyDescent="0.25">
      <c r="A407" s="32">
        <v>406</v>
      </c>
      <c r="B407" s="33">
        <v>40561</v>
      </c>
      <c r="C407" s="26">
        <v>1</v>
      </c>
      <c r="D407" s="26">
        <v>0</v>
      </c>
      <c r="E407" s="26">
        <v>1</v>
      </c>
      <c r="F407" s="26">
        <v>21</v>
      </c>
      <c r="G407" s="26" t="b">
        <v>0</v>
      </c>
      <c r="H407" s="26">
        <v>2</v>
      </c>
      <c r="I407" s="26">
        <v>2</v>
      </c>
      <c r="J407" s="26">
        <v>0.22</v>
      </c>
      <c r="K407" s="26">
        <v>406</v>
      </c>
      <c r="L407" s="26">
        <v>0.2424</v>
      </c>
      <c r="M407" s="26">
        <v>0.93</v>
      </c>
      <c r="N407" s="26">
        <v>0.1045</v>
      </c>
      <c r="O407" s="26">
        <v>0</v>
      </c>
      <c r="P407" s="26">
        <v>41</v>
      </c>
      <c r="Q407" s="34">
        <v>41</v>
      </c>
    </row>
    <row r="408" spans="1:17" x14ac:dyDescent="0.25">
      <c r="A408" s="32">
        <v>407</v>
      </c>
      <c r="B408" s="33">
        <v>40561</v>
      </c>
      <c r="C408" s="26">
        <v>1</v>
      </c>
      <c r="D408" s="26">
        <v>0</v>
      </c>
      <c r="E408" s="26">
        <v>1</v>
      </c>
      <c r="F408" s="26">
        <v>22</v>
      </c>
      <c r="G408" s="26" t="b">
        <v>0</v>
      </c>
      <c r="H408" s="26">
        <v>2</v>
      </c>
      <c r="I408" s="26">
        <v>2</v>
      </c>
      <c r="J408" s="26">
        <v>0.22</v>
      </c>
      <c r="K408" s="26">
        <v>407</v>
      </c>
      <c r="L408" s="26">
        <v>0.2576</v>
      </c>
      <c r="M408" s="26">
        <v>0.93</v>
      </c>
      <c r="N408" s="26">
        <v>8.9599999999999999E-2</v>
      </c>
      <c r="O408" s="26">
        <v>0</v>
      </c>
      <c r="P408" s="26">
        <v>33</v>
      </c>
      <c r="Q408" s="34">
        <v>33</v>
      </c>
    </row>
    <row r="409" spans="1:17" x14ac:dyDescent="0.25">
      <c r="A409" s="32">
        <v>408</v>
      </c>
      <c r="B409" s="33">
        <v>40561</v>
      </c>
      <c r="C409" s="26">
        <v>1</v>
      </c>
      <c r="D409" s="26">
        <v>0</v>
      </c>
      <c r="E409" s="26">
        <v>1</v>
      </c>
      <c r="F409" s="26">
        <v>23</v>
      </c>
      <c r="G409" s="26" t="b">
        <v>0</v>
      </c>
      <c r="H409" s="26">
        <v>2</v>
      </c>
      <c r="I409" s="26">
        <v>2</v>
      </c>
      <c r="J409" s="26">
        <v>0.22</v>
      </c>
      <c r="K409" s="26">
        <v>408</v>
      </c>
      <c r="L409" s="26">
        <v>0.2727</v>
      </c>
      <c r="M409" s="26">
        <v>0.93</v>
      </c>
      <c r="N409" s="26">
        <v>0</v>
      </c>
      <c r="O409" s="26">
        <v>1</v>
      </c>
      <c r="P409" s="26">
        <v>19</v>
      </c>
      <c r="Q409" s="34">
        <v>20</v>
      </c>
    </row>
    <row r="410" spans="1:17" x14ac:dyDescent="0.25">
      <c r="A410" s="32">
        <v>409</v>
      </c>
      <c r="B410" s="33">
        <v>40562</v>
      </c>
      <c r="C410" s="26">
        <v>1</v>
      </c>
      <c r="D410" s="26">
        <v>0</v>
      </c>
      <c r="E410" s="26">
        <v>1</v>
      </c>
      <c r="F410" s="26">
        <v>0</v>
      </c>
      <c r="G410" s="26" t="b">
        <v>0</v>
      </c>
      <c r="H410" s="26">
        <v>3</v>
      </c>
      <c r="I410" s="26">
        <v>2</v>
      </c>
      <c r="J410" s="26">
        <v>0.22</v>
      </c>
      <c r="K410" s="26">
        <v>409</v>
      </c>
      <c r="L410" s="26">
        <v>0.2727</v>
      </c>
      <c r="M410" s="26">
        <v>0.93</v>
      </c>
      <c r="N410" s="26">
        <v>0</v>
      </c>
      <c r="O410" s="26">
        <v>0</v>
      </c>
      <c r="P410" s="26">
        <v>3</v>
      </c>
      <c r="Q410" s="34">
        <v>3</v>
      </c>
    </row>
    <row r="411" spans="1:17" x14ac:dyDescent="0.25">
      <c r="A411" s="32">
        <v>410</v>
      </c>
      <c r="B411" s="33">
        <v>40562</v>
      </c>
      <c r="C411" s="26">
        <v>1</v>
      </c>
      <c r="D411" s="26">
        <v>0</v>
      </c>
      <c r="E411" s="26">
        <v>1</v>
      </c>
      <c r="F411" s="26">
        <v>1</v>
      </c>
      <c r="G411" s="26" t="b">
        <v>0</v>
      </c>
      <c r="H411" s="26">
        <v>3</v>
      </c>
      <c r="I411" s="26">
        <v>3</v>
      </c>
      <c r="J411" s="26">
        <v>0.22</v>
      </c>
      <c r="K411" s="26">
        <v>410</v>
      </c>
      <c r="L411" s="26">
        <v>0.2273</v>
      </c>
      <c r="M411" s="26">
        <v>0.93</v>
      </c>
      <c r="N411" s="26">
        <v>0.1343</v>
      </c>
      <c r="O411" s="26">
        <v>1</v>
      </c>
      <c r="P411" s="26">
        <v>6</v>
      </c>
      <c r="Q411" s="34">
        <v>7</v>
      </c>
    </row>
    <row r="412" spans="1:17" x14ac:dyDescent="0.25">
      <c r="A412" s="32">
        <v>411</v>
      </c>
      <c r="B412" s="33">
        <v>40562</v>
      </c>
      <c r="C412" s="26">
        <v>1</v>
      </c>
      <c r="D412" s="26">
        <v>0</v>
      </c>
      <c r="E412" s="26">
        <v>1</v>
      </c>
      <c r="F412" s="26">
        <v>2</v>
      </c>
      <c r="G412" s="26" t="b">
        <v>0</v>
      </c>
      <c r="H412" s="26">
        <v>3</v>
      </c>
      <c r="I412" s="26">
        <v>3</v>
      </c>
      <c r="J412" s="26">
        <v>0.22</v>
      </c>
      <c r="K412" s="26">
        <v>411</v>
      </c>
      <c r="L412" s="26">
        <v>0.2273</v>
      </c>
      <c r="M412" s="26">
        <v>0.93</v>
      </c>
      <c r="N412" s="26">
        <v>0.1343</v>
      </c>
      <c r="O412" s="26">
        <v>0</v>
      </c>
      <c r="P412" s="26">
        <v>3</v>
      </c>
      <c r="Q412" s="34">
        <v>3</v>
      </c>
    </row>
    <row r="413" spans="1:17" x14ac:dyDescent="0.25">
      <c r="A413" s="32">
        <v>412</v>
      </c>
      <c r="B413" s="33">
        <v>40562</v>
      </c>
      <c r="C413" s="26">
        <v>1</v>
      </c>
      <c r="D413" s="26">
        <v>0</v>
      </c>
      <c r="E413" s="26">
        <v>1</v>
      </c>
      <c r="F413" s="26">
        <v>4</v>
      </c>
      <c r="G413" s="26" t="b">
        <v>0</v>
      </c>
      <c r="H413" s="26">
        <v>3</v>
      </c>
      <c r="I413" s="26">
        <v>3</v>
      </c>
      <c r="J413" s="26">
        <v>0.22</v>
      </c>
      <c r="K413" s="26">
        <v>412</v>
      </c>
      <c r="L413" s="26">
        <v>0.2273</v>
      </c>
      <c r="M413" s="26">
        <v>0.93</v>
      </c>
      <c r="N413" s="26">
        <v>0.1343</v>
      </c>
      <c r="O413" s="26">
        <v>1</v>
      </c>
      <c r="P413" s="26">
        <v>1</v>
      </c>
      <c r="Q413" s="34">
        <v>2</v>
      </c>
    </row>
    <row r="414" spans="1:17" x14ac:dyDescent="0.25">
      <c r="A414" s="32">
        <v>413</v>
      </c>
      <c r="B414" s="33">
        <v>40562</v>
      </c>
      <c r="C414" s="26">
        <v>1</v>
      </c>
      <c r="D414" s="26">
        <v>0</v>
      </c>
      <c r="E414" s="26">
        <v>1</v>
      </c>
      <c r="F414" s="26">
        <v>5</v>
      </c>
      <c r="G414" s="26" t="b">
        <v>0</v>
      </c>
      <c r="H414" s="26">
        <v>3</v>
      </c>
      <c r="I414" s="26">
        <v>2</v>
      </c>
      <c r="J414" s="26">
        <v>0.22</v>
      </c>
      <c r="K414" s="26">
        <v>413</v>
      </c>
      <c r="L414" s="26">
        <v>0.2576</v>
      </c>
      <c r="M414" s="26">
        <v>0.93</v>
      </c>
      <c r="N414" s="26">
        <v>8.9599999999999999E-2</v>
      </c>
      <c r="O414" s="26">
        <v>0</v>
      </c>
      <c r="P414" s="26">
        <v>7</v>
      </c>
      <c r="Q414" s="34">
        <v>7</v>
      </c>
    </row>
    <row r="415" spans="1:17" x14ac:dyDescent="0.25">
      <c r="A415" s="32">
        <v>414</v>
      </c>
      <c r="B415" s="33">
        <v>40562</v>
      </c>
      <c r="C415" s="26">
        <v>1</v>
      </c>
      <c r="D415" s="26">
        <v>0</v>
      </c>
      <c r="E415" s="26">
        <v>1</v>
      </c>
      <c r="F415" s="26">
        <v>6</v>
      </c>
      <c r="G415" s="26" t="b">
        <v>0</v>
      </c>
      <c r="H415" s="26">
        <v>3</v>
      </c>
      <c r="I415" s="26">
        <v>2</v>
      </c>
      <c r="J415" s="26">
        <v>0.22</v>
      </c>
      <c r="K415" s="26">
        <v>414</v>
      </c>
      <c r="L415" s="26">
        <v>0.2576</v>
      </c>
      <c r="M415" s="26">
        <v>0.93</v>
      </c>
      <c r="N415" s="26">
        <v>8.9599999999999999E-2</v>
      </c>
      <c r="O415" s="26">
        <v>0</v>
      </c>
      <c r="P415" s="26">
        <v>32</v>
      </c>
      <c r="Q415" s="34">
        <v>32</v>
      </c>
    </row>
    <row r="416" spans="1:17" x14ac:dyDescent="0.25">
      <c r="A416" s="32">
        <v>415</v>
      </c>
      <c r="B416" s="33">
        <v>40562</v>
      </c>
      <c r="C416" s="26">
        <v>1</v>
      </c>
      <c r="D416" s="26">
        <v>0</v>
      </c>
      <c r="E416" s="26">
        <v>1</v>
      </c>
      <c r="F416" s="26">
        <v>7</v>
      </c>
      <c r="G416" s="26" t="b">
        <v>0</v>
      </c>
      <c r="H416" s="26">
        <v>3</v>
      </c>
      <c r="I416" s="26">
        <v>2</v>
      </c>
      <c r="J416" s="26">
        <v>0.24</v>
      </c>
      <c r="K416" s="26">
        <v>415</v>
      </c>
      <c r="L416" s="26">
        <v>0.2576</v>
      </c>
      <c r="M416" s="26">
        <v>0.92</v>
      </c>
      <c r="N416" s="26">
        <v>0.1045</v>
      </c>
      <c r="O416" s="26">
        <v>1</v>
      </c>
      <c r="P416" s="26">
        <v>89</v>
      </c>
      <c r="Q416" s="34">
        <v>90</v>
      </c>
    </row>
    <row r="417" spans="1:17" x14ac:dyDescent="0.25">
      <c r="A417" s="32">
        <v>416</v>
      </c>
      <c r="B417" s="33">
        <v>40562</v>
      </c>
      <c r="C417" s="26">
        <v>1</v>
      </c>
      <c r="D417" s="26">
        <v>0</v>
      </c>
      <c r="E417" s="26">
        <v>1</v>
      </c>
      <c r="F417" s="26">
        <v>8</v>
      </c>
      <c r="G417" s="26" t="b">
        <v>0</v>
      </c>
      <c r="H417" s="26">
        <v>3</v>
      </c>
      <c r="I417" s="26">
        <v>2</v>
      </c>
      <c r="J417" s="26">
        <v>0.24</v>
      </c>
      <c r="K417" s="26">
        <v>416</v>
      </c>
      <c r="L417" s="26">
        <v>0.2576</v>
      </c>
      <c r="M417" s="26">
        <v>0.93</v>
      </c>
      <c r="N417" s="26">
        <v>0.1045</v>
      </c>
      <c r="O417" s="26">
        <v>1</v>
      </c>
      <c r="P417" s="26">
        <v>196</v>
      </c>
      <c r="Q417" s="34">
        <v>197</v>
      </c>
    </row>
    <row r="418" spans="1:17" x14ac:dyDescent="0.25">
      <c r="A418" s="32">
        <v>417</v>
      </c>
      <c r="B418" s="33">
        <v>40562</v>
      </c>
      <c r="C418" s="26">
        <v>1</v>
      </c>
      <c r="D418" s="26">
        <v>0</v>
      </c>
      <c r="E418" s="26">
        <v>1</v>
      </c>
      <c r="F418" s="26">
        <v>9</v>
      </c>
      <c r="G418" s="26" t="b">
        <v>0</v>
      </c>
      <c r="H418" s="26">
        <v>3</v>
      </c>
      <c r="I418" s="26">
        <v>2</v>
      </c>
      <c r="J418" s="26">
        <v>0.24</v>
      </c>
      <c r="K418" s="26">
        <v>417</v>
      </c>
      <c r="L418" s="26">
        <v>0.2576</v>
      </c>
      <c r="M418" s="26">
        <v>0.93</v>
      </c>
      <c r="N418" s="26">
        <v>0.1045</v>
      </c>
      <c r="O418" s="26">
        <v>2</v>
      </c>
      <c r="P418" s="26">
        <v>107</v>
      </c>
      <c r="Q418" s="34">
        <v>109</v>
      </c>
    </row>
    <row r="419" spans="1:17" x14ac:dyDescent="0.25">
      <c r="A419" s="32">
        <v>418</v>
      </c>
      <c r="B419" s="33">
        <v>40562</v>
      </c>
      <c r="C419" s="26">
        <v>1</v>
      </c>
      <c r="D419" s="26">
        <v>0</v>
      </c>
      <c r="E419" s="26">
        <v>1</v>
      </c>
      <c r="F419" s="26">
        <v>10</v>
      </c>
      <c r="G419" s="26" t="b">
        <v>0</v>
      </c>
      <c r="H419" s="26">
        <v>3</v>
      </c>
      <c r="I419" s="26">
        <v>2</v>
      </c>
      <c r="J419" s="26">
        <v>0.26</v>
      </c>
      <c r="K419" s="26">
        <v>418</v>
      </c>
      <c r="L419" s="26">
        <v>0.2727</v>
      </c>
      <c r="M419" s="26">
        <v>0.93</v>
      </c>
      <c r="N419" s="26">
        <v>0.1343</v>
      </c>
      <c r="O419" s="26">
        <v>1</v>
      </c>
      <c r="P419" s="26">
        <v>46</v>
      </c>
      <c r="Q419" s="34">
        <v>47</v>
      </c>
    </row>
    <row r="420" spans="1:17" x14ac:dyDescent="0.25">
      <c r="A420" s="32">
        <v>419</v>
      </c>
      <c r="B420" s="33">
        <v>40562</v>
      </c>
      <c r="C420" s="26">
        <v>1</v>
      </c>
      <c r="D420" s="26">
        <v>0</v>
      </c>
      <c r="E420" s="26">
        <v>1</v>
      </c>
      <c r="F420" s="26">
        <v>11</v>
      </c>
      <c r="G420" s="26" t="b">
        <v>0</v>
      </c>
      <c r="H420" s="26">
        <v>3</v>
      </c>
      <c r="I420" s="26">
        <v>2</v>
      </c>
      <c r="J420" s="26">
        <v>0.28000000000000003</v>
      </c>
      <c r="K420" s="26">
        <v>419</v>
      </c>
      <c r="L420" s="26">
        <v>0.30299999999999999</v>
      </c>
      <c r="M420" s="26">
        <v>0.87</v>
      </c>
      <c r="N420" s="26">
        <v>8.9599999999999999E-2</v>
      </c>
      <c r="O420" s="26">
        <v>5</v>
      </c>
      <c r="P420" s="26">
        <v>47</v>
      </c>
      <c r="Q420" s="34">
        <v>52</v>
      </c>
    </row>
    <row r="421" spans="1:17" x14ac:dyDescent="0.25">
      <c r="A421" s="32">
        <v>420</v>
      </c>
      <c r="B421" s="33">
        <v>40562</v>
      </c>
      <c r="C421" s="26">
        <v>1</v>
      </c>
      <c r="D421" s="26">
        <v>0</v>
      </c>
      <c r="E421" s="26">
        <v>1</v>
      </c>
      <c r="F421" s="26">
        <v>12</v>
      </c>
      <c r="G421" s="26" t="b">
        <v>0</v>
      </c>
      <c r="H421" s="26">
        <v>3</v>
      </c>
      <c r="I421" s="26">
        <v>2</v>
      </c>
      <c r="J421" s="26">
        <v>0.3</v>
      </c>
      <c r="K421" s="26">
        <v>420</v>
      </c>
      <c r="L421" s="26">
        <v>0.31819999999999998</v>
      </c>
      <c r="M421" s="26">
        <v>0.81</v>
      </c>
      <c r="N421" s="26">
        <v>8.9599999999999999E-2</v>
      </c>
      <c r="O421" s="26">
        <v>5</v>
      </c>
      <c r="P421" s="26">
        <v>65</v>
      </c>
      <c r="Q421" s="34">
        <v>70</v>
      </c>
    </row>
    <row r="422" spans="1:17" x14ac:dyDescent="0.25">
      <c r="A422" s="32">
        <v>421</v>
      </c>
      <c r="B422" s="33">
        <v>40562</v>
      </c>
      <c r="C422" s="26">
        <v>1</v>
      </c>
      <c r="D422" s="26">
        <v>0</v>
      </c>
      <c r="E422" s="26">
        <v>1</v>
      </c>
      <c r="F422" s="26">
        <v>13</v>
      </c>
      <c r="G422" s="26" t="b">
        <v>0</v>
      </c>
      <c r="H422" s="26">
        <v>3</v>
      </c>
      <c r="I422" s="26">
        <v>1</v>
      </c>
      <c r="J422" s="26">
        <v>0.4</v>
      </c>
      <c r="K422" s="26">
        <v>421</v>
      </c>
      <c r="L422" s="26">
        <v>0.40910000000000002</v>
      </c>
      <c r="M422" s="26">
        <v>0.62</v>
      </c>
      <c r="N422" s="26">
        <v>0.28360000000000002</v>
      </c>
      <c r="O422" s="26">
        <v>11</v>
      </c>
      <c r="P422" s="26">
        <v>67</v>
      </c>
      <c r="Q422" s="34">
        <v>78</v>
      </c>
    </row>
    <row r="423" spans="1:17" x14ac:dyDescent="0.25">
      <c r="A423" s="32">
        <v>422</v>
      </c>
      <c r="B423" s="33">
        <v>40562</v>
      </c>
      <c r="C423" s="26">
        <v>1</v>
      </c>
      <c r="D423" s="26">
        <v>0</v>
      </c>
      <c r="E423" s="26">
        <v>1</v>
      </c>
      <c r="F423" s="26">
        <v>14</v>
      </c>
      <c r="G423" s="26" t="b">
        <v>0</v>
      </c>
      <c r="H423" s="26">
        <v>3</v>
      </c>
      <c r="I423" s="26">
        <v>1</v>
      </c>
      <c r="J423" s="26">
        <v>0.4</v>
      </c>
      <c r="K423" s="26">
        <v>422</v>
      </c>
      <c r="L423" s="26">
        <v>0.40910000000000002</v>
      </c>
      <c r="M423" s="26">
        <v>0.57999999999999996</v>
      </c>
      <c r="N423" s="26">
        <v>0.25369999999999998</v>
      </c>
      <c r="O423" s="26">
        <v>7</v>
      </c>
      <c r="P423" s="26">
        <v>68</v>
      </c>
      <c r="Q423" s="34">
        <v>75</v>
      </c>
    </row>
    <row r="424" spans="1:17" x14ac:dyDescent="0.25">
      <c r="A424" s="32">
        <v>423</v>
      </c>
      <c r="B424" s="33">
        <v>40562</v>
      </c>
      <c r="C424" s="26">
        <v>1</v>
      </c>
      <c r="D424" s="26">
        <v>0</v>
      </c>
      <c r="E424" s="26">
        <v>1</v>
      </c>
      <c r="F424" s="26">
        <v>15</v>
      </c>
      <c r="G424" s="26" t="b">
        <v>0</v>
      </c>
      <c r="H424" s="26">
        <v>3</v>
      </c>
      <c r="I424" s="26">
        <v>1</v>
      </c>
      <c r="J424" s="26">
        <v>0.4</v>
      </c>
      <c r="K424" s="26">
        <v>423</v>
      </c>
      <c r="L424" s="26">
        <v>0.40910000000000002</v>
      </c>
      <c r="M424" s="26">
        <v>0.54</v>
      </c>
      <c r="N424" s="26">
        <v>0.28360000000000002</v>
      </c>
      <c r="O424" s="26">
        <v>4</v>
      </c>
      <c r="P424" s="26">
        <v>78</v>
      </c>
      <c r="Q424" s="34">
        <v>82</v>
      </c>
    </row>
    <row r="425" spans="1:17" x14ac:dyDescent="0.25">
      <c r="A425" s="32">
        <v>424</v>
      </c>
      <c r="B425" s="33">
        <v>40562</v>
      </c>
      <c r="C425" s="26">
        <v>1</v>
      </c>
      <c r="D425" s="26">
        <v>0</v>
      </c>
      <c r="E425" s="26">
        <v>1</v>
      </c>
      <c r="F425" s="26">
        <v>16</v>
      </c>
      <c r="G425" s="26" t="b">
        <v>0</v>
      </c>
      <c r="H425" s="26">
        <v>3</v>
      </c>
      <c r="I425" s="26">
        <v>1</v>
      </c>
      <c r="J425" s="26">
        <v>0.38</v>
      </c>
      <c r="K425" s="26">
        <v>424</v>
      </c>
      <c r="L425" s="26">
        <v>0.39389999999999997</v>
      </c>
      <c r="M425" s="26">
        <v>0.57999999999999996</v>
      </c>
      <c r="N425" s="26">
        <v>0.3881</v>
      </c>
      <c r="O425" s="26">
        <v>10</v>
      </c>
      <c r="P425" s="26">
        <v>94</v>
      </c>
      <c r="Q425" s="34">
        <v>104</v>
      </c>
    </row>
    <row r="426" spans="1:17" x14ac:dyDescent="0.25">
      <c r="A426" s="32">
        <v>425</v>
      </c>
      <c r="B426" s="33">
        <v>40562</v>
      </c>
      <c r="C426" s="26">
        <v>1</v>
      </c>
      <c r="D426" s="26">
        <v>0</v>
      </c>
      <c r="E426" s="26">
        <v>1</v>
      </c>
      <c r="F426" s="26">
        <v>17</v>
      </c>
      <c r="G426" s="26" t="b">
        <v>0</v>
      </c>
      <c r="H426" s="26">
        <v>3</v>
      </c>
      <c r="I426" s="26">
        <v>1</v>
      </c>
      <c r="J426" s="26">
        <v>0.36</v>
      </c>
      <c r="K426" s="26">
        <v>425</v>
      </c>
      <c r="L426" s="26">
        <v>0.33329999999999999</v>
      </c>
      <c r="M426" s="26">
        <v>0.56999999999999995</v>
      </c>
      <c r="N426" s="26">
        <v>0.32840000000000003</v>
      </c>
      <c r="O426" s="26">
        <v>7</v>
      </c>
      <c r="P426" s="26">
        <v>190</v>
      </c>
      <c r="Q426" s="34">
        <v>197</v>
      </c>
    </row>
    <row r="427" spans="1:17" x14ac:dyDescent="0.25">
      <c r="A427" s="32">
        <v>426</v>
      </c>
      <c r="B427" s="33">
        <v>40562</v>
      </c>
      <c r="C427" s="26">
        <v>1</v>
      </c>
      <c r="D427" s="26">
        <v>0</v>
      </c>
      <c r="E427" s="26">
        <v>1</v>
      </c>
      <c r="F427" s="26">
        <v>18</v>
      </c>
      <c r="G427" s="26" t="b">
        <v>0</v>
      </c>
      <c r="H427" s="26">
        <v>3</v>
      </c>
      <c r="I427" s="26">
        <v>1</v>
      </c>
      <c r="J427" s="26">
        <v>0.34</v>
      </c>
      <c r="K427" s="26">
        <v>426</v>
      </c>
      <c r="L427" s="26">
        <v>0.31819999999999998</v>
      </c>
      <c r="M427" s="26">
        <v>0.61</v>
      </c>
      <c r="N427" s="26">
        <v>0.28360000000000002</v>
      </c>
      <c r="O427" s="26">
        <v>5</v>
      </c>
      <c r="P427" s="26">
        <v>156</v>
      </c>
      <c r="Q427" s="34">
        <v>161</v>
      </c>
    </row>
    <row r="428" spans="1:17" x14ac:dyDescent="0.25">
      <c r="A428" s="32">
        <v>427</v>
      </c>
      <c r="B428" s="33">
        <v>40562</v>
      </c>
      <c r="C428" s="26">
        <v>1</v>
      </c>
      <c r="D428" s="26">
        <v>0</v>
      </c>
      <c r="E428" s="26">
        <v>1</v>
      </c>
      <c r="F428" s="26">
        <v>19</v>
      </c>
      <c r="G428" s="26" t="b">
        <v>0</v>
      </c>
      <c r="H428" s="26">
        <v>3</v>
      </c>
      <c r="I428" s="26">
        <v>1</v>
      </c>
      <c r="J428" s="26">
        <v>0.32</v>
      </c>
      <c r="K428" s="26">
        <v>427</v>
      </c>
      <c r="L428" s="26">
        <v>0.28789999999999999</v>
      </c>
      <c r="M428" s="26">
        <v>0.56999999999999995</v>
      </c>
      <c r="N428" s="26">
        <v>0.41789999999999999</v>
      </c>
      <c r="O428" s="26">
        <v>4</v>
      </c>
      <c r="P428" s="26">
        <v>108</v>
      </c>
      <c r="Q428" s="34">
        <v>112</v>
      </c>
    </row>
    <row r="429" spans="1:17" x14ac:dyDescent="0.25">
      <c r="A429" s="32">
        <v>428</v>
      </c>
      <c r="B429" s="33">
        <v>40562</v>
      </c>
      <c r="C429" s="26">
        <v>1</v>
      </c>
      <c r="D429" s="26">
        <v>0</v>
      </c>
      <c r="E429" s="26">
        <v>1</v>
      </c>
      <c r="F429" s="26">
        <v>20</v>
      </c>
      <c r="G429" s="26" t="b">
        <v>0</v>
      </c>
      <c r="H429" s="26">
        <v>3</v>
      </c>
      <c r="I429" s="26">
        <v>1</v>
      </c>
      <c r="J429" s="26">
        <v>0.32</v>
      </c>
      <c r="K429" s="26">
        <v>428</v>
      </c>
      <c r="L429" s="26">
        <v>0.30299999999999999</v>
      </c>
      <c r="M429" s="26">
        <v>0.49</v>
      </c>
      <c r="N429" s="26">
        <v>0.29849999999999999</v>
      </c>
      <c r="O429" s="26">
        <v>2</v>
      </c>
      <c r="P429" s="26">
        <v>74</v>
      </c>
      <c r="Q429" s="34">
        <v>76</v>
      </c>
    </row>
    <row r="430" spans="1:17" x14ac:dyDescent="0.25">
      <c r="A430" s="32">
        <v>429</v>
      </c>
      <c r="B430" s="33">
        <v>40562</v>
      </c>
      <c r="C430" s="26">
        <v>1</v>
      </c>
      <c r="D430" s="26">
        <v>0</v>
      </c>
      <c r="E430" s="26">
        <v>1</v>
      </c>
      <c r="F430" s="26">
        <v>21</v>
      </c>
      <c r="G430" s="26" t="b">
        <v>0</v>
      </c>
      <c r="H430" s="26">
        <v>3</v>
      </c>
      <c r="I430" s="26">
        <v>1</v>
      </c>
      <c r="J430" s="26">
        <v>0.32</v>
      </c>
      <c r="K430" s="26">
        <v>429</v>
      </c>
      <c r="L430" s="26">
        <v>0.28789999999999999</v>
      </c>
      <c r="M430" s="26">
        <v>0.49</v>
      </c>
      <c r="N430" s="26">
        <v>0.41789999999999999</v>
      </c>
      <c r="O430" s="26">
        <v>4</v>
      </c>
      <c r="P430" s="26">
        <v>55</v>
      </c>
      <c r="Q430" s="34">
        <v>59</v>
      </c>
    </row>
    <row r="431" spans="1:17" x14ac:dyDescent="0.25">
      <c r="A431" s="32">
        <v>430</v>
      </c>
      <c r="B431" s="33">
        <v>40562</v>
      </c>
      <c r="C431" s="26">
        <v>1</v>
      </c>
      <c r="D431" s="26">
        <v>0</v>
      </c>
      <c r="E431" s="26">
        <v>1</v>
      </c>
      <c r="F431" s="26">
        <v>22</v>
      </c>
      <c r="G431" s="26" t="b">
        <v>0</v>
      </c>
      <c r="H431" s="26">
        <v>3</v>
      </c>
      <c r="I431" s="26">
        <v>1</v>
      </c>
      <c r="J431" s="26">
        <v>0.3</v>
      </c>
      <c r="K431" s="26">
        <v>430</v>
      </c>
      <c r="L431" s="26">
        <v>0.30299999999999999</v>
      </c>
      <c r="M431" s="26">
        <v>0.52</v>
      </c>
      <c r="N431" s="26">
        <v>0.16420000000000001</v>
      </c>
      <c r="O431" s="26">
        <v>6</v>
      </c>
      <c r="P431" s="26">
        <v>53</v>
      </c>
      <c r="Q431" s="34">
        <v>59</v>
      </c>
    </row>
    <row r="432" spans="1:17" x14ac:dyDescent="0.25">
      <c r="A432" s="32">
        <v>431</v>
      </c>
      <c r="B432" s="33">
        <v>40562</v>
      </c>
      <c r="C432" s="26">
        <v>1</v>
      </c>
      <c r="D432" s="26">
        <v>0</v>
      </c>
      <c r="E432" s="26">
        <v>1</v>
      </c>
      <c r="F432" s="26">
        <v>23</v>
      </c>
      <c r="G432" s="26" t="b">
        <v>0</v>
      </c>
      <c r="H432" s="26">
        <v>3</v>
      </c>
      <c r="I432" s="26">
        <v>1</v>
      </c>
      <c r="J432" s="26">
        <v>0.3</v>
      </c>
      <c r="K432" s="26">
        <v>431</v>
      </c>
      <c r="L432" s="26">
        <v>0.2727</v>
      </c>
      <c r="M432" s="26">
        <v>0.52</v>
      </c>
      <c r="N432" s="26">
        <v>0.4627</v>
      </c>
      <c r="O432" s="26">
        <v>1</v>
      </c>
      <c r="P432" s="26">
        <v>27</v>
      </c>
      <c r="Q432" s="34">
        <v>28</v>
      </c>
    </row>
    <row r="433" spans="1:17" x14ac:dyDescent="0.25">
      <c r="A433" s="32">
        <v>432</v>
      </c>
      <c r="B433" s="33">
        <v>40563</v>
      </c>
      <c r="C433" s="26">
        <v>1</v>
      </c>
      <c r="D433" s="26">
        <v>0</v>
      </c>
      <c r="E433" s="26">
        <v>1</v>
      </c>
      <c r="F433" s="26">
        <v>0</v>
      </c>
      <c r="G433" s="26" t="b">
        <v>0</v>
      </c>
      <c r="H433" s="26">
        <v>4</v>
      </c>
      <c r="I433" s="26">
        <v>1</v>
      </c>
      <c r="J433" s="26">
        <v>0.26</v>
      </c>
      <c r="K433" s="26">
        <v>432</v>
      </c>
      <c r="L433" s="26">
        <v>0.2273</v>
      </c>
      <c r="M433" s="26">
        <v>0.56000000000000005</v>
      </c>
      <c r="N433" s="26">
        <v>0.3881</v>
      </c>
      <c r="O433" s="26">
        <v>5</v>
      </c>
      <c r="P433" s="26">
        <v>8</v>
      </c>
      <c r="Q433" s="34">
        <v>13</v>
      </c>
    </row>
    <row r="434" spans="1:17" x14ac:dyDescent="0.25">
      <c r="A434" s="32">
        <v>433</v>
      </c>
      <c r="B434" s="33">
        <v>40563</v>
      </c>
      <c r="C434" s="26">
        <v>1</v>
      </c>
      <c r="D434" s="26">
        <v>0</v>
      </c>
      <c r="E434" s="26">
        <v>1</v>
      </c>
      <c r="F434" s="26">
        <v>1</v>
      </c>
      <c r="G434" s="26" t="b">
        <v>0</v>
      </c>
      <c r="H434" s="26">
        <v>4</v>
      </c>
      <c r="I434" s="26">
        <v>1</v>
      </c>
      <c r="J434" s="26">
        <v>0.26</v>
      </c>
      <c r="K434" s="26">
        <v>433</v>
      </c>
      <c r="L434" s="26">
        <v>0.2727</v>
      </c>
      <c r="M434" s="26">
        <v>0.56000000000000005</v>
      </c>
      <c r="N434" s="26">
        <v>0</v>
      </c>
      <c r="O434" s="26">
        <v>2</v>
      </c>
      <c r="P434" s="26">
        <v>3</v>
      </c>
      <c r="Q434" s="34">
        <v>5</v>
      </c>
    </row>
    <row r="435" spans="1:17" x14ac:dyDescent="0.25">
      <c r="A435" s="32">
        <v>434</v>
      </c>
      <c r="B435" s="33">
        <v>40563</v>
      </c>
      <c r="C435" s="26">
        <v>1</v>
      </c>
      <c r="D435" s="26">
        <v>0</v>
      </c>
      <c r="E435" s="26">
        <v>1</v>
      </c>
      <c r="F435" s="26">
        <v>2</v>
      </c>
      <c r="G435" s="26" t="b">
        <v>0</v>
      </c>
      <c r="H435" s="26">
        <v>4</v>
      </c>
      <c r="I435" s="26">
        <v>1</v>
      </c>
      <c r="J435" s="26">
        <v>0.26</v>
      </c>
      <c r="K435" s="26">
        <v>434</v>
      </c>
      <c r="L435" s="26">
        <v>0.2727</v>
      </c>
      <c r="M435" s="26">
        <v>0.56000000000000005</v>
      </c>
      <c r="N435" s="26">
        <v>0</v>
      </c>
      <c r="O435" s="26">
        <v>0</v>
      </c>
      <c r="P435" s="26">
        <v>2</v>
      </c>
      <c r="Q435" s="34">
        <v>2</v>
      </c>
    </row>
    <row r="436" spans="1:17" x14ac:dyDescent="0.25">
      <c r="A436" s="32">
        <v>435</v>
      </c>
      <c r="B436" s="33">
        <v>40563</v>
      </c>
      <c r="C436" s="26">
        <v>1</v>
      </c>
      <c r="D436" s="26">
        <v>0</v>
      </c>
      <c r="E436" s="26">
        <v>1</v>
      </c>
      <c r="F436" s="26">
        <v>3</v>
      </c>
      <c r="G436" s="26" t="b">
        <v>0</v>
      </c>
      <c r="H436" s="26">
        <v>4</v>
      </c>
      <c r="I436" s="26">
        <v>1</v>
      </c>
      <c r="J436" s="26">
        <v>0.26</v>
      </c>
      <c r="K436" s="26">
        <v>435</v>
      </c>
      <c r="L436" s="26">
        <v>0.2576</v>
      </c>
      <c r="M436" s="26">
        <v>0.56000000000000005</v>
      </c>
      <c r="N436" s="26">
        <v>0.16420000000000001</v>
      </c>
      <c r="O436" s="26">
        <v>0</v>
      </c>
      <c r="P436" s="26">
        <v>1</v>
      </c>
      <c r="Q436" s="34">
        <v>1</v>
      </c>
    </row>
    <row r="437" spans="1:17" x14ac:dyDescent="0.25">
      <c r="A437" s="32">
        <v>436</v>
      </c>
      <c r="B437" s="33">
        <v>40563</v>
      </c>
      <c r="C437" s="26">
        <v>1</v>
      </c>
      <c r="D437" s="26">
        <v>0</v>
      </c>
      <c r="E437" s="26">
        <v>1</v>
      </c>
      <c r="F437" s="26">
        <v>4</v>
      </c>
      <c r="G437" s="26" t="b">
        <v>0</v>
      </c>
      <c r="H437" s="26">
        <v>4</v>
      </c>
      <c r="I437" s="26">
        <v>1</v>
      </c>
      <c r="J437" s="26">
        <v>0.26</v>
      </c>
      <c r="K437" s="26">
        <v>436</v>
      </c>
      <c r="L437" s="26">
        <v>0.2576</v>
      </c>
      <c r="M437" s="26">
        <v>0.56000000000000005</v>
      </c>
      <c r="N437" s="26">
        <v>0.16420000000000001</v>
      </c>
      <c r="O437" s="26">
        <v>0</v>
      </c>
      <c r="P437" s="26">
        <v>1</v>
      </c>
      <c r="Q437" s="34">
        <v>1</v>
      </c>
    </row>
    <row r="438" spans="1:17" x14ac:dyDescent="0.25">
      <c r="A438" s="32">
        <v>437</v>
      </c>
      <c r="B438" s="33">
        <v>40563</v>
      </c>
      <c r="C438" s="26">
        <v>1</v>
      </c>
      <c r="D438" s="26">
        <v>0</v>
      </c>
      <c r="E438" s="26">
        <v>1</v>
      </c>
      <c r="F438" s="26">
        <v>5</v>
      </c>
      <c r="G438" s="26" t="b">
        <v>0</v>
      </c>
      <c r="H438" s="26">
        <v>4</v>
      </c>
      <c r="I438" s="26">
        <v>1</v>
      </c>
      <c r="J438" s="26">
        <v>0.24</v>
      </c>
      <c r="K438" s="26">
        <v>437</v>
      </c>
      <c r="L438" s="26">
        <v>0.2273</v>
      </c>
      <c r="M438" s="26">
        <v>0.6</v>
      </c>
      <c r="N438" s="26">
        <v>0.22389999999999999</v>
      </c>
      <c r="O438" s="26">
        <v>0</v>
      </c>
      <c r="P438" s="26">
        <v>6</v>
      </c>
      <c r="Q438" s="34">
        <v>6</v>
      </c>
    </row>
    <row r="439" spans="1:17" x14ac:dyDescent="0.25">
      <c r="A439" s="32">
        <v>438</v>
      </c>
      <c r="B439" s="33">
        <v>40563</v>
      </c>
      <c r="C439" s="26">
        <v>1</v>
      </c>
      <c r="D439" s="26">
        <v>0</v>
      </c>
      <c r="E439" s="26">
        <v>1</v>
      </c>
      <c r="F439" s="26">
        <v>6</v>
      </c>
      <c r="G439" s="26" t="b">
        <v>0</v>
      </c>
      <c r="H439" s="26">
        <v>4</v>
      </c>
      <c r="I439" s="26">
        <v>1</v>
      </c>
      <c r="J439" s="26">
        <v>0.22</v>
      </c>
      <c r="K439" s="26">
        <v>438</v>
      </c>
      <c r="L439" s="26">
        <v>0.21210000000000001</v>
      </c>
      <c r="M439" s="26">
        <v>0.6</v>
      </c>
      <c r="N439" s="26">
        <v>0.22389999999999999</v>
      </c>
      <c r="O439" s="26">
        <v>0</v>
      </c>
      <c r="P439" s="26">
        <v>35</v>
      </c>
      <c r="Q439" s="34">
        <v>35</v>
      </c>
    </row>
    <row r="440" spans="1:17" x14ac:dyDescent="0.25">
      <c r="A440" s="32">
        <v>439</v>
      </c>
      <c r="B440" s="33">
        <v>40563</v>
      </c>
      <c r="C440" s="26">
        <v>1</v>
      </c>
      <c r="D440" s="26">
        <v>0</v>
      </c>
      <c r="E440" s="26">
        <v>1</v>
      </c>
      <c r="F440" s="26">
        <v>7</v>
      </c>
      <c r="G440" s="26" t="b">
        <v>0</v>
      </c>
      <c r="H440" s="26">
        <v>4</v>
      </c>
      <c r="I440" s="26">
        <v>1</v>
      </c>
      <c r="J440" s="26">
        <v>0.22</v>
      </c>
      <c r="K440" s="26">
        <v>439</v>
      </c>
      <c r="L440" s="26">
        <v>0.21210000000000001</v>
      </c>
      <c r="M440" s="26">
        <v>0.55000000000000004</v>
      </c>
      <c r="N440" s="26">
        <v>0.22389999999999999</v>
      </c>
      <c r="O440" s="26">
        <v>1</v>
      </c>
      <c r="P440" s="26">
        <v>100</v>
      </c>
      <c r="Q440" s="34">
        <v>101</v>
      </c>
    </row>
    <row r="441" spans="1:17" x14ac:dyDescent="0.25">
      <c r="A441" s="32">
        <v>440</v>
      </c>
      <c r="B441" s="33">
        <v>40563</v>
      </c>
      <c r="C441" s="26">
        <v>1</v>
      </c>
      <c r="D441" s="26">
        <v>0</v>
      </c>
      <c r="E441" s="26">
        <v>1</v>
      </c>
      <c r="F441" s="26">
        <v>8</v>
      </c>
      <c r="G441" s="26" t="b">
        <v>0</v>
      </c>
      <c r="H441" s="26">
        <v>4</v>
      </c>
      <c r="I441" s="26">
        <v>1</v>
      </c>
      <c r="J441" s="26">
        <v>0.22</v>
      </c>
      <c r="K441" s="26">
        <v>440</v>
      </c>
      <c r="L441" s="26">
        <v>0.21210000000000001</v>
      </c>
      <c r="M441" s="26">
        <v>0.55000000000000004</v>
      </c>
      <c r="N441" s="26">
        <v>0.28360000000000002</v>
      </c>
      <c r="O441" s="26">
        <v>2</v>
      </c>
      <c r="P441" s="26">
        <v>247</v>
      </c>
      <c r="Q441" s="34">
        <v>249</v>
      </c>
    </row>
    <row r="442" spans="1:17" x14ac:dyDescent="0.25">
      <c r="A442" s="32">
        <v>441</v>
      </c>
      <c r="B442" s="33">
        <v>40563</v>
      </c>
      <c r="C442" s="26">
        <v>1</v>
      </c>
      <c r="D442" s="26">
        <v>0</v>
      </c>
      <c r="E442" s="26">
        <v>1</v>
      </c>
      <c r="F442" s="26">
        <v>9</v>
      </c>
      <c r="G442" s="26" t="b">
        <v>0</v>
      </c>
      <c r="H442" s="26">
        <v>4</v>
      </c>
      <c r="I442" s="26">
        <v>2</v>
      </c>
      <c r="J442" s="26">
        <v>0.24</v>
      </c>
      <c r="K442" s="26">
        <v>441</v>
      </c>
      <c r="L442" s="26">
        <v>0.2273</v>
      </c>
      <c r="M442" s="26">
        <v>0.52</v>
      </c>
      <c r="N442" s="26">
        <v>0.22389999999999999</v>
      </c>
      <c r="O442" s="26">
        <v>3</v>
      </c>
      <c r="P442" s="26">
        <v>140</v>
      </c>
      <c r="Q442" s="34">
        <v>143</v>
      </c>
    </row>
    <row r="443" spans="1:17" x14ac:dyDescent="0.25">
      <c r="A443" s="32">
        <v>442</v>
      </c>
      <c r="B443" s="33">
        <v>40563</v>
      </c>
      <c r="C443" s="26">
        <v>1</v>
      </c>
      <c r="D443" s="26">
        <v>0</v>
      </c>
      <c r="E443" s="26">
        <v>1</v>
      </c>
      <c r="F443" s="26">
        <v>10</v>
      </c>
      <c r="G443" s="26" t="b">
        <v>0</v>
      </c>
      <c r="H443" s="26">
        <v>4</v>
      </c>
      <c r="I443" s="26">
        <v>1</v>
      </c>
      <c r="J443" s="26">
        <v>0.26</v>
      </c>
      <c r="K443" s="26">
        <v>442</v>
      </c>
      <c r="L443" s="26">
        <v>0.2273</v>
      </c>
      <c r="M443" s="26">
        <v>0.48</v>
      </c>
      <c r="N443" s="26">
        <v>0.29849999999999999</v>
      </c>
      <c r="O443" s="26">
        <v>1</v>
      </c>
      <c r="P443" s="26">
        <v>56</v>
      </c>
      <c r="Q443" s="34">
        <v>57</v>
      </c>
    </row>
    <row r="444" spans="1:17" x14ac:dyDescent="0.25">
      <c r="A444" s="32">
        <v>443</v>
      </c>
      <c r="B444" s="33">
        <v>40563</v>
      </c>
      <c r="C444" s="26">
        <v>1</v>
      </c>
      <c r="D444" s="26">
        <v>0</v>
      </c>
      <c r="E444" s="26">
        <v>1</v>
      </c>
      <c r="F444" s="26">
        <v>11</v>
      </c>
      <c r="G444" s="26" t="b">
        <v>0</v>
      </c>
      <c r="H444" s="26">
        <v>4</v>
      </c>
      <c r="I444" s="26">
        <v>2</v>
      </c>
      <c r="J444" s="26">
        <v>0.28000000000000003</v>
      </c>
      <c r="K444" s="26">
        <v>443</v>
      </c>
      <c r="L444" s="26">
        <v>0.2727</v>
      </c>
      <c r="M444" s="26">
        <v>0.45</v>
      </c>
      <c r="N444" s="26">
        <v>0.16420000000000001</v>
      </c>
      <c r="O444" s="26">
        <v>5</v>
      </c>
      <c r="P444" s="26">
        <v>63</v>
      </c>
      <c r="Q444" s="34">
        <v>68</v>
      </c>
    </row>
    <row r="445" spans="1:17" x14ac:dyDescent="0.25">
      <c r="A445" s="32">
        <v>444</v>
      </c>
      <c r="B445" s="33">
        <v>40563</v>
      </c>
      <c r="C445" s="26">
        <v>1</v>
      </c>
      <c r="D445" s="26">
        <v>0</v>
      </c>
      <c r="E445" s="26">
        <v>1</v>
      </c>
      <c r="F445" s="26">
        <v>12</v>
      </c>
      <c r="G445" s="26" t="b">
        <v>0</v>
      </c>
      <c r="H445" s="26">
        <v>4</v>
      </c>
      <c r="I445" s="26">
        <v>2</v>
      </c>
      <c r="J445" s="26">
        <v>0.3</v>
      </c>
      <c r="K445" s="26">
        <v>444</v>
      </c>
      <c r="L445" s="26">
        <v>0.33329999999999999</v>
      </c>
      <c r="M445" s="26">
        <v>0.42</v>
      </c>
      <c r="N445" s="26">
        <v>0</v>
      </c>
      <c r="O445" s="26">
        <v>7</v>
      </c>
      <c r="P445" s="26">
        <v>77</v>
      </c>
      <c r="Q445" s="34">
        <v>84</v>
      </c>
    </row>
    <row r="446" spans="1:17" x14ac:dyDescent="0.25">
      <c r="A446" s="32">
        <v>445</v>
      </c>
      <c r="B446" s="33">
        <v>40563</v>
      </c>
      <c r="C446" s="26">
        <v>1</v>
      </c>
      <c r="D446" s="26">
        <v>0</v>
      </c>
      <c r="E446" s="26">
        <v>1</v>
      </c>
      <c r="F446" s="26">
        <v>13</v>
      </c>
      <c r="G446" s="26" t="b">
        <v>0</v>
      </c>
      <c r="H446" s="26">
        <v>4</v>
      </c>
      <c r="I446" s="26">
        <v>2</v>
      </c>
      <c r="J446" s="26">
        <v>0.28000000000000003</v>
      </c>
      <c r="K446" s="26">
        <v>445</v>
      </c>
      <c r="L446" s="26">
        <v>0.28789999999999999</v>
      </c>
      <c r="M446" s="26">
        <v>0.45</v>
      </c>
      <c r="N446" s="26">
        <v>0.1045</v>
      </c>
      <c r="O446" s="26">
        <v>12</v>
      </c>
      <c r="P446" s="26">
        <v>86</v>
      </c>
      <c r="Q446" s="34">
        <v>98</v>
      </c>
    </row>
    <row r="447" spans="1:17" x14ac:dyDescent="0.25">
      <c r="A447" s="32">
        <v>446</v>
      </c>
      <c r="B447" s="33">
        <v>40563</v>
      </c>
      <c r="C447" s="26">
        <v>1</v>
      </c>
      <c r="D447" s="26">
        <v>0</v>
      </c>
      <c r="E447" s="26">
        <v>1</v>
      </c>
      <c r="F447" s="26">
        <v>14</v>
      </c>
      <c r="G447" s="26" t="b">
        <v>0</v>
      </c>
      <c r="H447" s="26">
        <v>4</v>
      </c>
      <c r="I447" s="26">
        <v>2</v>
      </c>
      <c r="J447" s="26">
        <v>0.3</v>
      </c>
      <c r="K447" s="26">
        <v>446</v>
      </c>
      <c r="L447" s="26">
        <v>0.30299999999999999</v>
      </c>
      <c r="M447" s="26">
        <v>0.45</v>
      </c>
      <c r="N447" s="26">
        <v>0.1343</v>
      </c>
      <c r="O447" s="26">
        <v>6</v>
      </c>
      <c r="P447" s="26">
        <v>75</v>
      </c>
      <c r="Q447" s="34">
        <v>81</v>
      </c>
    </row>
    <row r="448" spans="1:17" x14ac:dyDescent="0.25">
      <c r="A448" s="32">
        <v>447</v>
      </c>
      <c r="B448" s="33">
        <v>40563</v>
      </c>
      <c r="C448" s="26">
        <v>1</v>
      </c>
      <c r="D448" s="26">
        <v>0</v>
      </c>
      <c r="E448" s="26">
        <v>1</v>
      </c>
      <c r="F448" s="26">
        <v>15</v>
      </c>
      <c r="G448" s="26" t="b">
        <v>0</v>
      </c>
      <c r="H448" s="26">
        <v>4</v>
      </c>
      <c r="I448" s="26">
        <v>2</v>
      </c>
      <c r="J448" s="26">
        <v>0.32</v>
      </c>
      <c r="K448" s="26">
        <v>447</v>
      </c>
      <c r="L448" s="26">
        <v>0.31819999999999998</v>
      </c>
      <c r="M448" s="26">
        <v>0.45</v>
      </c>
      <c r="N448" s="26">
        <v>0.19400000000000001</v>
      </c>
      <c r="O448" s="26">
        <v>8</v>
      </c>
      <c r="P448" s="26">
        <v>62</v>
      </c>
      <c r="Q448" s="34">
        <v>70</v>
      </c>
    </row>
    <row r="449" spans="1:17" x14ac:dyDescent="0.25">
      <c r="A449" s="32">
        <v>448</v>
      </c>
      <c r="B449" s="33">
        <v>40563</v>
      </c>
      <c r="C449" s="26">
        <v>1</v>
      </c>
      <c r="D449" s="26">
        <v>0</v>
      </c>
      <c r="E449" s="26">
        <v>1</v>
      </c>
      <c r="F449" s="26">
        <v>16</v>
      </c>
      <c r="G449" s="26" t="b">
        <v>0</v>
      </c>
      <c r="H449" s="26">
        <v>4</v>
      </c>
      <c r="I449" s="26">
        <v>2</v>
      </c>
      <c r="J449" s="26">
        <v>0.3</v>
      </c>
      <c r="K449" s="26">
        <v>448</v>
      </c>
      <c r="L449" s="26">
        <v>0.30299999999999999</v>
      </c>
      <c r="M449" s="26">
        <v>0.49</v>
      </c>
      <c r="N449" s="26">
        <v>0.1343</v>
      </c>
      <c r="O449" s="26">
        <v>8</v>
      </c>
      <c r="P449" s="26">
        <v>83</v>
      </c>
      <c r="Q449" s="34">
        <v>91</v>
      </c>
    </row>
    <row r="450" spans="1:17" x14ac:dyDescent="0.25">
      <c r="A450" s="32">
        <v>449</v>
      </c>
      <c r="B450" s="33">
        <v>40563</v>
      </c>
      <c r="C450" s="26">
        <v>1</v>
      </c>
      <c r="D450" s="26">
        <v>0</v>
      </c>
      <c r="E450" s="26">
        <v>1</v>
      </c>
      <c r="F450" s="26">
        <v>17</v>
      </c>
      <c r="G450" s="26" t="b">
        <v>0</v>
      </c>
      <c r="H450" s="26">
        <v>4</v>
      </c>
      <c r="I450" s="26">
        <v>2</v>
      </c>
      <c r="J450" s="26">
        <v>0.3</v>
      </c>
      <c r="K450" s="26">
        <v>449</v>
      </c>
      <c r="L450" s="26">
        <v>0.31819999999999998</v>
      </c>
      <c r="M450" s="26">
        <v>0.49</v>
      </c>
      <c r="N450" s="26">
        <v>0.1045</v>
      </c>
      <c r="O450" s="26">
        <v>8</v>
      </c>
      <c r="P450" s="26">
        <v>207</v>
      </c>
      <c r="Q450" s="34">
        <v>215</v>
      </c>
    </row>
    <row r="451" spans="1:17" x14ac:dyDescent="0.25">
      <c r="A451" s="32">
        <v>450</v>
      </c>
      <c r="B451" s="33">
        <v>40563</v>
      </c>
      <c r="C451" s="26">
        <v>1</v>
      </c>
      <c r="D451" s="26">
        <v>0</v>
      </c>
      <c r="E451" s="26">
        <v>1</v>
      </c>
      <c r="F451" s="26">
        <v>18</v>
      </c>
      <c r="G451" s="26" t="b">
        <v>0</v>
      </c>
      <c r="H451" s="26">
        <v>4</v>
      </c>
      <c r="I451" s="26">
        <v>2</v>
      </c>
      <c r="J451" s="26">
        <v>0.26</v>
      </c>
      <c r="K451" s="26">
        <v>450</v>
      </c>
      <c r="L451" s="26">
        <v>0.2576</v>
      </c>
      <c r="M451" s="26">
        <v>0.56000000000000005</v>
      </c>
      <c r="N451" s="26">
        <v>0.19400000000000001</v>
      </c>
      <c r="O451" s="26">
        <v>1</v>
      </c>
      <c r="P451" s="26">
        <v>184</v>
      </c>
      <c r="Q451" s="34">
        <v>185</v>
      </c>
    </row>
    <row r="452" spans="1:17" x14ac:dyDescent="0.25">
      <c r="A452" s="32">
        <v>451</v>
      </c>
      <c r="B452" s="33">
        <v>40563</v>
      </c>
      <c r="C452" s="26">
        <v>1</v>
      </c>
      <c r="D452" s="26">
        <v>0</v>
      </c>
      <c r="E452" s="26">
        <v>1</v>
      </c>
      <c r="F452" s="26">
        <v>19</v>
      </c>
      <c r="G452" s="26" t="b">
        <v>0</v>
      </c>
      <c r="H452" s="26">
        <v>4</v>
      </c>
      <c r="I452" s="26">
        <v>1</v>
      </c>
      <c r="J452" s="26">
        <v>0.26</v>
      </c>
      <c r="K452" s="26">
        <v>451</v>
      </c>
      <c r="L452" s="26">
        <v>0.2273</v>
      </c>
      <c r="M452" s="26">
        <v>0.56000000000000005</v>
      </c>
      <c r="N452" s="26">
        <v>0.32840000000000003</v>
      </c>
      <c r="O452" s="26">
        <v>6</v>
      </c>
      <c r="P452" s="26">
        <v>146</v>
      </c>
      <c r="Q452" s="34">
        <v>152</v>
      </c>
    </row>
    <row r="453" spans="1:17" x14ac:dyDescent="0.25">
      <c r="A453" s="32">
        <v>452</v>
      </c>
      <c r="B453" s="33">
        <v>40563</v>
      </c>
      <c r="C453" s="26">
        <v>1</v>
      </c>
      <c r="D453" s="26">
        <v>0</v>
      </c>
      <c r="E453" s="26">
        <v>1</v>
      </c>
      <c r="F453" s="26">
        <v>20</v>
      </c>
      <c r="G453" s="26" t="b">
        <v>0</v>
      </c>
      <c r="H453" s="26">
        <v>4</v>
      </c>
      <c r="I453" s="26">
        <v>2</v>
      </c>
      <c r="J453" s="26">
        <v>0.26</v>
      </c>
      <c r="K453" s="26">
        <v>452</v>
      </c>
      <c r="L453" s="26">
        <v>0.2424</v>
      </c>
      <c r="M453" s="26">
        <v>0.6</v>
      </c>
      <c r="N453" s="26">
        <v>0.28360000000000002</v>
      </c>
      <c r="O453" s="26">
        <v>2</v>
      </c>
      <c r="P453" s="26">
        <v>124</v>
      </c>
      <c r="Q453" s="34">
        <v>126</v>
      </c>
    </row>
    <row r="454" spans="1:17" x14ac:dyDescent="0.25">
      <c r="A454" s="32">
        <v>453</v>
      </c>
      <c r="B454" s="33">
        <v>40563</v>
      </c>
      <c r="C454" s="26">
        <v>1</v>
      </c>
      <c r="D454" s="26">
        <v>0</v>
      </c>
      <c r="E454" s="26">
        <v>1</v>
      </c>
      <c r="F454" s="26">
        <v>21</v>
      </c>
      <c r="G454" s="26" t="b">
        <v>0</v>
      </c>
      <c r="H454" s="26">
        <v>4</v>
      </c>
      <c r="I454" s="26">
        <v>2</v>
      </c>
      <c r="J454" s="26">
        <v>0.24</v>
      </c>
      <c r="K454" s="26">
        <v>453</v>
      </c>
      <c r="L454" s="26">
        <v>0.2273</v>
      </c>
      <c r="M454" s="26">
        <v>0.6</v>
      </c>
      <c r="N454" s="26">
        <v>0.25369999999999998</v>
      </c>
      <c r="O454" s="26">
        <v>3</v>
      </c>
      <c r="P454" s="26">
        <v>54</v>
      </c>
      <c r="Q454" s="34">
        <v>57</v>
      </c>
    </row>
    <row r="455" spans="1:17" x14ac:dyDescent="0.25">
      <c r="A455" s="32">
        <v>454</v>
      </c>
      <c r="B455" s="33">
        <v>40563</v>
      </c>
      <c r="C455" s="26">
        <v>1</v>
      </c>
      <c r="D455" s="26">
        <v>0</v>
      </c>
      <c r="E455" s="26">
        <v>1</v>
      </c>
      <c r="F455" s="26">
        <v>22</v>
      </c>
      <c r="G455" s="26" t="b">
        <v>0</v>
      </c>
      <c r="H455" s="26">
        <v>4</v>
      </c>
      <c r="I455" s="26">
        <v>2</v>
      </c>
      <c r="J455" s="26">
        <v>0.24</v>
      </c>
      <c r="K455" s="26">
        <v>454</v>
      </c>
      <c r="L455" s="26">
        <v>0.21210000000000001</v>
      </c>
      <c r="M455" s="26">
        <v>0.65</v>
      </c>
      <c r="N455" s="26">
        <v>0.28360000000000002</v>
      </c>
      <c r="O455" s="26">
        <v>0</v>
      </c>
      <c r="P455" s="26">
        <v>56</v>
      </c>
      <c r="Q455" s="34">
        <v>56</v>
      </c>
    </row>
    <row r="456" spans="1:17" x14ac:dyDescent="0.25">
      <c r="A456" s="32">
        <v>455</v>
      </c>
      <c r="B456" s="33">
        <v>40563</v>
      </c>
      <c r="C456" s="26">
        <v>1</v>
      </c>
      <c r="D456" s="26">
        <v>0</v>
      </c>
      <c r="E456" s="26">
        <v>1</v>
      </c>
      <c r="F456" s="26">
        <v>23</v>
      </c>
      <c r="G456" s="26" t="b">
        <v>0</v>
      </c>
      <c r="H456" s="26">
        <v>4</v>
      </c>
      <c r="I456" s="26">
        <v>2</v>
      </c>
      <c r="J456" s="26">
        <v>0.24</v>
      </c>
      <c r="K456" s="26">
        <v>455</v>
      </c>
      <c r="L456" s="26">
        <v>0.21210000000000001</v>
      </c>
      <c r="M456" s="26">
        <v>0.65</v>
      </c>
      <c r="N456" s="26">
        <v>0.32840000000000003</v>
      </c>
      <c r="O456" s="26">
        <v>3</v>
      </c>
      <c r="P456" s="26">
        <v>28</v>
      </c>
      <c r="Q456" s="34">
        <v>31</v>
      </c>
    </row>
    <row r="457" spans="1:17" x14ac:dyDescent="0.25">
      <c r="A457" s="32">
        <v>456</v>
      </c>
      <c r="B457" s="33">
        <v>40564</v>
      </c>
      <c r="C457" s="26">
        <v>1</v>
      </c>
      <c r="D457" s="26">
        <v>0</v>
      </c>
      <c r="E457" s="26">
        <v>1</v>
      </c>
      <c r="F457" s="26">
        <v>0</v>
      </c>
      <c r="G457" s="26" t="b">
        <v>0</v>
      </c>
      <c r="H457" s="26">
        <v>5</v>
      </c>
      <c r="I457" s="26">
        <v>2</v>
      </c>
      <c r="J457" s="26">
        <v>0.24</v>
      </c>
      <c r="K457" s="26">
        <v>456</v>
      </c>
      <c r="L457" s="26">
        <v>0.2273</v>
      </c>
      <c r="M457" s="26">
        <v>0.7</v>
      </c>
      <c r="N457" s="26">
        <v>0.25369999999999998</v>
      </c>
      <c r="O457" s="26">
        <v>1</v>
      </c>
      <c r="P457" s="26">
        <v>20</v>
      </c>
      <c r="Q457" s="34">
        <v>21</v>
      </c>
    </row>
    <row r="458" spans="1:17" x14ac:dyDescent="0.25">
      <c r="A458" s="32">
        <v>457</v>
      </c>
      <c r="B458" s="33">
        <v>40564</v>
      </c>
      <c r="C458" s="26">
        <v>1</v>
      </c>
      <c r="D458" s="26">
        <v>0</v>
      </c>
      <c r="E458" s="26">
        <v>1</v>
      </c>
      <c r="F458" s="26">
        <v>1</v>
      </c>
      <c r="G458" s="26" t="b">
        <v>0</v>
      </c>
      <c r="H458" s="26">
        <v>5</v>
      </c>
      <c r="I458" s="26">
        <v>2</v>
      </c>
      <c r="J458" s="26">
        <v>0.24</v>
      </c>
      <c r="K458" s="26">
        <v>457</v>
      </c>
      <c r="L458" s="26">
        <v>0.2273</v>
      </c>
      <c r="M458" s="26">
        <v>0.7</v>
      </c>
      <c r="N458" s="26">
        <v>0.25369999999999998</v>
      </c>
      <c r="O458" s="26">
        <v>0</v>
      </c>
      <c r="P458" s="26">
        <v>6</v>
      </c>
      <c r="Q458" s="34">
        <v>6</v>
      </c>
    </row>
    <row r="459" spans="1:17" x14ac:dyDescent="0.25">
      <c r="A459" s="32">
        <v>458</v>
      </c>
      <c r="B459" s="33">
        <v>40564</v>
      </c>
      <c r="C459" s="26">
        <v>1</v>
      </c>
      <c r="D459" s="26">
        <v>0</v>
      </c>
      <c r="E459" s="26">
        <v>1</v>
      </c>
      <c r="F459" s="26">
        <v>2</v>
      </c>
      <c r="G459" s="26" t="b">
        <v>0</v>
      </c>
      <c r="H459" s="26">
        <v>5</v>
      </c>
      <c r="I459" s="26">
        <v>3</v>
      </c>
      <c r="J459" s="26">
        <v>0.24</v>
      </c>
      <c r="K459" s="26">
        <v>458</v>
      </c>
      <c r="L459" s="26">
        <v>0.2424</v>
      </c>
      <c r="M459" s="26">
        <v>0.75</v>
      </c>
      <c r="N459" s="26">
        <v>0.16420000000000001</v>
      </c>
      <c r="O459" s="26">
        <v>0</v>
      </c>
      <c r="P459" s="26">
        <v>2</v>
      </c>
      <c r="Q459" s="34">
        <v>2</v>
      </c>
    </row>
    <row r="460" spans="1:17" x14ac:dyDescent="0.25">
      <c r="A460" s="32">
        <v>459</v>
      </c>
      <c r="B460" s="33">
        <v>40564</v>
      </c>
      <c r="C460" s="26">
        <v>1</v>
      </c>
      <c r="D460" s="26">
        <v>0</v>
      </c>
      <c r="E460" s="26">
        <v>1</v>
      </c>
      <c r="F460" s="26">
        <v>3</v>
      </c>
      <c r="G460" s="26" t="b">
        <v>0</v>
      </c>
      <c r="H460" s="26">
        <v>5</v>
      </c>
      <c r="I460" s="26">
        <v>3</v>
      </c>
      <c r="J460" s="26">
        <v>0.22</v>
      </c>
      <c r="K460" s="26">
        <v>459</v>
      </c>
      <c r="L460" s="26">
        <v>0.21210000000000001</v>
      </c>
      <c r="M460" s="26">
        <v>0.8</v>
      </c>
      <c r="N460" s="26">
        <v>0.29849999999999999</v>
      </c>
      <c r="O460" s="26">
        <v>0</v>
      </c>
      <c r="P460" s="26">
        <v>1</v>
      </c>
      <c r="Q460" s="34">
        <v>1</v>
      </c>
    </row>
    <row r="461" spans="1:17" x14ac:dyDescent="0.25">
      <c r="A461" s="32">
        <v>460</v>
      </c>
      <c r="B461" s="33">
        <v>40564</v>
      </c>
      <c r="C461" s="26">
        <v>1</v>
      </c>
      <c r="D461" s="26">
        <v>0</v>
      </c>
      <c r="E461" s="26">
        <v>1</v>
      </c>
      <c r="F461" s="26">
        <v>4</v>
      </c>
      <c r="G461" s="26" t="b">
        <v>0</v>
      </c>
      <c r="H461" s="26">
        <v>5</v>
      </c>
      <c r="I461" s="26">
        <v>2</v>
      </c>
      <c r="J461" s="26">
        <v>0.22</v>
      </c>
      <c r="K461" s="26">
        <v>460</v>
      </c>
      <c r="L461" s="26">
        <v>0.2576</v>
      </c>
      <c r="M461" s="26">
        <v>0.87</v>
      </c>
      <c r="N461" s="26">
        <v>8.9599999999999999E-2</v>
      </c>
      <c r="O461" s="26">
        <v>0</v>
      </c>
      <c r="P461" s="26">
        <v>1</v>
      </c>
      <c r="Q461" s="34">
        <v>1</v>
      </c>
    </row>
    <row r="462" spans="1:17" x14ac:dyDescent="0.25">
      <c r="A462" s="32">
        <v>461</v>
      </c>
      <c r="B462" s="33">
        <v>40564</v>
      </c>
      <c r="C462" s="26">
        <v>1</v>
      </c>
      <c r="D462" s="26">
        <v>0</v>
      </c>
      <c r="E462" s="26">
        <v>1</v>
      </c>
      <c r="F462" s="26">
        <v>5</v>
      </c>
      <c r="G462" s="26" t="b">
        <v>0</v>
      </c>
      <c r="H462" s="26">
        <v>5</v>
      </c>
      <c r="I462" s="26">
        <v>1</v>
      </c>
      <c r="J462" s="26">
        <v>0.24</v>
      </c>
      <c r="K462" s="26">
        <v>461</v>
      </c>
      <c r="L462" s="26">
        <v>0.19700000000000001</v>
      </c>
      <c r="M462" s="26">
        <v>0.6</v>
      </c>
      <c r="N462" s="26">
        <v>0.41789999999999999</v>
      </c>
      <c r="O462" s="26">
        <v>1</v>
      </c>
      <c r="P462" s="26">
        <v>4</v>
      </c>
      <c r="Q462" s="34">
        <v>5</v>
      </c>
    </row>
    <row r="463" spans="1:17" x14ac:dyDescent="0.25">
      <c r="A463" s="32">
        <v>462</v>
      </c>
      <c r="B463" s="33">
        <v>40564</v>
      </c>
      <c r="C463" s="26">
        <v>1</v>
      </c>
      <c r="D463" s="26">
        <v>0</v>
      </c>
      <c r="E463" s="26">
        <v>1</v>
      </c>
      <c r="F463" s="26">
        <v>6</v>
      </c>
      <c r="G463" s="26" t="b">
        <v>0</v>
      </c>
      <c r="H463" s="26">
        <v>5</v>
      </c>
      <c r="I463" s="26">
        <v>1</v>
      </c>
      <c r="J463" s="26">
        <v>0.22</v>
      </c>
      <c r="K463" s="26">
        <v>462</v>
      </c>
      <c r="L463" s="26">
        <v>0.21210000000000001</v>
      </c>
      <c r="M463" s="26">
        <v>0.55000000000000004</v>
      </c>
      <c r="N463" s="26">
        <v>0.25369999999999998</v>
      </c>
      <c r="O463" s="26">
        <v>0</v>
      </c>
      <c r="P463" s="26">
        <v>27</v>
      </c>
      <c r="Q463" s="34">
        <v>27</v>
      </c>
    </row>
    <row r="464" spans="1:17" x14ac:dyDescent="0.25">
      <c r="A464" s="32">
        <v>463</v>
      </c>
      <c r="B464" s="33">
        <v>40564</v>
      </c>
      <c r="C464" s="26">
        <v>1</v>
      </c>
      <c r="D464" s="26">
        <v>0</v>
      </c>
      <c r="E464" s="26">
        <v>1</v>
      </c>
      <c r="F464" s="26">
        <v>7</v>
      </c>
      <c r="G464" s="26" t="b">
        <v>0</v>
      </c>
      <c r="H464" s="26">
        <v>5</v>
      </c>
      <c r="I464" s="26">
        <v>1</v>
      </c>
      <c r="J464" s="26">
        <v>0.2</v>
      </c>
      <c r="K464" s="26">
        <v>463</v>
      </c>
      <c r="L464" s="26">
        <v>0.18179999999999999</v>
      </c>
      <c r="M464" s="26">
        <v>0.51</v>
      </c>
      <c r="N464" s="26">
        <v>0.28360000000000002</v>
      </c>
      <c r="O464" s="26">
        <v>2</v>
      </c>
      <c r="P464" s="26">
        <v>66</v>
      </c>
      <c r="Q464" s="34">
        <v>68</v>
      </c>
    </row>
    <row r="465" spans="1:17" x14ac:dyDescent="0.25">
      <c r="A465" s="32">
        <v>464</v>
      </c>
      <c r="B465" s="33">
        <v>40564</v>
      </c>
      <c r="C465" s="26">
        <v>1</v>
      </c>
      <c r="D465" s="26">
        <v>0</v>
      </c>
      <c r="E465" s="26">
        <v>1</v>
      </c>
      <c r="F465" s="26">
        <v>8</v>
      </c>
      <c r="G465" s="26" t="b">
        <v>0</v>
      </c>
      <c r="H465" s="26">
        <v>5</v>
      </c>
      <c r="I465" s="26">
        <v>1</v>
      </c>
      <c r="J465" s="26">
        <v>0.2</v>
      </c>
      <c r="K465" s="26">
        <v>464</v>
      </c>
      <c r="L465" s="26">
        <v>0.18179999999999999</v>
      </c>
      <c r="M465" s="26">
        <v>0.47</v>
      </c>
      <c r="N465" s="26">
        <v>0.32840000000000003</v>
      </c>
      <c r="O465" s="26">
        <v>7</v>
      </c>
      <c r="P465" s="26">
        <v>210</v>
      </c>
      <c r="Q465" s="34">
        <v>217</v>
      </c>
    </row>
    <row r="466" spans="1:17" x14ac:dyDescent="0.25">
      <c r="A466" s="32">
        <v>465</v>
      </c>
      <c r="B466" s="33">
        <v>40564</v>
      </c>
      <c r="C466" s="26">
        <v>1</v>
      </c>
      <c r="D466" s="26">
        <v>0</v>
      </c>
      <c r="E466" s="26">
        <v>1</v>
      </c>
      <c r="F466" s="26">
        <v>9</v>
      </c>
      <c r="G466" s="26" t="b">
        <v>0</v>
      </c>
      <c r="H466" s="26">
        <v>5</v>
      </c>
      <c r="I466" s="26">
        <v>1</v>
      </c>
      <c r="J466" s="26">
        <v>0.2</v>
      </c>
      <c r="K466" s="26">
        <v>465</v>
      </c>
      <c r="L466" s="26">
        <v>0.18179999999999999</v>
      </c>
      <c r="M466" s="26">
        <v>0.51</v>
      </c>
      <c r="N466" s="26">
        <v>0.35820000000000002</v>
      </c>
      <c r="O466" s="26">
        <v>7</v>
      </c>
      <c r="P466" s="26">
        <v>159</v>
      </c>
      <c r="Q466" s="34">
        <v>166</v>
      </c>
    </row>
    <row r="467" spans="1:17" x14ac:dyDescent="0.25">
      <c r="A467" s="32">
        <v>466</v>
      </c>
      <c r="B467" s="33">
        <v>40564</v>
      </c>
      <c r="C467" s="26">
        <v>1</v>
      </c>
      <c r="D467" s="26">
        <v>0</v>
      </c>
      <c r="E467" s="26">
        <v>1</v>
      </c>
      <c r="F467" s="26">
        <v>10</v>
      </c>
      <c r="G467" s="26" t="b">
        <v>0</v>
      </c>
      <c r="H467" s="26">
        <v>5</v>
      </c>
      <c r="I467" s="26">
        <v>1</v>
      </c>
      <c r="J467" s="26">
        <v>0.2</v>
      </c>
      <c r="K467" s="26">
        <v>466</v>
      </c>
      <c r="L467" s="26">
        <v>0.16669999999999999</v>
      </c>
      <c r="M467" s="26">
        <v>0.47</v>
      </c>
      <c r="N467" s="26">
        <v>0.4627</v>
      </c>
      <c r="O467" s="26">
        <v>6</v>
      </c>
      <c r="P467" s="26">
        <v>57</v>
      </c>
      <c r="Q467" s="34">
        <v>63</v>
      </c>
    </row>
    <row r="468" spans="1:17" x14ac:dyDescent="0.25">
      <c r="A468" s="32">
        <v>467</v>
      </c>
      <c r="B468" s="33">
        <v>40564</v>
      </c>
      <c r="C468" s="26">
        <v>1</v>
      </c>
      <c r="D468" s="26">
        <v>0</v>
      </c>
      <c r="E468" s="26">
        <v>1</v>
      </c>
      <c r="F468" s="26">
        <v>11</v>
      </c>
      <c r="G468" s="26" t="b">
        <v>0</v>
      </c>
      <c r="H468" s="26">
        <v>5</v>
      </c>
      <c r="I468" s="26">
        <v>1</v>
      </c>
      <c r="J468" s="26">
        <v>0.22</v>
      </c>
      <c r="K468" s="26">
        <v>467</v>
      </c>
      <c r="L468" s="26">
        <v>0.18179999999999999</v>
      </c>
      <c r="M468" s="26">
        <v>0.41</v>
      </c>
      <c r="N468" s="26">
        <v>0.4627</v>
      </c>
      <c r="O468" s="26">
        <v>6</v>
      </c>
      <c r="P468" s="26">
        <v>53</v>
      </c>
      <c r="Q468" s="34">
        <v>59</v>
      </c>
    </row>
    <row r="469" spans="1:17" x14ac:dyDescent="0.25">
      <c r="A469" s="32">
        <v>468</v>
      </c>
      <c r="B469" s="33">
        <v>40564</v>
      </c>
      <c r="C469" s="26">
        <v>1</v>
      </c>
      <c r="D469" s="26">
        <v>0</v>
      </c>
      <c r="E469" s="26">
        <v>1</v>
      </c>
      <c r="F469" s="26">
        <v>12</v>
      </c>
      <c r="G469" s="26" t="b">
        <v>0</v>
      </c>
      <c r="H469" s="26">
        <v>5</v>
      </c>
      <c r="I469" s="26">
        <v>1</v>
      </c>
      <c r="J469" s="26">
        <v>0.22</v>
      </c>
      <c r="K469" s="26">
        <v>468</v>
      </c>
      <c r="L469" s="26">
        <v>0.18179999999999999</v>
      </c>
      <c r="M469" s="26">
        <v>0.27</v>
      </c>
      <c r="N469" s="26">
        <v>0.58209999999999995</v>
      </c>
      <c r="O469" s="26">
        <v>11</v>
      </c>
      <c r="P469" s="26">
        <v>67</v>
      </c>
      <c r="Q469" s="34">
        <v>78</v>
      </c>
    </row>
    <row r="470" spans="1:17" x14ac:dyDescent="0.25">
      <c r="A470" s="32">
        <v>469</v>
      </c>
      <c r="B470" s="33">
        <v>40564</v>
      </c>
      <c r="C470" s="26">
        <v>1</v>
      </c>
      <c r="D470" s="26">
        <v>0</v>
      </c>
      <c r="E470" s="26">
        <v>1</v>
      </c>
      <c r="F470" s="26">
        <v>13</v>
      </c>
      <c r="G470" s="26" t="b">
        <v>0</v>
      </c>
      <c r="H470" s="26">
        <v>5</v>
      </c>
      <c r="I470" s="26">
        <v>1</v>
      </c>
      <c r="J470" s="26">
        <v>0.2</v>
      </c>
      <c r="K470" s="26">
        <v>469</v>
      </c>
      <c r="L470" s="26">
        <v>0.1515</v>
      </c>
      <c r="M470" s="26">
        <v>0.21</v>
      </c>
      <c r="N470" s="26">
        <v>0.58209999999999995</v>
      </c>
      <c r="O470" s="26">
        <v>8</v>
      </c>
      <c r="P470" s="26">
        <v>65</v>
      </c>
      <c r="Q470" s="34">
        <v>73</v>
      </c>
    </row>
    <row r="471" spans="1:17" x14ac:dyDescent="0.25">
      <c r="A471" s="32">
        <v>470</v>
      </c>
      <c r="B471" s="33">
        <v>40564</v>
      </c>
      <c r="C471" s="26">
        <v>1</v>
      </c>
      <c r="D471" s="26">
        <v>0</v>
      </c>
      <c r="E471" s="26">
        <v>1</v>
      </c>
      <c r="F471" s="26">
        <v>14</v>
      </c>
      <c r="G471" s="26" t="b">
        <v>0</v>
      </c>
      <c r="H471" s="26">
        <v>5</v>
      </c>
      <c r="I471" s="26">
        <v>1</v>
      </c>
      <c r="J471" s="26">
        <v>0.2</v>
      </c>
      <c r="K471" s="26">
        <v>470</v>
      </c>
      <c r="L471" s="26">
        <v>0.1515</v>
      </c>
      <c r="M471" s="26">
        <v>0.25</v>
      </c>
      <c r="N471" s="26">
        <v>0.52239999999999998</v>
      </c>
      <c r="O471" s="26">
        <v>6</v>
      </c>
      <c r="P471" s="26">
        <v>56</v>
      </c>
      <c r="Q471" s="34">
        <v>62</v>
      </c>
    </row>
    <row r="472" spans="1:17" x14ac:dyDescent="0.25">
      <c r="A472" s="32">
        <v>471</v>
      </c>
      <c r="B472" s="33">
        <v>40564</v>
      </c>
      <c r="C472" s="26">
        <v>1</v>
      </c>
      <c r="D472" s="26">
        <v>0</v>
      </c>
      <c r="E472" s="26">
        <v>1</v>
      </c>
      <c r="F472" s="26">
        <v>15</v>
      </c>
      <c r="G472" s="26" t="b">
        <v>0</v>
      </c>
      <c r="H472" s="26">
        <v>5</v>
      </c>
      <c r="I472" s="26">
        <v>1</v>
      </c>
      <c r="J472" s="26">
        <v>0.16</v>
      </c>
      <c r="K472" s="26">
        <v>471</v>
      </c>
      <c r="L472" s="26">
        <v>0.1212</v>
      </c>
      <c r="M472" s="26">
        <v>0.26</v>
      </c>
      <c r="N472" s="26">
        <v>0.44779999999999998</v>
      </c>
      <c r="O472" s="26">
        <v>4</v>
      </c>
      <c r="P472" s="26">
        <v>61</v>
      </c>
      <c r="Q472" s="34">
        <v>65</v>
      </c>
    </row>
    <row r="473" spans="1:17" x14ac:dyDescent="0.25">
      <c r="A473" s="32">
        <v>472</v>
      </c>
      <c r="B473" s="33">
        <v>40564</v>
      </c>
      <c r="C473" s="26">
        <v>1</v>
      </c>
      <c r="D473" s="26">
        <v>0</v>
      </c>
      <c r="E473" s="26">
        <v>1</v>
      </c>
      <c r="F473" s="26">
        <v>16</v>
      </c>
      <c r="G473" s="26" t="b">
        <v>0</v>
      </c>
      <c r="H473" s="26">
        <v>5</v>
      </c>
      <c r="I473" s="26">
        <v>1</v>
      </c>
      <c r="J473" s="26">
        <v>0.16</v>
      </c>
      <c r="K473" s="26">
        <v>472</v>
      </c>
      <c r="L473" s="26">
        <v>0.13639999999999999</v>
      </c>
      <c r="M473" s="26">
        <v>0.26</v>
      </c>
      <c r="N473" s="26">
        <v>0.35820000000000002</v>
      </c>
      <c r="O473" s="26">
        <v>0</v>
      </c>
      <c r="P473" s="26">
        <v>97</v>
      </c>
      <c r="Q473" s="34">
        <v>97</v>
      </c>
    </row>
    <row r="474" spans="1:17" x14ac:dyDescent="0.25">
      <c r="A474" s="32">
        <v>473</v>
      </c>
      <c r="B474" s="33">
        <v>40564</v>
      </c>
      <c r="C474" s="26">
        <v>1</v>
      </c>
      <c r="D474" s="26">
        <v>0</v>
      </c>
      <c r="E474" s="26">
        <v>1</v>
      </c>
      <c r="F474" s="26">
        <v>17</v>
      </c>
      <c r="G474" s="26" t="b">
        <v>0</v>
      </c>
      <c r="H474" s="26">
        <v>5</v>
      </c>
      <c r="I474" s="26">
        <v>1</v>
      </c>
      <c r="J474" s="26">
        <v>0.14000000000000001</v>
      </c>
      <c r="K474" s="26">
        <v>473</v>
      </c>
      <c r="L474" s="26">
        <v>0.1212</v>
      </c>
      <c r="M474" s="26">
        <v>0.28000000000000003</v>
      </c>
      <c r="N474" s="26">
        <v>0.35820000000000002</v>
      </c>
      <c r="O474" s="26">
        <v>10</v>
      </c>
      <c r="P474" s="26">
        <v>151</v>
      </c>
      <c r="Q474" s="34">
        <v>161</v>
      </c>
    </row>
    <row r="475" spans="1:17" x14ac:dyDescent="0.25">
      <c r="A475" s="32">
        <v>474</v>
      </c>
      <c r="B475" s="33">
        <v>40564</v>
      </c>
      <c r="C475" s="26">
        <v>1</v>
      </c>
      <c r="D475" s="26">
        <v>0</v>
      </c>
      <c r="E475" s="26">
        <v>1</v>
      </c>
      <c r="F475" s="26">
        <v>18</v>
      </c>
      <c r="G475" s="26" t="b">
        <v>0</v>
      </c>
      <c r="H475" s="26">
        <v>5</v>
      </c>
      <c r="I475" s="26">
        <v>1</v>
      </c>
      <c r="J475" s="26">
        <v>0.12</v>
      </c>
      <c r="K475" s="26">
        <v>474</v>
      </c>
      <c r="L475" s="26">
        <v>0.1212</v>
      </c>
      <c r="M475" s="26">
        <v>0.3</v>
      </c>
      <c r="N475" s="26">
        <v>0.25369999999999998</v>
      </c>
      <c r="O475" s="26">
        <v>1</v>
      </c>
      <c r="P475" s="26">
        <v>119</v>
      </c>
      <c r="Q475" s="34">
        <v>120</v>
      </c>
    </row>
    <row r="476" spans="1:17" x14ac:dyDescent="0.25">
      <c r="A476" s="32">
        <v>475</v>
      </c>
      <c r="B476" s="33">
        <v>40564</v>
      </c>
      <c r="C476" s="26">
        <v>1</v>
      </c>
      <c r="D476" s="26">
        <v>0</v>
      </c>
      <c r="E476" s="26">
        <v>1</v>
      </c>
      <c r="F476" s="26">
        <v>19</v>
      </c>
      <c r="G476" s="26" t="b">
        <v>0</v>
      </c>
      <c r="H476" s="26">
        <v>5</v>
      </c>
      <c r="I476" s="26">
        <v>1</v>
      </c>
      <c r="J476" s="26">
        <v>0.12</v>
      </c>
      <c r="K476" s="26">
        <v>475</v>
      </c>
      <c r="L476" s="26">
        <v>0.1061</v>
      </c>
      <c r="M476" s="26">
        <v>0.3</v>
      </c>
      <c r="N476" s="26">
        <v>0.32840000000000003</v>
      </c>
      <c r="O476" s="26">
        <v>3</v>
      </c>
      <c r="P476" s="26">
        <v>93</v>
      </c>
      <c r="Q476" s="34">
        <v>96</v>
      </c>
    </row>
    <row r="477" spans="1:17" x14ac:dyDescent="0.25">
      <c r="A477" s="32">
        <v>476</v>
      </c>
      <c r="B477" s="33">
        <v>40564</v>
      </c>
      <c r="C477" s="26">
        <v>1</v>
      </c>
      <c r="D477" s="26">
        <v>0</v>
      </c>
      <c r="E477" s="26">
        <v>1</v>
      </c>
      <c r="F477" s="26">
        <v>20</v>
      </c>
      <c r="G477" s="26" t="b">
        <v>0</v>
      </c>
      <c r="H477" s="26">
        <v>5</v>
      </c>
      <c r="I477" s="26">
        <v>1</v>
      </c>
      <c r="J477" s="26">
        <v>0.1</v>
      </c>
      <c r="K477" s="26">
        <v>476</v>
      </c>
      <c r="L477" s="26">
        <v>7.5800000000000006E-2</v>
      </c>
      <c r="M477" s="26">
        <v>0.33</v>
      </c>
      <c r="N477" s="26">
        <v>0.41789999999999999</v>
      </c>
      <c r="O477" s="26">
        <v>1</v>
      </c>
      <c r="P477" s="26">
        <v>52</v>
      </c>
      <c r="Q477" s="34">
        <v>53</v>
      </c>
    </row>
    <row r="478" spans="1:17" x14ac:dyDescent="0.25">
      <c r="A478" s="32">
        <v>477</v>
      </c>
      <c r="B478" s="33">
        <v>40564</v>
      </c>
      <c r="C478" s="26">
        <v>1</v>
      </c>
      <c r="D478" s="26">
        <v>0</v>
      </c>
      <c r="E478" s="26">
        <v>1</v>
      </c>
      <c r="F478" s="26">
        <v>21</v>
      </c>
      <c r="G478" s="26" t="b">
        <v>0</v>
      </c>
      <c r="H478" s="26">
        <v>5</v>
      </c>
      <c r="I478" s="26">
        <v>1</v>
      </c>
      <c r="J478" s="26">
        <v>0.08</v>
      </c>
      <c r="K478" s="26">
        <v>477</v>
      </c>
      <c r="L478" s="26">
        <v>7.5800000000000006E-2</v>
      </c>
      <c r="M478" s="26">
        <v>0.38</v>
      </c>
      <c r="N478" s="26">
        <v>0.28360000000000002</v>
      </c>
      <c r="O478" s="26">
        <v>0</v>
      </c>
      <c r="P478" s="26">
        <v>41</v>
      </c>
      <c r="Q478" s="34">
        <v>41</v>
      </c>
    </row>
    <row r="479" spans="1:17" x14ac:dyDescent="0.25">
      <c r="A479" s="32">
        <v>478</v>
      </c>
      <c r="B479" s="33">
        <v>40564</v>
      </c>
      <c r="C479" s="26">
        <v>1</v>
      </c>
      <c r="D479" s="26">
        <v>0</v>
      </c>
      <c r="E479" s="26">
        <v>1</v>
      </c>
      <c r="F479" s="26">
        <v>22</v>
      </c>
      <c r="G479" s="26" t="b">
        <v>0</v>
      </c>
      <c r="H479" s="26">
        <v>5</v>
      </c>
      <c r="I479" s="26">
        <v>1</v>
      </c>
      <c r="J479" s="26">
        <v>0.06</v>
      </c>
      <c r="K479" s="26">
        <v>478</v>
      </c>
      <c r="L479" s="26">
        <v>3.0300000000000001E-2</v>
      </c>
      <c r="M479" s="26">
        <v>0.41</v>
      </c>
      <c r="N479" s="26">
        <v>0.3881</v>
      </c>
      <c r="O479" s="26">
        <v>1</v>
      </c>
      <c r="P479" s="26">
        <v>33</v>
      </c>
      <c r="Q479" s="34">
        <v>34</v>
      </c>
    </row>
    <row r="480" spans="1:17" x14ac:dyDescent="0.25">
      <c r="A480" s="32">
        <v>479</v>
      </c>
      <c r="B480" s="33">
        <v>40564</v>
      </c>
      <c r="C480" s="26">
        <v>1</v>
      </c>
      <c r="D480" s="26">
        <v>0</v>
      </c>
      <c r="E480" s="26">
        <v>1</v>
      </c>
      <c r="F480" s="26">
        <v>23</v>
      </c>
      <c r="G480" s="26" t="b">
        <v>0</v>
      </c>
      <c r="H480" s="26">
        <v>5</v>
      </c>
      <c r="I480" s="26">
        <v>1</v>
      </c>
      <c r="J480" s="26">
        <v>0.06</v>
      </c>
      <c r="K480" s="26">
        <v>479</v>
      </c>
      <c r="L480" s="26">
        <v>4.5499999999999999E-2</v>
      </c>
      <c r="M480" s="26">
        <v>0.38</v>
      </c>
      <c r="N480" s="26">
        <v>0.32840000000000003</v>
      </c>
      <c r="O480" s="26">
        <v>0</v>
      </c>
      <c r="P480" s="26">
        <v>27</v>
      </c>
      <c r="Q480" s="34">
        <v>27</v>
      </c>
    </row>
    <row r="481" spans="1:17" x14ac:dyDescent="0.25">
      <c r="A481" s="32">
        <v>480</v>
      </c>
      <c r="B481" s="33">
        <v>40565</v>
      </c>
      <c r="C481" s="26">
        <v>1</v>
      </c>
      <c r="D481" s="26">
        <v>0</v>
      </c>
      <c r="E481" s="26">
        <v>1</v>
      </c>
      <c r="F481" s="26">
        <v>0</v>
      </c>
      <c r="G481" s="26" t="b">
        <v>0</v>
      </c>
      <c r="H481" s="26">
        <v>6</v>
      </c>
      <c r="I481" s="26">
        <v>1</v>
      </c>
      <c r="J481" s="26">
        <v>0.04</v>
      </c>
      <c r="K481" s="26">
        <v>480</v>
      </c>
      <c r="L481" s="26">
        <v>3.0300000000000001E-2</v>
      </c>
      <c r="M481" s="26">
        <v>0.45</v>
      </c>
      <c r="N481" s="26">
        <v>0.25369999999999998</v>
      </c>
      <c r="O481" s="26">
        <v>0</v>
      </c>
      <c r="P481" s="26">
        <v>13</v>
      </c>
      <c r="Q481" s="34">
        <v>13</v>
      </c>
    </row>
    <row r="482" spans="1:17" x14ac:dyDescent="0.25">
      <c r="A482" s="32">
        <v>481</v>
      </c>
      <c r="B482" s="33">
        <v>40565</v>
      </c>
      <c r="C482" s="26">
        <v>1</v>
      </c>
      <c r="D482" s="26">
        <v>0</v>
      </c>
      <c r="E482" s="26">
        <v>1</v>
      </c>
      <c r="F482" s="26">
        <v>1</v>
      </c>
      <c r="G482" s="26" t="b">
        <v>0</v>
      </c>
      <c r="H482" s="26">
        <v>6</v>
      </c>
      <c r="I482" s="26">
        <v>2</v>
      </c>
      <c r="J482" s="26">
        <v>0.04</v>
      </c>
      <c r="K482" s="26">
        <v>481</v>
      </c>
      <c r="L482" s="26">
        <v>0</v>
      </c>
      <c r="M482" s="26">
        <v>0.41</v>
      </c>
      <c r="N482" s="26">
        <v>0.3881</v>
      </c>
      <c r="O482" s="26">
        <v>3</v>
      </c>
      <c r="P482" s="26">
        <v>9</v>
      </c>
      <c r="Q482" s="34">
        <v>12</v>
      </c>
    </row>
    <row r="483" spans="1:17" x14ac:dyDescent="0.25">
      <c r="A483" s="32">
        <v>482</v>
      </c>
      <c r="B483" s="33">
        <v>40565</v>
      </c>
      <c r="C483" s="26">
        <v>1</v>
      </c>
      <c r="D483" s="26">
        <v>0</v>
      </c>
      <c r="E483" s="26">
        <v>1</v>
      </c>
      <c r="F483" s="26">
        <v>2</v>
      </c>
      <c r="G483" s="26" t="b">
        <v>0</v>
      </c>
      <c r="H483" s="26">
        <v>6</v>
      </c>
      <c r="I483" s="26">
        <v>2</v>
      </c>
      <c r="J483" s="26">
        <v>0.04</v>
      </c>
      <c r="K483" s="26">
        <v>482</v>
      </c>
      <c r="L483" s="26">
        <v>3.0300000000000001E-2</v>
      </c>
      <c r="M483" s="26">
        <v>0.41</v>
      </c>
      <c r="N483" s="26">
        <v>0.25369999999999998</v>
      </c>
      <c r="O483" s="26">
        <v>0</v>
      </c>
      <c r="P483" s="26">
        <v>11</v>
      </c>
      <c r="Q483" s="34">
        <v>11</v>
      </c>
    </row>
    <row r="484" spans="1:17" x14ac:dyDescent="0.25">
      <c r="A484" s="32">
        <v>483</v>
      </c>
      <c r="B484" s="33">
        <v>40565</v>
      </c>
      <c r="C484" s="26">
        <v>1</v>
      </c>
      <c r="D484" s="26">
        <v>0</v>
      </c>
      <c r="E484" s="26">
        <v>1</v>
      </c>
      <c r="F484" s="26">
        <v>3</v>
      </c>
      <c r="G484" s="26" t="b">
        <v>0</v>
      </c>
      <c r="H484" s="26">
        <v>6</v>
      </c>
      <c r="I484" s="26">
        <v>2</v>
      </c>
      <c r="J484" s="26">
        <v>0.04</v>
      </c>
      <c r="K484" s="26">
        <v>483</v>
      </c>
      <c r="L484" s="26">
        <v>3.0300000000000001E-2</v>
      </c>
      <c r="M484" s="26">
        <v>0.41</v>
      </c>
      <c r="N484" s="26">
        <v>0.28360000000000002</v>
      </c>
      <c r="O484" s="26">
        <v>1</v>
      </c>
      <c r="P484" s="26">
        <v>6</v>
      </c>
      <c r="Q484" s="34">
        <v>7</v>
      </c>
    </row>
    <row r="485" spans="1:17" x14ac:dyDescent="0.25">
      <c r="A485" s="32">
        <v>484</v>
      </c>
      <c r="B485" s="33">
        <v>40565</v>
      </c>
      <c r="C485" s="26">
        <v>1</v>
      </c>
      <c r="D485" s="26">
        <v>0</v>
      </c>
      <c r="E485" s="26">
        <v>1</v>
      </c>
      <c r="F485" s="26">
        <v>4</v>
      </c>
      <c r="G485" s="26" t="b">
        <v>0</v>
      </c>
      <c r="H485" s="26">
        <v>6</v>
      </c>
      <c r="I485" s="26">
        <v>2</v>
      </c>
      <c r="J485" s="26">
        <v>0.02</v>
      </c>
      <c r="K485" s="26">
        <v>484</v>
      </c>
      <c r="L485" s="26">
        <v>1.52E-2</v>
      </c>
      <c r="M485" s="26">
        <v>0.48</v>
      </c>
      <c r="N485" s="26">
        <v>0.29849999999999999</v>
      </c>
      <c r="O485" s="26">
        <v>0</v>
      </c>
      <c r="P485" s="26">
        <v>3</v>
      </c>
      <c r="Q485" s="34">
        <v>3</v>
      </c>
    </row>
    <row r="486" spans="1:17" x14ac:dyDescent="0.25">
      <c r="A486" s="32">
        <v>485</v>
      </c>
      <c r="B486" s="33">
        <v>40565</v>
      </c>
      <c r="C486" s="26">
        <v>1</v>
      </c>
      <c r="D486" s="26">
        <v>0</v>
      </c>
      <c r="E486" s="26">
        <v>1</v>
      </c>
      <c r="F486" s="26">
        <v>6</v>
      </c>
      <c r="G486" s="26" t="b">
        <v>0</v>
      </c>
      <c r="H486" s="26">
        <v>6</v>
      </c>
      <c r="I486" s="26">
        <v>2</v>
      </c>
      <c r="J486" s="26">
        <v>0.02</v>
      </c>
      <c r="K486" s="26">
        <v>485</v>
      </c>
      <c r="L486" s="26">
        <v>3.0300000000000001E-2</v>
      </c>
      <c r="M486" s="26">
        <v>0.44</v>
      </c>
      <c r="N486" s="26">
        <v>0.22389999999999999</v>
      </c>
      <c r="O486" s="26">
        <v>0</v>
      </c>
      <c r="P486" s="26">
        <v>2</v>
      </c>
      <c r="Q486" s="34">
        <v>2</v>
      </c>
    </row>
    <row r="487" spans="1:17" x14ac:dyDescent="0.25">
      <c r="A487" s="32">
        <v>486</v>
      </c>
      <c r="B487" s="33">
        <v>40565</v>
      </c>
      <c r="C487" s="26">
        <v>1</v>
      </c>
      <c r="D487" s="26">
        <v>0</v>
      </c>
      <c r="E487" s="26">
        <v>1</v>
      </c>
      <c r="F487" s="26">
        <v>7</v>
      </c>
      <c r="G487" s="26" t="b">
        <v>0</v>
      </c>
      <c r="H487" s="26">
        <v>6</v>
      </c>
      <c r="I487" s="26">
        <v>1</v>
      </c>
      <c r="J487" s="26">
        <v>0.02</v>
      </c>
      <c r="K487" s="26">
        <v>486</v>
      </c>
      <c r="L487" s="26">
        <v>1.52E-2</v>
      </c>
      <c r="M487" s="26">
        <v>0.44</v>
      </c>
      <c r="N487" s="26">
        <v>0.28360000000000002</v>
      </c>
      <c r="O487" s="26">
        <v>0</v>
      </c>
      <c r="P487" s="26">
        <v>8</v>
      </c>
      <c r="Q487" s="34">
        <v>8</v>
      </c>
    </row>
    <row r="488" spans="1:17" x14ac:dyDescent="0.25">
      <c r="A488" s="32">
        <v>487</v>
      </c>
      <c r="B488" s="33">
        <v>40565</v>
      </c>
      <c r="C488" s="26">
        <v>1</v>
      </c>
      <c r="D488" s="26">
        <v>0</v>
      </c>
      <c r="E488" s="26">
        <v>1</v>
      </c>
      <c r="F488" s="26">
        <v>8</v>
      </c>
      <c r="G488" s="26" t="b">
        <v>0</v>
      </c>
      <c r="H488" s="26">
        <v>6</v>
      </c>
      <c r="I488" s="26">
        <v>1</v>
      </c>
      <c r="J488" s="26">
        <v>0.02</v>
      </c>
      <c r="K488" s="26">
        <v>487</v>
      </c>
      <c r="L488" s="26">
        <v>0</v>
      </c>
      <c r="M488" s="26">
        <v>0.44</v>
      </c>
      <c r="N488" s="26">
        <v>0.32840000000000003</v>
      </c>
      <c r="O488" s="26">
        <v>1</v>
      </c>
      <c r="P488" s="26">
        <v>26</v>
      </c>
      <c r="Q488" s="34">
        <v>27</v>
      </c>
    </row>
    <row r="489" spans="1:17" x14ac:dyDescent="0.25">
      <c r="A489" s="32">
        <v>488</v>
      </c>
      <c r="B489" s="33">
        <v>40565</v>
      </c>
      <c r="C489" s="26">
        <v>1</v>
      </c>
      <c r="D489" s="26">
        <v>0</v>
      </c>
      <c r="E489" s="26">
        <v>1</v>
      </c>
      <c r="F489" s="26">
        <v>9</v>
      </c>
      <c r="G489" s="26" t="b">
        <v>0</v>
      </c>
      <c r="H489" s="26">
        <v>6</v>
      </c>
      <c r="I489" s="26">
        <v>1</v>
      </c>
      <c r="J489" s="26">
        <v>0.04</v>
      </c>
      <c r="K489" s="26">
        <v>488</v>
      </c>
      <c r="L489" s="26">
        <v>3.0300000000000001E-2</v>
      </c>
      <c r="M489" s="26">
        <v>0.41</v>
      </c>
      <c r="N489" s="26">
        <v>0.25369999999999998</v>
      </c>
      <c r="O489" s="26">
        <v>3</v>
      </c>
      <c r="P489" s="26">
        <v>37</v>
      </c>
      <c r="Q489" s="34">
        <v>40</v>
      </c>
    </row>
    <row r="490" spans="1:17" x14ac:dyDescent="0.25">
      <c r="A490" s="32">
        <v>489</v>
      </c>
      <c r="B490" s="33">
        <v>40565</v>
      </c>
      <c r="C490" s="26">
        <v>1</v>
      </c>
      <c r="D490" s="26">
        <v>0</v>
      </c>
      <c r="E490" s="26">
        <v>1</v>
      </c>
      <c r="F490" s="26">
        <v>10</v>
      </c>
      <c r="G490" s="26" t="b">
        <v>0</v>
      </c>
      <c r="H490" s="26">
        <v>6</v>
      </c>
      <c r="I490" s="26">
        <v>2</v>
      </c>
      <c r="J490" s="26">
        <v>0.04</v>
      </c>
      <c r="K490" s="26">
        <v>489</v>
      </c>
      <c r="L490" s="26">
        <v>6.0600000000000001E-2</v>
      </c>
      <c r="M490" s="26">
        <v>0.41</v>
      </c>
      <c r="N490" s="26">
        <v>0.16420000000000001</v>
      </c>
      <c r="O490" s="26">
        <v>3</v>
      </c>
      <c r="P490" s="26">
        <v>50</v>
      </c>
      <c r="Q490" s="34">
        <v>53</v>
      </c>
    </row>
    <row r="491" spans="1:17" x14ac:dyDescent="0.25">
      <c r="A491" s="32">
        <v>490</v>
      </c>
      <c r="B491" s="33">
        <v>40565</v>
      </c>
      <c r="C491" s="26">
        <v>1</v>
      </c>
      <c r="D491" s="26">
        <v>0</v>
      </c>
      <c r="E491" s="26">
        <v>1</v>
      </c>
      <c r="F491" s="26">
        <v>11</v>
      </c>
      <c r="G491" s="26" t="b">
        <v>0</v>
      </c>
      <c r="H491" s="26">
        <v>6</v>
      </c>
      <c r="I491" s="26">
        <v>2</v>
      </c>
      <c r="J491" s="26">
        <v>0.06</v>
      </c>
      <c r="K491" s="26">
        <v>490</v>
      </c>
      <c r="L491" s="26">
        <v>7.5800000000000006E-2</v>
      </c>
      <c r="M491" s="26">
        <v>0.38</v>
      </c>
      <c r="N491" s="26">
        <v>0.1343</v>
      </c>
      <c r="O491" s="26">
        <v>4</v>
      </c>
      <c r="P491" s="26">
        <v>59</v>
      </c>
      <c r="Q491" s="34">
        <v>63</v>
      </c>
    </row>
    <row r="492" spans="1:17" x14ac:dyDescent="0.25">
      <c r="A492" s="32">
        <v>491</v>
      </c>
      <c r="B492" s="33">
        <v>40565</v>
      </c>
      <c r="C492" s="26">
        <v>1</v>
      </c>
      <c r="D492" s="26">
        <v>0</v>
      </c>
      <c r="E492" s="26">
        <v>1</v>
      </c>
      <c r="F492" s="26">
        <v>12</v>
      </c>
      <c r="G492" s="26" t="b">
        <v>0</v>
      </c>
      <c r="H492" s="26">
        <v>6</v>
      </c>
      <c r="I492" s="26">
        <v>2</v>
      </c>
      <c r="J492" s="26">
        <v>0.06</v>
      </c>
      <c r="K492" s="26">
        <v>491</v>
      </c>
      <c r="L492" s="26">
        <v>0.1061</v>
      </c>
      <c r="M492" s="26">
        <v>0.38</v>
      </c>
      <c r="N492" s="26">
        <v>0.1045</v>
      </c>
      <c r="O492" s="26">
        <v>10</v>
      </c>
      <c r="P492" s="26">
        <v>60</v>
      </c>
      <c r="Q492" s="34">
        <v>70</v>
      </c>
    </row>
    <row r="493" spans="1:17" x14ac:dyDescent="0.25">
      <c r="A493" s="32">
        <v>492</v>
      </c>
      <c r="B493" s="33">
        <v>40565</v>
      </c>
      <c r="C493" s="26">
        <v>1</v>
      </c>
      <c r="D493" s="26">
        <v>0</v>
      </c>
      <c r="E493" s="26">
        <v>1</v>
      </c>
      <c r="F493" s="26">
        <v>13</v>
      </c>
      <c r="G493" s="26" t="b">
        <v>0</v>
      </c>
      <c r="H493" s="26">
        <v>6</v>
      </c>
      <c r="I493" s="26">
        <v>1</v>
      </c>
      <c r="J493" s="26">
        <v>0.08</v>
      </c>
      <c r="K493" s="26">
        <v>492</v>
      </c>
      <c r="L493" s="26">
        <v>0.16669999999999999</v>
      </c>
      <c r="M493" s="26">
        <v>0.35</v>
      </c>
      <c r="N493" s="26">
        <v>0</v>
      </c>
      <c r="O493" s="26">
        <v>12</v>
      </c>
      <c r="P493" s="26">
        <v>72</v>
      </c>
      <c r="Q493" s="34">
        <v>84</v>
      </c>
    </row>
    <row r="494" spans="1:17" x14ac:dyDescent="0.25">
      <c r="A494" s="32">
        <v>493</v>
      </c>
      <c r="B494" s="33">
        <v>40565</v>
      </c>
      <c r="C494" s="26">
        <v>1</v>
      </c>
      <c r="D494" s="26">
        <v>0</v>
      </c>
      <c r="E494" s="26">
        <v>1</v>
      </c>
      <c r="F494" s="26">
        <v>14</v>
      </c>
      <c r="G494" s="26" t="b">
        <v>0</v>
      </c>
      <c r="H494" s="26">
        <v>6</v>
      </c>
      <c r="I494" s="26">
        <v>1</v>
      </c>
      <c r="J494" s="26">
        <v>0.1</v>
      </c>
      <c r="K494" s="26">
        <v>493</v>
      </c>
      <c r="L494" s="26">
        <v>0.13639999999999999</v>
      </c>
      <c r="M494" s="26">
        <v>0.33</v>
      </c>
      <c r="N494" s="26">
        <v>0.1045</v>
      </c>
      <c r="O494" s="26">
        <v>11</v>
      </c>
      <c r="P494" s="26">
        <v>64</v>
      </c>
      <c r="Q494" s="34">
        <v>75</v>
      </c>
    </row>
    <row r="495" spans="1:17" x14ac:dyDescent="0.25">
      <c r="A495" s="32">
        <v>494</v>
      </c>
      <c r="B495" s="33">
        <v>40565</v>
      </c>
      <c r="C495" s="26">
        <v>1</v>
      </c>
      <c r="D495" s="26">
        <v>0</v>
      </c>
      <c r="E495" s="26">
        <v>1</v>
      </c>
      <c r="F495" s="26">
        <v>15</v>
      </c>
      <c r="G495" s="26" t="b">
        <v>0</v>
      </c>
      <c r="H495" s="26">
        <v>6</v>
      </c>
      <c r="I495" s="26">
        <v>1</v>
      </c>
      <c r="J495" s="26">
        <v>0.12</v>
      </c>
      <c r="K495" s="26">
        <v>494</v>
      </c>
      <c r="L495" s="26">
        <v>0.1515</v>
      </c>
      <c r="M495" s="26">
        <v>0.28000000000000003</v>
      </c>
      <c r="N495" s="26">
        <v>0</v>
      </c>
      <c r="O495" s="26">
        <v>10</v>
      </c>
      <c r="P495" s="26">
        <v>93</v>
      </c>
      <c r="Q495" s="34">
        <v>103</v>
      </c>
    </row>
    <row r="496" spans="1:17" x14ac:dyDescent="0.25">
      <c r="A496" s="32">
        <v>495</v>
      </c>
      <c r="B496" s="33">
        <v>40565</v>
      </c>
      <c r="C496" s="26">
        <v>1</v>
      </c>
      <c r="D496" s="26">
        <v>0</v>
      </c>
      <c r="E496" s="26">
        <v>1</v>
      </c>
      <c r="F496" s="26">
        <v>16</v>
      </c>
      <c r="G496" s="26" t="b">
        <v>0</v>
      </c>
      <c r="H496" s="26">
        <v>6</v>
      </c>
      <c r="I496" s="26">
        <v>1</v>
      </c>
      <c r="J496" s="26">
        <v>0.12</v>
      </c>
      <c r="K496" s="26">
        <v>495</v>
      </c>
      <c r="L496" s="26">
        <v>0.13639999999999999</v>
      </c>
      <c r="M496" s="26">
        <v>0.28000000000000003</v>
      </c>
      <c r="N496" s="26">
        <v>0.19400000000000001</v>
      </c>
      <c r="O496" s="26">
        <v>11</v>
      </c>
      <c r="P496" s="26">
        <v>72</v>
      </c>
      <c r="Q496" s="34">
        <v>83</v>
      </c>
    </row>
    <row r="497" spans="1:17" x14ac:dyDescent="0.25">
      <c r="A497" s="32">
        <v>496</v>
      </c>
      <c r="B497" s="33">
        <v>40565</v>
      </c>
      <c r="C497" s="26">
        <v>1</v>
      </c>
      <c r="D497" s="26">
        <v>0</v>
      </c>
      <c r="E497" s="26">
        <v>1</v>
      </c>
      <c r="F497" s="26">
        <v>17</v>
      </c>
      <c r="G497" s="26" t="b">
        <v>0</v>
      </c>
      <c r="H497" s="26">
        <v>6</v>
      </c>
      <c r="I497" s="26">
        <v>1</v>
      </c>
      <c r="J497" s="26">
        <v>0.12</v>
      </c>
      <c r="K497" s="26">
        <v>496</v>
      </c>
      <c r="L497" s="26">
        <v>0.19700000000000001</v>
      </c>
      <c r="M497" s="26">
        <v>0.28000000000000003</v>
      </c>
      <c r="N497" s="26">
        <v>0</v>
      </c>
      <c r="O497" s="26">
        <v>8</v>
      </c>
      <c r="P497" s="26">
        <v>59</v>
      </c>
      <c r="Q497" s="34">
        <v>67</v>
      </c>
    </row>
    <row r="498" spans="1:17" x14ac:dyDescent="0.25">
      <c r="A498" s="32">
        <v>497</v>
      </c>
      <c r="B498" s="33">
        <v>40565</v>
      </c>
      <c r="C498" s="26">
        <v>1</v>
      </c>
      <c r="D498" s="26">
        <v>0</v>
      </c>
      <c r="E498" s="26">
        <v>1</v>
      </c>
      <c r="F498" s="26">
        <v>18</v>
      </c>
      <c r="G498" s="26" t="b">
        <v>0</v>
      </c>
      <c r="H498" s="26">
        <v>6</v>
      </c>
      <c r="I498" s="26">
        <v>1</v>
      </c>
      <c r="J498" s="26">
        <v>0.08</v>
      </c>
      <c r="K498" s="26">
        <v>497</v>
      </c>
      <c r="L498" s="26">
        <v>9.0899999999999995E-2</v>
      </c>
      <c r="M498" s="26">
        <v>0.35</v>
      </c>
      <c r="N498" s="26">
        <v>0.19400000000000001</v>
      </c>
      <c r="O498" s="26">
        <v>0</v>
      </c>
      <c r="P498" s="26">
        <v>54</v>
      </c>
      <c r="Q498" s="34">
        <v>54</v>
      </c>
    </row>
    <row r="499" spans="1:17" x14ac:dyDescent="0.25">
      <c r="A499" s="32">
        <v>498</v>
      </c>
      <c r="B499" s="33">
        <v>40565</v>
      </c>
      <c r="C499" s="26">
        <v>1</v>
      </c>
      <c r="D499" s="26">
        <v>0</v>
      </c>
      <c r="E499" s="26">
        <v>1</v>
      </c>
      <c r="F499" s="26">
        <v>19</v>
      </c>
      <c r="G499" s="26" t="b">
        <v>0</v>
      </c>
      <c r="H499" s="26">
        <v>6</v>
      </c>
      <c r="I499" s="26">
        <v>1</v>
      </c>
      <c r="J499" s="26">
        <v>0.08</v>
      </c>
      <c r="K499" s="26">
        <v>498</v>
      </c>
      <c r="L499" s="26">
        <v>0.1061</v>
      </c>
      <c r="M499" s="26">
        <v>0.35</v>
      </c>
      <c r="N499" s="26">
        <v>0.1343</v>
      </c>
      <c r="O499" s="26">
        <v>6</v>
      </c>
      <c r="P499" s="26">
        <v>53</v>
      </c>
      <c r="Q499" s="34">
        <v>59</v>
      </c>
    </row>
    <row r="500" spans="1:17" x14ac:dyDescent="0.25">
      <c r="A500" s="32">
        <v>499</v>
      </c>
      <c r="B500" s="33">
        <v>40565</v>
      </c>
      <c r="C500" s="26">
        <v>1</v>
      </c>
      <c r="D500" s="26">
        <v>0</v>
      </c>
      <c r="E500" s="26">
        <v>1</v>
      </c>
      <c r="F500" s="26">
        <v>20</v>
      </c>
      <c r="G500" s="26" t="b">
        <v>0</v>
      </c>
      <c r="H500" s="26">
        <v>6</v>
      </c>
      <c r="I500" s="26">
        <v>1</v>
      </c>
      <c r="J500" s="26">
        <v>0.06</v>
      </c>
      <c r="K500" s="26">
        <v>499</v>
      </c>
      <c r="L500" s="26">
        <v>7.5800000000000006E-2</v>
      </c>
      <c r="M500" s="26">
        <v>0.45</v>
      </c>
      <c r="N500" s="26">
        <v>0.16420000000000001</v>
      </c>
      <c r="O500" s="26">
        <v>1</v>
      </c>
      <c r="P500" s="26">
        <v>44</v>
      </c>
      <c r="Q500" s="34">
        <v>45</v>
      </c>
    </row>
    <row r="501" spans="1:17" x14ac:dyDescent="0.25">
      <c r="A501" s="32">
        <v>500</v>
      </c>
      <c r="B501" s="33">
        <v>40565</v>
      </c>
      <c r="C501" s="26">
        <v>1</v>
      </c>
      <c r="D501" s="26">
        <v>0</v>
      </c>
      <c r="E501" s="26">
        <v>1</v>
      </c>
      <c r="F501" s="26">
        <v>21</v>
      </c>
      <c r="G501" s="26" t="b">
        <v>0</v>
      </c>
      <c r="H501" s="26">
        <v>6</v>
      </c>
      <c r="I501" s="26">
        <v>1</v>
      </c>
      <c r="J501" s="26">
        <v>0.06</v>
      </c>
      <c r="K501" s="26">
        <v>500</v>
      </c>
      <c r="L501" s="26">
        <v>0.1061</v>
      </c>
      <c r="M501" s="26">
        <v>0.41</v>
      </c>
      <c r="N501" s="26">
        <v>8.9599999999999999E-2</v>
      </c>
      <c r="O501" s="26">
        <v>0</v>
      </c>
      <c r="P501" s="26">
        <v>39</v>
      </c>
      <c r="Q501" s="34">
        <v>39</v>
      </c>
    </row>
    <row r="502" spans="1:17" x14ac:dyDescent="0.25">
      <c r="A502" s="32">
        <v>501</v>
      </c>
      <c r="B502" s="33">
        <v>40565</v>
      </c>
      <c r="C502" s="26">
        <v>1</v>
      </c>
      <c r="D502" s="26">
        <v>0</v>
      </c>
      <c r="E502" s="26">
        <v>1</v>
      </c>
      <c r="F502" s="26">
        <v>22</v>
      </c>
      <c r="G502" s="26" t="b">
        <v>0</v>
      </c>
      <c r="H502" s="26">
        <v>6</v>
      </c>
      <c r="I502" s="26">
        <v>1</v>
      </c>
      <c r="J502" s="26">
        <v>0.06</v>
      </c>
      <c r="K502" s="26">
        <v>501</v>
      </c>
      <c r="L502" s="26">
        <v>0.1515</v>
      </c>
      <c r="M502" s="26">
        <v>0.49</v>
      </c>
      <c r="N502" s="26">
        <v>0</v>
      </c>
      <c r="O502" s="26">
        <v>7</v>
      </c>
      <c r="P502" s="26">
        <v>23</v>
      </c>
      <c r="Q502" s="34">
        <v>30</v>
      </c>
    </row>
    <row r="503" spans="1:17" x14ac:dyDescent="0.25">
      <c r="A503" s="32">
        <v>502</v>
      </c>
      <c r="B503" s="33">
        <v>40565</v>
      </c>
      <c r="C503" s="26">
        <v>1</v>
      </c>
      <c r="D503" s="26">
        <v>0</v>
      </c>
      <c r="E503" s="26">
        <v>1</v>
      </c>
      <c r="F503" s="26">
        <v>23</v>
      </c>
      <c r="G503" s="26" t="b">
        <v>0</v>
      </c>
      <c r="H503" s="26">
        <v>6</v>
      </c>
      <c r="I503" s="26">
        <v>1</v>
      </c>
      <c r="J503" s="26">
        <v>0.04</v>
      </c>
      <c r="K503" s="26">
        <v>502</v>
      </c>
      <c r="L503" s="26">
        <v>7.5800000000000006E-2</v>
      </c>
      <c r="M503" s="26">
        <v>0.56999999999999995</v>
      </c>
      <c r="N503" s="26">
        <v>0.1045</v>
      </c>
      <c r="O503" s="26">
        <v>2</v>
      </c>
      <c r="P503" s="26">
        <v>31</v>
      </c>
      <c r="Q503" s="34">
        <v>33</v>
      </c>
    </row>
    <row r="504" spans="1:17" x14ac:dyDescent="0.25">
      <c r="A504" s="32">
        <v>503</v>
      </c>
      <c r="B504" s="33">
        <v>40566</v>
      </c>
      <c r="C504" s="26">
        <v>1</v>
      </c>
      <c r="D504" s="26">
        <v>0</v>
      </c>
      <c r="E504" s="26">
        <v>1</v>
      </c>
      <c r="F504" s="26">
        <v>0</v>
      </c>
      <c r="G504" s="26" t="b">
        <v>0</v>
      </c>
      <c r="H504" s="26">
        <v>0</v>
      </c>
      <c r="I504" s="26">
        <v>1</v>
      </c>
      <c r="J504" s="26">
        <v>0.04</v>
      </c>
      <c r="K504" s="26">
        <v>503</v>
      </c>
      <c r="L504" s="26">
        <v>7.5800000000000006E-2</v>
      </c>
      <c r="M504" s="26">
        <v>0.56999999999999995</v>
      </c>
      <c r="N504" s="26">
        <v>0.1045</v>
      </c>
      <c r="O504" s="26">
        <v>2</v>
      </c>
      <c r="P504" s="26">
        <v>20</v>
      </c>
      <c r="Q504" s="34">
        <v>22</v>
      </c>
    </row>
    <row r="505" spans="1:17" x14ac:dyDescent="0.25">
      <c r="A505" s="32">
        <v>504</v>
      </c>
      <c r="B505" s="33">
        <v>40566</v>
      </c>
      <c r="C505" s="26">
        <v>1</v>
      </c>
      <c r="D505" s="26">
        <v>0</v>
      </c>
      <c r="E505" s="26">
        <v>1</v>
      </c>
      <c r="F505" s="26">
        <v>1</v>
      </c>
      <c r="G505" s="26" t="b">
        <v>0</v>
      </c>
      <c r="H505" s="26">
        <v>0</v>
      </c>
      <c r="I505" s="26">
        <v>1</v>
      </c>
      <c r="J505" s="26">
        <v>0.04</v>
      </c>
      <c r="K505" s="26">
        <v>504</v>
      </c>
      <c r="L505" s="26">
        <v>7.5800000000000006E-2</v>
      </c>
      <c r="M505" s="26">
        <v>0.56999999999999995</v>
      </c>
      <c r="N505" s="26">
        <v>0.1045</v>
      </c>
      <c r="O505" s="26">
        <v>1</v>
      </c>
      <c r="P505" s="26">
        <v>12</v>
      </c>
      <c r="Q505" s="34">
        <v>13</v>
      </c>
    </row>
    <row r="506" spans="1:17" x14ac:dyDescent="0.25">
      <c r="A506" s="32">
        <v>505</v>
      </c>
      <c r="B506" s="33">
        <v>40566</v>
      </c>
      <c r="C506" s="26">
        <v>1</v>
      </c>
      <c r="D506" s="26">
        <v>0</v>
      </c>
      <c r="E506" s="26">
        <v>1</v>
      </c>
      <c r="F506" s="26">
        <v>2</v>
      </c>
      <c r="G506" s="26" t="b">
        <v>0</v>
      </c>
      <c r="H506" s="26">
        <v>0</v>
      </c>
      <c r="I506" s="26">
        <v>1</v>
      </c>
      <c r="J506" s="26">
        <v>0.02</v>
      </c>
      <c r="K506" s="26">
        <v>505</v>
      </c>
      <c r="L506" s="26">
        <v>6.0600000000000001E-2</v>
      </c>
      <c r="M506" s="26">
        <v>0.62</v>
      </c>
      <c r="N506" s="26">
        <v>0.1343</v>
      </c>
      <c r="O506" s="26">
        <v>3</v>
      </c>
      <c r="P506" s="26">
        <v>15</v>
      </c>
      <c r="Q506" s="34">
        <v>18</v>
      </c>
    </row>
    <row r="507" spans="1:17" x14ac:dyDescent="0.25">
      <c r="A507" s="32">
        <v>506</v>
      </c>
      <c r="B507" s="33">
        <v>40566</v>
      </c>
      <c r="C507" s="26">
        <v>1</v>
      </c>
      <c r="D507" s="26">
        <v>0</v>
      </c>
      <c r="E507" s="26">
        <v>1</v>
      </c>
      <c r="F507" s="26">
        <v>3</v>
      </c>
      <c r="G507" s="26" t="b">
        <v>0</v>
      </c>
      <c r="H507" s="26">
        <v>0</v>
      </c>
      <c r="I507" s="26">
        <v>1</v>
      </c>
      <c r="J507" s="26">
        <v>0.02</v>
      </c>
      <c r="K507" s="26">
        <v>506</v>
      </c>
      <c r="L507" s="26">
        <v>6.0600000000000001E-2</v>
      </c>
      <c r="M507" s="26">
        <v>0.62</v>
      </c>
      <c r="N507" s="26">
        <v>0.1343</v>
      </c>
      <c r="O507" s="26">
        <v>1</v>
      </c>
      <c r="P507" s="26">
        <v>4</v>
      </c>
      <c r="Q507" s="34">
        <v>5</v>
      </c>
    </row>
    <row r="508" spans="1:17" x14ac:dyDescent="0.25">
      <c r="A508" s="32">
        <v>507</v>
      </c>
      <c r="B508" s="33">
        <v>40566</v>
      </c>
      <c r="C508" s="26">
        <v>1</v>
      </c>
      <c r="D508" s="26">
        <v>0</v>
      </c>
      <c r="E508" s="26">
        <v>1</v>
      </c>
      <c r="F508" s="26">
        <v>5</v>
      </c>
      <c r="G508" s="26" t="b">
        <v>0</v>
      </c>
      <c r="H508" s="26">
        <v>0</v>
      </c>
      <c r="I508" s="26">
        <v>2</v>
      </c>
      <c r="J508" s="26">
        <v>0.04</v>
      </c>
      <c r="K508" s="26">
        <v>507</v>
      </c>
      <c r="L508" s="26">
        <v>7.5800000000000006E-2</v>
      </c>
      <c r="M508" s="26">
        <v>0.56999999999999995</v>
      </c>
      <c r="N508" s="26">
        <v>0.1045</v>
      </c>
      <c r="O508" s="26">
        <v>0</v>
      </c>
      <c r="P508" s="26">
        <v>3</v>
      </c>
      <c r="Q508" s="34">
        <v>3</v>
      </c>
    </row>
    <row r="509" spans="1:17" x14ac:dyDescent="0.25">
      <c r="A509" s="32">
        <v>508</v>
      </c>
      <c r="B509" s="33">
        <v>40566</v>
      </c>
      <c r="C509" s="26">
        <v>1</v>
      </c>
      <c r="D509" s="26">
        <v>0</v>
      </c>
      <c r="E509" s="26">
        <v>1</v>
      </c>
      <c r="F509" s="26">
        <v>6</v>
      </c>
      <c r="G509" s="26" t="b">
        <v>0</v>
      </c>
      <c r="H509" s="26">
        <v>0</v>
      </c>
      <c r="I509" s="26">
        <v>2</v>
      </c>
      <c r="J509" s="26">
        <v>0.04</v>
      </c>
      <c r="K509" s="26">
        <v>508</v>
      </c>
      <c r="L509" s="26">
        <v>7.5800000000000006E-2</v>
      </c>
      <c r="M509" s="26">
        <v>0.56999999999999995</v>
      </c>
      <c r="N509" s="26">
        <v>0.1045</v>
      </c>
      <c r="O509" s="26">
        <v>0</v>
      </c>
      <c r="P509" s="26">
        <v>1</v>
      </c>
      <c r="Q509" s="34">
        <v>1</v>
      </c>
    </row>
    <row r="510" spans="1:17" x14ac:dyDescent="0.25">
      <c r="A510" s="32">
        <v>509</v>
      </c>
      <c r="B510" s="33">
        <v>40566</v>
      </c>
      <c r="C510" s="26">
        <v>1</v>
      </c>
      <c r="D510" s="26">
        <v>0</v>
      </c>
      <c r="E510" s="26">
        <v>1</v>
      </c>
      <c r="F510" s="26">
        <v>7</v>
      </c>
      <c r="G510" s="26" t="b">
        <v>0</v>
      </c>
      <c r="H510" s="26">
        <v>0</v>
      </c>
      <c r="I510" s="26">
        <v>1</v>
      </c>
      <c r="J510" s="26">
        <v>0.08</v>
      </c>
      <c r="K510" s="26">
        <v>509</v>
      </c>
      <c r="L510" s="26">
        <v>0.1061</v>
      </c>
      <c r="M510" s="26">
        <v>0.57999999999999996</v>
      </c>
      <c r="N510" s="26">
        <v>0.16420000000000001</v>
      </c>
      <c r="O510" s="26">
        <v>1</v>
      </c>
      <c r="P510" s="26">
        <v>1</v>
      </c>
      <c r="Q510" s="34">
        <v>2</v>
      </c>
    </row>
    <row r="511" spans="1:17" x14ac:dyDescent="0.25">
      <c r="A511" s="32">
        <v>510</v>
      </c>
      <c r="B511" s="33">
        <v>40566</v>
      </c>
      <c r="C511" s="26">
        <v>1</v>
      </c>
      <c r="D511" s="26">
        <v>0</v>
      </c>
      <c r="E511" s="26">
        <v>1</v>
      </c>
      <c r="F511" s="26">
        <v>8</v>
      </c>
      <c r="G511" s="26" t="b">
        <v>0</v>
      </c>
      <c r="H511" s="26">
        <v>0</v>
      </c>
      <c r="I511" s="26">
        <v>1</v>
      </c>
      <c r="J511" s="26">
        <v>0.06</v>
      </c>
      <c r="K511" s="26">
        <v>510</v>
      </c>
      <c r="L511" s="26">
        <v>7.5800000000000006E-2</v>
      </c>
      <c r="M511" s="26">
        <v>0.62</v>
      </c>
      <c r="N511" s="26">
        <v>0.16420000000000001</v>
      </c>
      <c r="O511" s="26">
        <v>2</v>
      </c>
      <c r="P511" s="26">
        <v>17</v>
      </c>
      <c r="Q511" s="34">
        <v>19</v>
      </c>
    </row>
    <row r="512" spans="1:17" x14ac:dyDescent="0.25">
      <c r="A512" s="32">
        <v>511</v>
      </c>
      <c r="B512" s="33">
        <v>40566</v>
      </c>
      <c r="C512" s="26">
        <v>1</v>
      </c>
      <c r="D512" s="26">
        <v>0</v>
      </c>
      <c r="E512" s="26">
        <v>1</v>
      </c>
      <c r="F512" s="26">
        <v>9</v>
      </c>
      <c r="G512" s="26" t="b">
        <v>0</v>
      </c>
      <c r="H512" s="26">
        <v>0</v>
      </c>
      <c r="I512" s="26">
        <v>1</v>
      </c>
      <c r="J512" s="26">
        <v>0.1</v>
      </c>
      <c r="K512" s="26">
        <v>511</v>
      </c>
      <c r="L512" s="26">
        <v>7.5800000000000006E-2</v>
      </c>
      <c r="M512" s="26">
        <v>0.54</v>
      </c>
      <c r="N512" s="26">
        <v>0.35820000000000002</v>
      </c>
      <c r="O512" s="26">
        <v>3</v>
      </c>
      <c r="P512" s="26">
        <v>25</v>
      </c>
      <c r="Q512" s="34">
        <v>28</v>
      </c>
    </row>
    <row r="513" spans="1:17" x14ac:dyDescent="0.25">
      <c r="A513" s="32">
        <v>512</v>
      </c>
      <c r="B513" s="33">
        <v>40566</v>
      </c>
      <c r="C513" s="26">
        <v>1</v>
      </c>
      <c r="D513" s="26">
        <v>0</v>
      </c>
      <c r="E513" s="26">
        <v>1</v>
      </c>
      <c r="F513" s="26">
        <v>10</v>
      </c>
      <c r="G513" s="26" t="b">
        <v>0</v>
      </c>
      <c r="H513" s="26">
        <v>0</v>
      </c>
      <c r="I513" s="26">
        <v>1</v>
      </c>
      <c r="J513" s="26">
        <v>0.14000000000000001</v>
      </c>
      <c r="K513" s="26">
        <v>512</v>
      </c>
      <c r="L513" s="26">
        <v>0.1061</v>
      </c>
      <c r="M513" s="26">
        <v>0.46</v>
      </c>
      <c r="N513" s="26">
        <v>0.3881</v>
      </c>
      <c r="O513" s="26">
        <v>7</v>
      </c>
      <c r="P513" s="26">
        <v>51</v>
      </c>
      <c r="Q513" s="34">
        <v>58</v>
      </c>
    </row>
    <row r="514" spans="1:17" x14ac:dyDescent="0.25">
      <c r="A514" s="32">
        <v>513</v>
      </c>
      <c r="B514" s="33">
        <v>40566</v>
      </c>
      <c r="C514" s="26">
        <v>1</v>
      </c>
      <c r="D514" s="26">
        <v>0</v>
      </c>
      <c r="E514" s="26">
        <v>1</v>
      </c>
      <c r="F514" s="26">
        <v>11</v>
      </c>
      <c r="G514" s="26" t="b">
        <v>0</v>
      </c>
      <c r="H514" s="26">
        <v>0</v>
      </c>
      <c r="I514" s="26">
        <v>1</v>
      </c>
      <c r="J514" s="26">
        <v>0.14000000000000001</v>
      </c>
      <c r="K514" s="26">
        <v>513</v>
      </c>
      <c r="L514" s="26">
        <v>0.13639999999999999</v>
      </c>
      <c r="M514" s="26">
        <v>0.43</v>
      </c>
      <c r="N514" s="26">
        <v>0.22389999999999999</v>
      </c>
      <c r="O514" s="26">
        <v>22</v>
      </c>
      <c r="P514" s="26">
        <v>77</v>
      </c>
      <c r="Q514" s="34">
        <v>99</v>
      </c>
    </row>
    <row r="515" spans="1:17" x14ac:dyDescent="0.25">
      <c r="A515" s="32">
        <v>514</v>
      </c>
      <c r="B515" s="33">
        <v>40566</v>
      </c>
      <c r="C515" s="26">
        <v>1</v>
      </c>
      <c r="D515" s="26">
        <v>0</v>
      </c>
      <c r="E515" s="26">
        <v>1</v>
      </c>
      <c r="F515" s="26">
        <v>12</v>
      </c>
      <c r="G515" s="26" t="b">
        <v>0</v>
      </c>
      <c r="H515" s="26">
        <v>0</v>
      </c>
      <c r="I515" s="26">
        <v>1</v>
      </c>
      <c r="J515" s="26">
        <v>0.16</v>
      </c>
      <c r="K515" s="26">
        <v>514</v>
      </c>
      <c r="L515" s="26">
        <v>0.1212</v>
      </c>
      <c r="M515" s="26">
        <v>0.37</v>
      </c>
      <c r="N515" s="26">
        <v>0.4627</v>
      </c>
      <c r="O515" s="26">
        <v>24</v>
      </c>
      <c r="P515" s="26">
        <v>92</v>
      </c>
      <c r="Q515" s="34">
        <v>116</v>
      </c>
    </row>
    <row r="516" spans="1:17" x14ac:dyDescent="0.25">
      <c r="A516" s="32">
        <v>515</v>
      </c>
      <c r="B516" s="33">
        <v>40566</v>
      </c>
      <c r="C516" s="26">
        <v>1</v>
      </c>
      <c r="D516" s="26">
        <v>0</v>
      </c>
      <c r="E516" s="26">
        <v>1</v>
      </c>
      <c r="F516" s="26">
        <v>13</v>
      </c>
      <c r="G516" s="26" t="b">
        <v>0</v>
      </c>
      <c r="H516" s="26">
        <v>0</v>
      </c>
      <c r="I516" s="26">
        <v>1</v>
      </c>
      <c r="J516" s="26">
        <v>0.14000000000000001</v>
      </c>
      <c r="K516" s="26">
        <v>515</v>
      </c>
      <c r="L516" s="26">
        <v>0.1061</v>
      </c>
      <c r="M516" s="26">
        <v>0.33</v>
      </c>
      <c r="N516" s="26">
        <v>0.3881</v>
      </c>
      <c r="O516" s="26">
        <v>12</v>
      </c>
      <c r="P516" s="26">
        <v>75</v>
      </c>
      <c r="Q516" s="34">
        <v>87</v>
      </c>
    </row>
    <row r="517" spans="1:17" x14ac:dyDescent="0.25">
      <c r="A517" s="32">
        <v>516</v>
      </c>
      <c r="B517" s="33">
        <v>40566</v>
      </c>
      <c r="C517" s="26">
        <v>1</v>
      </c>
      <c r="D517" s="26">
        <v>0</v>
      </c>
      <c r="E517" s="26">
        <v>1</v>
      </c>
      <c r="F517" s="26">
        <v>14</v>
      </c>
      <c r="G517" s="26" t="b">
        <v>0</v>
      </c>
      <c r="H517" s="26">
        <v>0</v>
      </c>
      <c r="I517" s="26">
        <v>1</v>
      </c>
      <c r="J517" s="26">
        <v>0.16</v>
      </c>
      <c r="K517" s="26">
        <v>516</v>
      </c>
      <c r="L517" s="26">
        <v>0.13639999999999999</v>
      </c>
      <c r="M517" s="26">
        <v>0.28000000000000003</v>
      </c>
      <c r="N517" s="26">
        <v>0.35820000000000002</v>
      </c>
      <c r="O517" s="26">
        <v>17</v>
      </c>
      <c r="P517" s="26">
        <v>93</v>
      </c>
      <c r="Q517" s="34">
        <v>110</v>
      </c>
    </row>
    <row r="518" spans="1:17" x14ac:dyDescent="0.25">
      <c r="A518" s="32">
        <v>517</v>
      </c>
      <c r="B518" s="33">
        <v>40566</v>
      </c>
      <c r="C518" s="26">
        <v>1</v>
      </c>
      <c r="D518" s="26">
        <v>0</v>
      </c>
      <c r="E518" s="26">
        <v>1</v>
      </c>
      <c r="F518" s="26">
        <v>15</v>
      </c>
      <c r="G518" s="26" t="b">
        <v>0</v>
      </c>
      <c r="H518" s="26">
        <v>0</v>
      </c>
      <c r="I518" s="26">
        <v>1</v>
      </c>
      <c r="J518" s="26">
        <v>0.16</v>
      </c>
      <c r="K518" s="26">
        <v>517</v>
      </c>
      <c r="L518" s="26">
        <v>0.13639999999999999</v>
      </c>
      <c r="M518" s="26">
        <v>0.28000000000000003</v>
      </c>
      <c r="N518" s="26">
        <v>0.35820000000000002</v>
      </c>
      <c r="O518" s="26">
        <v>13</v>
      </c>
      <c r="P518" s="26">
        <v>64</v>
      </c>
      <c r="Q518" s="34">
        <v>77</v>
      </c>
    </row>
    <row r="519" spans="1:17" x14ac:dyDescent="0.25">
      <c r="A519" s="32">
        <v>518</v>
      </c>
      <c r="B519" s="33">
        <v>40566</v>
      </c>
      <c r="C519" s="26">
        <v>1</v>
      </c>
      <c r="D519" s="26">
        <v>0</v>
      </c>
      <c r="E519" s="26">
        <v>1</v>
      </c>
      <c r="F519" s="26">
        <v>16</v>
      </c>
      <c r="G519" s="26" t="b">
        <v>0</v>
      </c>
      <c r="H519" s="26">
        <v>0</v>
      </c>
      <c r="I519" s="26">
        <v>1</v>
      </c>
      <c r="J519" s="26">
        <v>0.16</v>
      </c>
      <c r="K519" s="26">
        <v>518</v>
      </c>
      <c r="L519" s="26">
        <v>0.13639999999999999</v>
      </c>
      <c r="M519" s="26">
        <v>0.26</v>
      </c>
      <c r="N519" s="26">
        <v>0.32840000000000003</v>
      </c>
      <c r="O519" s="26">
        <v>9</v>
      </c>
      <c r="P519" s="26">
        <v>56</v>
      </c>
      <c r="Q519" s="34">
        <v>65</v>
      </c>
    </row>
    <row r="520" spans="1:17" x14ac:dyDescent="0.25">
      <c r="A520" s="32">
        <v>519</v>
      </c>
      <c r="B520" s="33">
        <v>40566</v>
      </c>
      <c r="C520" s="26">
        <v>1</v>
      </c>
      <c r="D520" s="26">
        <v>0</v>
      </c>
      <c r="E520" s="26">
        <v>1</v>
      </c>
      <c r="F520" s="26">
        <v>17</v>
      </c>
      <c r="G520" s="26" t="b">
        <v>0</v>
      </c>
      <c r="H520" s="26">
        <v>0</v>
      </c>
      <c r="I520" s="26">
        <v>1</v>
      </c>
      <c r="J520" s="26">
        <v>0.14000000000000001</v>
      </c>
      <c r="K520" s="26">
        <v>519</v>
      </c>
      <c r="L520" s="26">
        <v>0.1061</v>
      </c>
      <c r="M520" s="26">
        <v>0.26</v>
      </c>
      <c r="N520" s="26">
        <v>0.3881</v>
      </c>
      <c r="O520" s="26">
        <v>5</v>
      </c>
      <c r="P520" s="26">
        <v>50</v>
      </c>
      <c r="Q520" s="34">
        <v>55</v>
      </c>
    </row>
    <row r="521" spans="1:17" x14ac:dyDescent="0.25">
      <c r="A521" s="32">
        <v>520</v>
      </c>
      <c r="B521" s="33">
        <v>40566</v>
      </c>
      <c r="C521" s="26">
        <v>1</v>
      </c>
      <c r="D521" s="26">
        <v>0</v>
      </c>
      <c r="E521" s="26">
        <v>1</v>
      </c>
      <c r="F521" s="26">
        <v>18</v>
      </c>
      <c r="G521" s="26" t="b">
        <v>0</v>
      </c>
      <c r="H521" s="26">
        <v>0</v>
      </c>
      <c r="I521" s="26">
        <v>1</v>
      </c>
      <c r="J521" s="26">
        <v>0.12</v>
      </c>
      <c r="K521" s="26">
        <v>520</v>
      </c>
      <c r="L521" s="26">
        <v>0.1212</v>
      </c>
      <c r="M521" s="26">
        <v>0.3</v>
      </c>
      <c r="N521" s="26">
        <v>0.25369999999999998</v>
      </c>
      <c r="O521" s="26">
        <v>5</v>
      </c>
      <c r="P521" s="26">
        <v>44</v>
      </c>
      <c r="Q521" s="34">
        <v>49</v>
      </c>
    </row>
    <row r="522" spans="1:17" x14ac:dyDescent="0.25">
      <c r="A522" s="32">
        <v>521</v>
      </c>
      <c r="B522" s="33">
        <v>40566</v>
      </c>
      <c r="C522" s="26">
        <v>1</v>
      </c>
      <c r="D522" s="26">
        <v>0</v>
      </c>
      <c r="E522" s="26">
        <v>1</v>
      </c>
      <c r="F522" s="26">
        <v>19</v>
      </c>
      <c r="G522" s="26" t="b">
        <v>0</v>
      </c>
      <c r="H522" s="26">
        <v>0</v>
      </c>
      <c r="I522" s="26">
        <v>1</v>
      </c>
      <c r="J522" s="26">
        <v>0.12</v>
      </c>
      <c r="K522" s="26">
        <v>521</v>
      </c>
      <c r="L522" s="26">
        <v>0.1212</v>
      </c>
      <c r="M522" s="26">
        <v>0.3</v>
      </c>
      <c r="N522" s="26">
        <v>0.28360000000000002</v>
      </c>
      <c r="O522" s="26">
        <v>5</v>
      </c>
      <c r="P522" s="26">
        <v>45</v>
      </c>
      <c r="Q522" s="34">
        <v>50</v>
      </c>
    </row>
    <row r="523" spans="1:17" x14ac:dyDescent="0.25">
      <c r="A523" s="32">
        <v>522</v>
      </c>
      <c r="B523" s="33">
        <v>40566</v>
      </c>
      <c r="C523" s="26">
        <v>1</v>
      </c>
      <c r="D523" s="26">
        <v>0</v>
      </c>
      <c r="E523" s="26">
        <v>1</v>
      </c>
      <c r="F523" s="26">
        <v>20</v>
      </c>
      <c r="G523" s="26" t="b">
        <v>0</v>
      </c>
      <c r="H523" s="26">
        <v>0</v>
      </c>
      <c r="I523" s="26">
        <v>1</v>
      </c>
      <c r="J523" s="26">
        <v>0.1</v>
      </c>
      <c r="K523" s="26">
        <v>522</v>
      </c>
      <c r="L523" s="26">
        <v>0.1061</v>
      </c>
      <c r="M523" s="26">
        <v>0.36</v>
      </c>
      <c r="N523" s="26">
        <v>0.25369999999999998</v>
      </c>
      <c r="O523" s="26">
        <v>4</v>
      </c>
      <c r="P523" s="26">
        <v>31</v>
      </c>
      <c r="Q523" s="34">
        <v>35</v>
      </c>
    </row>
    <row r="524" spans="1:17" x14ac:dyDescent="0.25">
      <c r="A524" s="32">
        <v>523</v>
      </c>
      <c r="B524" s="33">
        <v>40566</v>
      </c>
      <c r="C524" s="26">
        <v>1</v>
      </c>
      <c r="D524" s="26">
        <v>0</v>
      </c>
      <c r="E524" s="26">
        <v>1</v>
      </c>
      <c r="F524" s="26">
        <v>21</v>
      </c>
      <c r="G524" s="26" t="b">
        <v>0</v>
      </c>
      <c r="H524" s="26">
        <v>0</v>
      </c>
      <c r="I524" s="26">
        <v>1</v>
      </c>
      <c r="J524" s="26">
        <v>0.1</v>
      </c>
      <c r="K524" s="26">
        <v>523</v>
      </c>
      <c r="L524" s="26">
        <v>0.1061</v>
      </c>
      <c r="M524" s="26">
        <v>0.36</v>
      </c>
      <c r="N524" s="26">
        <v>0.19400000000000001</v>
      </c>
      <c r="O524" s="26">
        <v>5</v>
      </c>
      <c r="P524" s="26">
        <v>20</v>
      </c>
      <c r="Q524" s="34">
        <v>25</v>
      </c>
    </row>
    <row r="525" spans="1:17" x14ac:dyDescent="0.25">
      <c r="A525" s="32">
        <v>524</v>
      </c>
      <c r="B525" s="33">
        <v>40566</v>
      </c>
      <c r="C525" s="26">
        <v>1</v>
      </c>
      <c r="D525" s="26">
        <v>0</v>
      </c>
      <c r="E525" s="26">
        <v>1</v>
      </c>
      <c r="F525" s="26">
        <v>22</v>
      </c>
      <c r="G525" s="26" t="b">
        <v>0</v>
      </c>
      <c r="H525" s="26">
        <v>0</v>
      </c>
      <c r="I525" s="26">
        <v>1</v>
      </c>
      <c r="J525" s="26">
        <v>0.08</v>
      </c>
      <c r="K525" s="26">
        <v>524</v>
      </c>
      <c r="L525" s="26">
        <v>9.0899999999999995E-2</v>
      </c>
      <c r="M525" s="26">
        <v>0.38</v>
      </c>
      <c r="N525" s="26">
        <v>0.19400000000000001</v>
      </c>
      <c r="O525" s="26">
        <v>5</v>
      </c>
      <c r="P525" s="26">
        <v>23</v>
      </c>
      <c r="Q525" s="34">
        <v>28</v>
      </c>
    </row>
    <row r="526" spans="1:17" x14ac:dyDescent="0.25">
      <c r="A526" s="32">
        <v>525</v>
      </c>
      <c r="B526" s="33">
        <v>40566</v>
      </c>
      <c r="C526" s="26">
        <v>1</v>
      </c>
      <c r="D526" s="26">
        <v>0</v>
      </c>
      <c r="E526" s="26">
        <v>1</v>
      </c>
      <c r="F526" s="26">
        <v>23</v>
      </c>
      <c r="G526" s="26" t="b">
        <v>0</v>
      </c>
      <c r="H526" s="26">
        <v>0</v>
      </c>
      <c r="I526" s="26">
        <v>1</v>
      </c>
      <c r="J526" s="26">
        <v>0.06</v>
      </c>
      <c r="K526" s="26">
        <v>525</v>
      </c>
      <c r="L526" s="26">
        <v>6.0600000000000001E-2</v>
      </c>
      <c r="M526" s="26">
        <v>0.41</v>
      </c>
      <c r="N526" s="26">
        <v>0.22389999999999999</v>
      </c>
      <c r="O526" s="26">
        <v>4</v>
      </c>
      <c r="P526" s="26">
        <v>17</v>
      </c>
      <c r="Q526" s="34">
        <v>21</v>
      </c>
    </row>
    <row r="527" spans="1:17" x14ac:dyDescent="0.25">
      <c r="A527" s="32">
        <v>526</v>
      </c>
      <c r="B527" s="33">
        <v>40567</v>
      </c>
      <c r="C527" s="26">
        <v>1</v>
      </c>
      <c r="D527" s="26">
        <v>0</v>
      </c>
      <c r="E527" s="26">
        <v>1</v>
      </c>
      <c r="F527" s="26">
        <v>0</v>
      </c>
      <c r="G527" s="26" t="b">
        <v>0</v>
      </c>
      <c r="H527" s="26">
        <v>1</v>
      </c>
      <c r="I527" s="26">
        <v>1</v>
      </c>
      <c r="J527" s="26">
        <v>0.06</v>
      </c>
      <c r="K527" s="26">
        <v>526</v>
      </c>
      <c r="L527" s="26">
        <v>6.0600000000000001E-2</v>
      </c>
      <c r="M527" s="26">
        <v>0.41</v>
      </c>
      <c r="N527" s="26">
        <v>0.19400000000000001</v>
      </c>
      <c r="O527" s="26">
        <v>0</v>
      </c>
      <c r="P527" s="26">
        <v>7</v>
      </c>
      <c r="Q527" s="34">
        <v>7</v>
      </c>
    </row>
    <row r="528" spans="1:17" x14ac:dyDescent="0.25">
      <c r="A528" s="32">
        <v>527</v>
      </c>
      <c r="B528" s="33">
        <v>40567</v>
      </c>
      <c r="C528" s="26">
        <v>1</v>
      </c>
      <c r="D528" s="26">
        <v>0</v>
      </c>
      <c r="E528" s="26">
        <v>1</v>
      </c>
      <c r="F528" s="26">
        <v>1</v>
      </c>
      <c r="G528" s="26" t="b">
        <v>0</v>
      </c>
      <c r="H528" s="26">
        <v>1</v>
      </c>
      <c r="I528" s="26">
        <v>1</v>
      </c>
      <c r="J528" s="26">
        <v>0.04</v>
      </c>
      <c r="K528" s="26">
        <v>527</v>
      </c>
      <c r="L528" s="26">
        <v>4.5499999999999999E-2</v>
      </c>
      <c r="M528" s="26">
        <v>0.45</v>
      </c>
      <c r="N528" s="26">
        <v>0.19400000000000001</v>
      </c>
      <c r="O528" s="26">
        <v>0</v>
      </c>
      <c r="P528" s="26">
        <v>1</v>
      </c>
      <c r="Q528" s="34">
        <v>1</v>
      </c>
    </row>
    <row r="529" spans="1:17" x14ac:dyDescent="0.25">
      <c r="A529" s="32">
        <v>528</v>
      </c>
      <c r="B529" s="33">
        <v>40567</v>
      </c>
      <c r="C529" s="26">
        <v>1</v>
      </c>
      <c r="D529" s="26">
        <v>0</v>
      </c>
      <c r="E529" s="26">
        <v>1</v>
      </c>
      <c r="F529" s="26">
        <v>3</v>
      </c>
      <c r="G529" s="26" t="b">
        <v>0</v>
      </c>
      <c r="H529" s="26">
        <v>1</v>
      </c>
      <c r="I529" s="26">
        <v>1</v>
      </c>
      <c r="J529" s="26">
        <v>0.04</v>
      </c>
      <c r="K529" s="26">
        <v>528</v>
      </c>
      <c r="L529" s="26">
        <v>3.0300000000000001E-2</v>
      </c>
      <c r="M529" s="26">
        <v>0.45</v>
      </c>
      <c r="N529" s="26">
        <v>0.25369999999999998</v>
      </c>
      <c r="O529" s="26">
        <v>0</v>
      </c>
      <c r="P529" s="26">
        <v>1</v>
      </c>
      <c r="Q529" s="34">
        <v>1</v>
      </c>
    </row>
    <row r="530" spans="1:17" x14ac:dyDescent="0.25">
      <c r="A530" s="32">
        <v>529</v>
      </c>
      <c r="B530" s="33">
        <v>40567</v>
      </c>
      <c r="C530" s="26">
        <v>1</v>
      </c>
      <c r="D530" s="26">
        <v>0</v>
      </c>
      <c r="E530" s="26">
        <v>1</v>
      </c>
      <c r="F530" s="26">
        <v>4</v>
      </c>
      <c r="G530" s="26" t="b">
        <v>0</v>
      </c>
      <c r="H530" s="26">
        <v>1</v>
      </c>
      <c r="I530" s="26">
        <v>1</v>
      </c>
      <c r="J530" s="26">
        <v>0.02</v>
      </c>
      <c r="K530" s="26">
        <v>529</v>
      </c>
      <c r="L530" s="26">
        <v>6.0600000000000001E-2</v>
      </c>
      <c r="M530" s="26">
        <v>0.48</v>
      </c>
      <c r="N530" s="26">
        <v>0.1343</v>
      </c>
      <c r="O530" s="26">
        <v>0</v>
      </c>
      <c r="P530" s="26">
        <v>1</v>
      </c>
      <c r="Q530" s="34">
        <v>1</v>
      </c>
    </row>
    <row r="531" spans="1:17" x14ac:dyDescent="0.25">
      <c r="A531" s="32">
        <v>530</v>
      </c>
      <c r="B531" s="33">
        <v>40567</v>
      </c>
      <c r="C531" s="26">
        <v>1</v>
      </c>
      <c r="D531" s="26">
        <v>0</v>
      </c>
      <c r="E531" s="26">
        <v>1</v>
      </c>
      <c r="F531" s="26">
        <v>5</v>
      </c>
      <c r="G531" s="26" t="b">
        <v>0</v>
      </c>
      <c r="H531" s="26">
        <v>1</v>
      </c>
      <c r="I531" s="26">
        <v>1</v>
      </c>
      <c r="J531" s="26">
        <v>0.02</v>
      </c>
      <c r="K531" s="26">
        <v>530</v>
      </c>
      <c r="L531" s="26">
        <v>6.0600000000000001E-2</v>
      </c>
      <c r="M531" s="26">
        <v>0.48</v>
      </c>
      <c r="N531" s="26">
        <v>0.1343</v>
      </c>
      <c r="O531" s="26">
        <v>0</v>
      </c>
      <c r="P531" s="26">
        <v>5</v>
      </c>
      <c r="Q531" s="34">
        <v>5</v>
      </c>
    </row>
    <row r="532" spans="1:17" x14ac:dyDescent="0.25">
      <c r="A532" s="32">
        <v>531</v>
      </c>
      <c r="B532" s="33">
        <v>40567</v>
      </c>
      <c r="C532" s="26">
        <v>1</v>
      </c>
      <c r="D532" s="26">
        <v>0</v>
      </c>
      <c r="E532" s="26">
        <v>1</v>
      </c>
      <c r="F532" s="26">
        <v>6</v>
      </c>
      <c r="G532" s="26" t="b">
        <v>0</v>
      </c>
      <c r="H532" s="26">
        <v>1</v>
      </c>
      <c r="I532" s="26">
        <v>1</v>
      </c>
      <c r="J532" s="26">
        <v>0.02</v>
      </c>
      <c r="K532" s="26">
        <v>531</v>
      </c>
      <c r="L532" s="26">
        <v>7.5800000000000006E-2</v>
      </c>
      <c r="M532" s="26">
        <v>0.48</v>
      </c>
      <c r="N532" s="26">
        <v>8.9599999999999999E-2</v>
      </c>
      <c r="O532" s="26">
        <v>0</v>
      </c>
      <c r="P532" s="26">
        <v>15</v>
      </c>
      <c r="Q532" s="34">
        <v>15</v>
      </c>
    </row>
    <row r="533" spans="1:17" x14ac:dyDescent="0.25">
      <c r="A533" s="32">
        <v>532</v>
      </c>
      <c r="B533" s="33">
        <v>40567</v>
      </c>
      <c r="C533" s="26">
        <v>1</v>
      </c>
      <c r="D533" s="26">
        <v>0</v>
      </c>
      <c r="E533" s="26">
        <v>1</v>
      </c>
      <c r="F533" s="26">
        <v>7</v>
      </c>
      <c r="G533" s="26" t="b">
        <v>0</v>
      </c>
      <c r="H533" s="26">
        <v>1</v>
      </c>
      <c r="I533" s="26">
        <v>1</v>
      </c>
      <c r="J533" s="26">
        <v>0.02</v>
      </c>
      <c r="K533" s="26">
        <v>532</v>
      </c>
      <c r="L533" s="26">
        <v>0.1212</v>
      </c>
      <c r="M533" s="26">
        <v>0.48</v>
      </c>
      <c r="N533" s="26">
        <v>0</v>
      </c>
      <c r="O533" s="26">
        <v>5</v>
      </c>
      <c r="P533" s="26">
        <v>79</v>
      </c>
      <c r="Q533" s="34">
        <v>84</v>
      </c>
    </row>
    <row r="534" spans="1:17" x14ac:dyDescent="0.25">
      <c r="A534" s="32">
        <v>533</v>
      </c>
      <c r="B534" s="33">
        <v>40567</v>
      </c>
      <c r="C534" s="26">
        <v>1</v>
      </c>
      <c r="D534" s="26">
        <v>0</v>
      </c>
      <c r="E534" s="26">
        <v>1</v>
      </c>
      <c r="F534" s="26">
        <v>8</v>
      </c>
      <c r="G534" s="26" t="b">
        <v>0</v>
      </c>
      <c r="H534" s="26">
        <v>1</v>
      </c>
      <c r="I534" s="26">
        <v>1</v>
      </c>
      <c r="J534" s="26">
        <v>0.04</v>
      </c>
      <c r="K534" s="26">
        <v>533</v>
      </c>
      <c r="L534" s="26">
        <v>0.13639999999999999</v>
      </c>
      <c r="M534" s="26">
        <v>0.49</v>
      </c>
      <c r="N534" s="26">
        <v>0</v>
      </c>
      <c r="O534" s="26">
        <v>6</v>
      </c>
      <c r="P534" s="26">
        <v>171</v>
      </c>
      <c r="Q534" s="34">
        <v>177</v>
      </c>
    </row>
    <row r="535" spans="1:17" x14ac:dyDescent="0.25">
      <c r="A535" s="32">
        <v>534</v>
      </c>
      <c r="B535" s="33">
        <v>40567</v>
      </c>
      <c r="C535" s="26">
        <v>1</v>
      </c>
      <c r="D535" s="26">
        <v>0</v>
      </c>
      <c r="E535" s="26">
        <v>1</v>
      </c>
      <c r="F535" s="26">
        <v>9</v>
      </c>
      <c r="G535" s="26" t="b">
        <v>0</v>
      </c>
      <c r="H535" s="26">
        <v>1</v>
      </c>
      <c r="I535" s="26">
        <v>1</v>
      </c>
      <c r="J535" s="26">
        <v>0.06</v>
      </c>
      <c r="K535" s="26">
        <v>534</v>
      </c>
      <c r="L535" s="26">
        <v>0.1515</v>
      </c>
      <c r="M535" s="26">
        <v>0.41</v>
      </c>
      <c r="N535" s="26">
        <v>0</v>
      </c>
      <c r="O535" s="26">
        <v>4</v>
      </c>
      <c r="P535" s="26">
        <v>98</v>
      </c>
      <c r="Q535" s="34">
        <v>102</v>
      </c>
    </row>
    <row r="536" spans="1:17" x14ac:dyDescent="0.25">
      <c r="A536" s="32">
        <v>535</v>
      </c>
      <c r="B536" s="33">
        <v>40567</v>
      </c>
      <c r="C536" s="26">
        <v>1</v>
      </c>
      <c r="D536" s="26">
        <v>0</v>
      </c>
      <c r="E536" s="26">
        <v>1</v>
      </c>
      <c r="F536" s="26">
        <v>10</v>
      </c>
      <c r="G536" s="26" t="b">
        <v>0</v>
      </c>
      <c r="H536" s="26">
        <v>1</v>
      </c>
      <c r="I536" s="26">
        <v>1</v>
      </c>
      <c r="J536" s="26">
        <v>0.1</v>
      </c>
      <c r="K536" s="26">
        <v>535</v>
      </c>
      <c r="L536" s="26">
        <v>0.13639999999999999</v>
      </c>
      <c r="M536" s="26">
        <v>0.42</v>
      </c>
      <c r="N536" s="26">
        <v>0</v>
      </c>
      <c r="O536" s="26">
        <v>6</v>
      </c>
      <c r="P536" s="26">
        <v>34</v>
      </c>
      <c r="Q536" s="34">
        <v>40</v>
      </c>
    </row>
    <row r="537" spans="1:17" x14ac:dyDescent="0.25">
      <c r="A537" s="32">
        <v>536</v>
      </c>
      <c r="B537" s="33">
        <v>40567</v>
      </c>
      <c r="C537" s="26">
        <v>1</v>
      </c>
      <c r="D537" s="26">
        <v>0</v>
      </c>
      <c r="E537" s="26">
        <v>1</v>
      </c>
      <c r="F537" s="26">
        <v>11</v>
      </c>
      <c r="G537" s="26" t="b">
        <v>0</v>
      </c>
      <c r="H537" s="26">
        <v>1</v>
      </c>
      <c r="I537" s="26">
        <v>1</v>
      </c>
      <c r="J537" s="26">
        <v>0.1</v>
      </c>
      <c r="K537" s="26">
        <v>536</v>
      </c>
      <c r="L537" s="26">
        <v>0.1212</v>
      </c>
      <c r="M537" s="26">
        <v>0.46</v>
      </c>
      <c r="N537" s="26">
        <v>0.1343</v>
      </c>
      <c r="O537" s="26">
        <v>3</v>
      </c>
      <c r="P537" s="26">
        <v>43</v>
      </c>
      <c r="Q537" s="34">
        <v>46</v>
      </c>
    </row>
    <row r="538" spans="1:17" x14ac:dyDescent="0.25">
      <c r="A538" s="32">
        <v>537</v>
      </c>
      <c r="B538" s="33">
        <v>40567</v>
      </c>
      <c r="C538" s="26">
        <v>1</v>
      </c>
      <c r="D538" s="26">
        <v>0</v>
      </c>
      <c r="E538" s="26">
        <v>1</v>
      </c>
      <c r="F538" s="26">
        <v>12</v>
      </c>
      <c r="G538" s="26" t="b">
        <v>0</v>
      </c>
      <c r="H538" s="26">
        <v>1</v>
      </c>
      <c r="I538" s="26">
        <v>2</v>
      </c>
      <c r="J538" s="26">
        <v>0.12</v>
      </c>
      <c r="K538" s="26">
        <v>537</v>
      </c>
      <c r="L538" s="26">
        <v>0.13639999999999999</v>
      </c>
      <c r="M538" s="26">
        <v>0.42</v>
      </c>
      <c r="N538" s="26">
        <v>0.19400000000000001</v>
      </c>
      <c r="O538" s="26">
        <v>11</v>
      </c>
      <c r="P538" s="26">
        <v>52</v>
      </c>
      <c r="Q538" s="34">
        <v>63</v>
      </c>
    </row>
    <row r="539" spans="1:17" x14ac:dyDescent="0.25">
      <c r="A539" s="32">
        <v>538</v>
      </c>
      <c r="B539" s="33">
        <v>40567</v>
      </c>
      <c r="C539" s="26">
        <v>1</v>
      </c>
      <c r="D539" s="26">
        <v>0</v>
      </c>
      <c r="E539" s="26">
        <v>1</v>
      </c>
      <c r="F539" s="26">
        <v>13</v>
      </c>
      <c r="G539" s="26" t="b">
        <v>0</v>
      </c>
      <c r="H539" s="26">
        <v>1</v>
      </c>
      <c r="I539" s="26">
        <v>2</v>
      </c>
      <c r="J539" s="26">
        <v>0.14000000000000001</v>
      </c>
      <c r="K539" s="26">
        <v>538</v>
      </c>
      <c r="L539" s="26">
        <v>0.13639999999999999</v>
      </c>
      <c r="M539" s="26">
        <v>0.43</v>
      </c>
      <c r="N539" s="26">
        <v>0.22389999999999999</v>
      </c>
      <c r="O539" s="26">
        <v>6</v>
      </c>
      <c r="P539" s="26">
        <v>54</v>
      </c>
      <c r="Q539" s="34">
        <v>60</v>
      </c>
    </row>
    <row r="540" spans="1:17" x14ac:dyDescent="0.25">
      <c r="A540" s="32">
        <v>539</v>
      </c>
      <c r="B540" s="33">
        <v>40567</v>
      </c>
      <c r="C540" s="26">
        <v>1</v>
      </c>
      <c r="D540" s="26">
        <v>0</v>
      </c>
      <c r="E540" s="26">
        <v>1</v>
      </c>
      <c r="F540" s="26">
        <v>14</v>
      </c>
      <c r="G540" s="26" t="b">
        <v>0</v>
      </c>
      <c r="H540" s="26">
        <v>1</v>
      </c>
      <c r="I540" s="26">
        <v>2</v>
      </c>
      <c r="J540" s="26">
        <v>0.14000000000000001</v>
      </c>
      <c r="K540" s="26">
        <v>539</v>
      </c>
      <c r="L540" s="26">
        <v>0.13639999999999999</v>
      </c>
      <c r="M540" s="26">
        <v>0.46</v>
      </c>
      <c r="N540" s="26">
        <v>0.22389999999999999</v>
      </c>
      <c r="O540" s="26">
        <v>2</v>
      </c>
      <c r="P540" s="26">
        <v>43</v>
      </c>
      <c r="Q540" s="34">
        <v>45</v>
      </c>
    </row>
    <row r="541" spans="1:17" x14ac:dyDescent="0.25">
      <c r="A541" s="32">
        <v>540</v>
      </c>
      <c r="B541" s="33">
        <v>40567</v>
      </c>
      <c r="C541" s="26">
        <v>1</v>
      </c>
      <c r="D541" s="26">
        <v>0</v>
      </c>
      <c r="E541" s="26">
        <v>1</v>
      </c>
      <c r="F541" s="26">
        <v>15</v>
      </c>
      <c r="G541" s="26" t="b">
        <v>0</v>
      </c>
      <c r="H541" s="26">
        <v>1</v>
      </c>
      <c r="I541" s="26">
        <v>1</v>
      </c>
      <c r="J541" s="26">
        <v>0.16</v>
      </c>
      <c r="K541" s="26">
        <v>540</v>
      </c>
      <c r="L541" s="26">
        <v>0.16669999999999999</v>
      </c>
      <c r="M541" s="26">
        <v>0.4</v>
      </c>
      <c r="N541" s="26">
        <v>0.16420000000000001</v>
      </c>
      <c r="O541" s="26">
        <v>7</v>
      </c>
      <c r="P541" s="26">
        <v>50</v>
      </c>
      <c r="Q541" s="34">
        <v>57</v>
      </c>
    </row>
    <row r="542" spans="1:17" x14ac:dyDescent="0.25">
      <c r="A542" s="32">
        <v>541</v>
      </c>
      <c r="B542" s="33">
        <v>40567</v>
      </c>
      <c r="C542" s="26">
        <v>1</v>
      </c>
      <c r="D542" s="26">
        <v>0</v>
      </c>
      <c r="E542" s="26">
        <v>1</v>
      </c>
      <c r="F542" s="26">
        <v>16</v>
      </c>
      <c r="G542" s="26" t="b">
        <v>0</v>
      </c>
      <c r="H542" s="26">
        <v>1</v>
      </c>
      <c r="I542" s="26">
        <v>1</v>
      </c>
      <c r="J542" s="26">
        <v>0.16</v>
      </c>
      <c r="K542" s="26">
        <v>541</v>
      </c>
      <c r="L542" s="26">
        <v>0.1515</v>
      </c>
      <c r="M542" s="26">
        <v>0.47</v>
      </c>
      <c r="N542" s="26">
        <v>0.25369999999999998</v>
      </c>
      <c r="O542" s="26">
        <v>4</v>
      </c>
      <c r="P542" s="26">
        <v>66</v>
      </c>
      <c r="Q542" s="34">
        <v>70</v>
      </c>
    </row>
    <row r="543" spans="1:17" x14ac:dyDescent="0.25">
      <c r="A543" s="32">
        <v>542</v>
      </c>
      <c r="B543" s="33">
        <v>40567</v>
      </c>
      <c r="C543" s="26">
        <v>1</v>
      </c>
      <c r="D543" s="26">
        <v>0</v>
      </c>
      <c r="E543" s="26">
        <v>1</v>
      </c>
      <c r="F543" s="26">
        <v>17</v>
      </c>
      <c r="G543" s="26" t="b">
        <v>0</v>
      </c>
      <c r="H543" s="26">
        <v>1</v>
      </c>
      <c r="I543" s="26">
        <v>1</v>
      </c>
      <c r="J543" s="26">
        <v>0.14000000000000001</v>
      </c>
      <c r="K543" s="26">
        <v>542</v>
      </c>
      <c r="L543" s="26">
        <v>0.1212</v>
      </c>
      <c r="M543" s="26">
        <v>0.5</v>
      </c>
      <c r="N543" s="26">
        <v>0.25369999999999998</v>
      </c>
      <c r="O543" s="26">
        <v>6</v>
      </c>
      <c r="P543" s="26">
        <v>178</v>
      </c>
      <c r="Q543" s="34">
        <v>184</v>
      </c>
    </row>
    <row r="544" spans="1:17" x14ac:dyDescent="0.25">
      <c r="A544" s="32">
        <v>543</v>
      </c>
      <c r="B544" s="33">
        <v>40567</v>
      </c>
      <c r="C544" s="26">
        <v>1</v>
      </c>
      <c r="D544" s="26">
        <v>0</v>
      </c>
      <c r="E544" s="26">
        <v>1</v>
      </c>
      <c r="F544" s="26">
        <v>18</v>
      </c>
      <c r="G544" s="26" t="b">
        <v>0</v>
      </c>
      <c r="H544" s="26">
        <v>1</v>
      </c>
      <c r="I544" s="26">
        <v>1</v>
      </c>
      <c r="J544" s="26">
        <v>0.14000000000000001</v>
      </c>
      <c r="K544" s="26">
        <v>543</v>
      </c>
      <c r="L544" s="26">
        <v>0.13639999999999999</v>
      </c>
      <c r="M544" s="26">
        <v>0.59</v>
      </c>
      <c r="N544" s="26">
        <v>0.19400000000000001</v>
      </c>
      <c r="O544" s="26">
        <v>8</v>
      </c>
      <c r="P544" s="26">
        <v>145</v>
      </c>
      <c r="Q544" s="34">
        <v>153</v>
      </c>
    </row>
    <row r="545" spans="1:17" x14ac:dyDescent="0.25">
      <c r="A545" s="32">
        <v>544</v>
      </c>
      <c r="B545" s="33">
        <v>40567</v>
      </c>
      <c r="C545" s="26">
        <v>1</v>
      </c>
      <c r="D545" s="26">
        <v>0</v>
      </c>
      <c r="E545" s="26">
        <v>1</v>
      </c>
      <c r="F545" s="26">
        <v>19</v>
      </c>
      <c r="G545" s="26" t="b">
        <v>0</v>
      </c>
      <c r="H545" s="26">
        <v>1</v>
      </c>
      <c r="I545" s="26">
        <v>1</v>
      </c>
      <c r="J545" s="26">
        <v>0.14000000000000001</v>
      </c>
      <c r="K545" s="26">
        <v>544</v>
      </c>
      <c r="L545" s="26">
        <v>0.1515</v>
      </c>
      <c r="M545" s="26">
        <v>0.54</v>
      </c>
      <c r="N545" s="26">
        <v>0.16420000000000001</v>
      </c>
      <c r="O545" s="26">
        <v>5</v>
      </c>
      <c r="P545" s="26">
        <v>101</v>
      </c>
      <c r="Q545" s="34">
        <v>106</v>
      </c>
    </row>
    <row r="546" spans="1:17" x14ac:dyDescent="0.25">
      <c r="A546" s="32">
        <v>545</v>
      </c>
      <c r="B546" s="33">
        <v>40567</v>
      </c>
      <c r="C546" s="26">
        <v>1</v>
      </c>
      <c r="D546" s="26">
        <v>0</v>
      </c>
      <c r="E546" s="26">
        <v>1</v>
      </c>
      <c r="F546" s="26">
        <v>20</v>
      </c>
      <c r="G546" s="26" t="b">
        <v>0</v>
      </c>
      <c r="H546" s="26">
        <v>1</v>
      </c>
      <c r="I546" s="26">
        <v>1</v>
      </c>
      <c r="J546" s="26">
        <v>0.14000000000000001</v>
      </c>
      <c r="K546" s="26">
        <v>545</v>
      </c>
      <c r="L546" s="26">
        <v>0.13639999999999999</v>
      </c>
      <c r="M546" s="26">
        <v>0.59</v>
      </c>
      <c r="N546" s="26">
        <v>0.19400000000000001</v>
      </c>
      <c r="O546" s="26">
        <v>1</v>
      </c>
      <c r="P546" s="26">
        <v>80</v>
      </c>
      <c r="Q546" s="34">
        <v>81</v>
      </c>
    </row>
    <row r="547" spans="1:17" x14ac:dyDescent="0.25">
      <c r="A547" s="32">
        <v>546</v>
      </c>
      <c r="B547" s="33">
        <v>40567</v>
      </c>
      <c r="C547" s="26">
        <v>1</v>
      </c>
      <c r="D547" s="26">
        <v>0</v>
      </c>
      <c r="E547" s="26">
        <v>1</v>
      </c>
      <c r="F547" s="26">
        <v>21</v>
      </c>
      <c r="G547" s="26" t="b">
        <v>0</v>
      </c>
      <c r="H547" s="26">
        <v>1</v>
      </c>
      <c r="I547" s="26">
        <v>1</v>
      </c>
      <c r="J547" s="26">
        <v>0.14000000000000001</v>
      </c>
      <c r="K547" s="26">
        <v>546</v>
      </c>
      <c r="L547" s="26">
        <v>0.1515</v>
      </c>
      <c r="M547" s="26">
        <v>0.63</v>
      </c>
      <c r="N547" s="26">
        <v>0.16420000000000001</v>
      </c>
      <c r="O547" s="26">
        <v>6</v>
      </c>
      <c r="P547" s="26">
        <v>53</v>
      </c>
      <c r="Q547" s="34">
        <v>59</v>
      </c>
    </row>
    <row r="548" spans="1:17" x14ac:dyDescent="0.25">
      <c r="A548" s="32">
        <v>547</v>
      </c>
      <c r="B548" s="33">
        <v>40567</v>
      </c>
      <c r="C548" s="26">
        <v>1</v>
      </c>
      <c r="D548" s="26">
        <v>0</v>
      </c>
      <c r="E548" s="26">
        <v>1</v>
      </c>
      <c r="F548" s="26">
        <v>22</v>
      </c>
      <c r="G548" s="26" t="b">
        <v>0</v>
      </c>
      <c r="H548" s="26">
        <v>1</v>
      </c>
      <c r="I548" s="26">
        <v>2</v>
      </c>
      <c r="J548" s="26">
        <v>0.14000000000000001</v>
      </c>
      <c r="K548" s="26">
        <v>547</v>
      </c>
      <c r="L548" s="26">
        <v>0.13639999999999999</v>
      </c>
      <c r="M548" s="26">
        <v>0.63</v>
      </c>
      <c r="N548" s="26">
        <v>0.22389999999999999</v>
      </c>
      <c r="O548" s="26">
        <v>3</v>
      </c>
      <c r="P548" s="26">
        <v>32</v>
      </c>
      <c r="Q548" s="34">
        <v>35</v>
      </c>
    </row>
    <row r="549" spans="1:17" x14ac:dyDescent="0.25">
      <c r="A549" s="32">
        <v>548</v>
      </c>
      <c r="B549" s="33">
        <v>40567</v>
      </c>
      <c r="C549" s="26">
        <v>1</v>
      </c>
      <c r="D549" s="26">
        <v>0</v>
      </c>
      <c r="E549" s="26">
        <v>1</v>
      </c>
      <c r="F549" s="26">
        <v>23</v>
      </c>
      <c r="G549" s="26" t="b">
        <v>0</v>
      </c>
      <c r="H549" s="26">
        <v>1</v>
      </c>
      <c r="I549" s="26">
        <v>2</v>
      </c>
      <c r="J549" s="26">
        <v>0.16</v>
      </c>
      <c r="K549" s="26">
        <v>548</v>
      </c>
      <c r="L549" s="26">
        <v>0.1515</v>
      </c>
      <c r="M549" s="26">
        <v>0.64</v>
      </c>
      <c r="N549" s="26">
        <v>0.25369999999999998</v>
      </c>
      <c r="O549" s="26">
        <v>3</v>
      </c>
      <c r="P549" s="26">
        <v>21</v>
      </c>
      <c r="Q549" s="34">
        <v>24</v>
      </c>
    </row>
    <row r="550" spans="1:17" x14ac:dyDescent="0.25">
      <c r="A550" s="32">
        <v>549</v>
      </c>
      <c r="B550" s="33">
        <v>40568</v>
      </c>
      <c r="C550" s="26">
        <v>1</v>
      </c>
      <c r="D550" s="26">
        <v>0</v>
      </c>
      <c r="E550" s="26">
        <v>1</v>
      </c>
      <c r="F550" s="26">
        <v>0</v>
      </c>
      <c r="G550" s="26" t="b">
        <v>0</v>
      </c>
      <c r="H550" s="26">
        <v>2</v>
      </c>
      <c r="I550" s="26">
        <v>2</v>
      </c>
      <c r="J550" s="26">
        <v>0.16</v>
      </c>
      <c r="K550" s="26">
        <v>549</v>
      </c>
      <c r="L550" s="26">
        <v>0.13639999999999999</v>
      </c>
      <c r="M550" s="26">
        <v>0.69</v>
      </c>
      <c r="N550" s="26">
        <v>0.28360000000000002</v>
      </c>
      <c r="O550" s="26">
        <v>3</v>
      </c>
      <c r="P550" s="26">
        <v>6</v>
      </c>
      <c r="Q550" s="34">
        <v>9</v>
      </c>
    </row>
    <row r="551" spans="1:17" x14ac:dyDescent="0.25">
      <c r="A551" s="32">
        <v>550</v>
      </c>
      <c r="B551" s="33">
        <v>40568</v>
      </c>
      <c r="C551" s="26">
        <v>1</v>
      </c>
      <c r="D551" s="26">
        <v>0</v>
      </c>
      <c r="E551" s="26">
        <v>1</v>
      </c>
      <c r="F551" s="26">
        <v>1</v>
      </c>
      <c r="G551" s="26" t="b">
        <v>0</v>
      </c>
      <c r="H551" s="26">
        <v>2</v>
      </c>
      <c r="I551" s="26">
        <v>2</v>
      </c>
      <c r="J551" s="26">
        <v>0.16</v>
      </c>
      <c r="K551" s="26">
        <v>550</v>
      </c>
      <c r="L551" s="26">
        <v>0.16669999999999999</v>
      </c>
      <c r="M551" s="26">
        <v>0.69</v>
      </c>
      <c r="N551" s="26">
        <v>0.16420000000000001</v>
      </c>
      <c r="O551" s="26">
        <v>0</v>
      </c>
      <c r="P551" s="26">
        <v>5</v>
      </c>
      <c r="Q551" s="34">
        <v>5</v>
      </c>
    </row>
    <row r="552" spans="1:17" x14ac:dyDescent="0.25">
      <c r="A552" s="32">
        <v>551</v>
      </c>
      <c r="B552" s="33">
        <v>40568</v>
      </c>
      <c r="C552" s="26">
        <v>1</v>
      </c>
      <c r="D552" s="26">
        <v>0</v>
      </c>
      <c r="E552" s="26">
        <v>1</v>
      </c>
      <c r="F552" s="26">
        <v>2</v>
      </c>
      <c r="G552" s="26" t="b">
        <v>0</v>
      </c>
      <c r="H552" s="26">
        <v>2</v>
      </c>
      <c r="I552" s="26">
        <v>1</v>
      </c>
      <c r="J552" s="26">
        <v>0.16</v>
      </c>
      <c r="K552" s="26">
        <v>551</v>
      </c>
      <c r="L552" s="26">
        <v>0.1515</v>
      </c>
      <c r="M552" s="26">
        <v>0.69</v>
      </c>
      <c r="N552" s="26">
        <v>0.22389999999999999</v>
      </c>
      <c r="O552" s="26">
        <v>0</v>
      </c>
      <c r="P552" s="26">
        <v>2</v>
      </c>
      <c r="Q552" s="34">
        <v>2</v>
      </c>
    </row>
    <row r="553" spans="1:17" x14ac:dyDescent="0.25">
      <c r="A553" s="32">
        <v>552</v>
      </c>
      <c r="B553" s="33">
        <v>40568</v>
      </c>
      <c r="C553" s="26">
        <v>1</v>
      </c>
      <c r="D553" s="26">
        <v>0</v>
      </c>
      <c r="E553" s="26">
        <v>1</v>
      </c>
      <c r="F553" s="26">
        <v>4</v>
      </c>
      <c r="G553" s="26" t="b">
        <v>0</v>
      </c>
      <c r="H553" s="26">
        <v>2</v>
      </c>
      <c r="I553" s="26">
        <v>1</v>
      </c>
      <c r="J553" s="26">
        <v>0.14000000000000001</v>
      </c>
      <c r="K553" s="26">
        <v>552</v>
      </c>
      <c r="L553" s="26">
        <v>0.16669999999999999</v>
      </c>
      <c r="M553" s="26">
        <v>0.74</v>
      </c>
      <c r="N553" s="26">
        <v>0.1045</v>
      </c>
      <c r="O553" s="26">
        <v>0</v>
      </c>
      <c r="P553" s="26">
        <v>1</v>
      </c>
      <c r="Q553" s="34">
        <v>1</v>
      </c>
    </row>
    <row r="554" spans="1:17" x14ac:dyDescent="0.25">
      <c r="A554" s="32">
        <v>553</v>
      </c>
      <c r="B554" s="33">
        <v>40568</v>
      </c>
      <c r="C554" s="26">
        <v>1</v>
      </c>
      <c r="D554" s="26">
        <v>0</v>
      </c>
      <c r="E554" s="26">
        <v>1</v>
      </c>
      <c r="F554" s="26">
        <v>5</v>
      </c>
      <c r="G554" s="26" t="b">
        <v>0</v>
      </c>
      <c r="H554" s="26">
        <v>2</v>
      </c>
      <c r="I554" s="26">
        <v>1</v>
      </c>
      <c r="J554" s="26">
        <v>0.14000000000000001</v>
      </c>
      <c r="K554" s="26">
        <v>553</v>
      </c>
      <c r="L554" s="26">
        <v>0.13639999999999999</v>
      </c>
      <c r="M554" s="26">
        <v>0.74</v>
      </c>
      <c r="N554" s="26">
        <v>0.22389999999999999</v>
      </c>
      <c r="O554" s="26">
        <v>0</v>
      </c>
      <c r="P554" s="26">
        <v>9</v>
      </c>
      <c r="Q554" s="34">
        <v>9</v>
      </c>
    </row>
    <row r="555" spans="1:17" x14ac:dyDescent="0.25">
      <c r="A555" s="32">
        <v>554</v>
      </c>
      <c r="B555" s="33">
        <v>40568</v>
      </c>
      <c r="C555" s="26">
        <v>1</v>
      </c>
      <c r="D555" s="26">
        <v>0</v>
      </c>
      <c r="E555" s="26">
        <v>1</v>
      </c>
      <c r="F555" s="26">
        <v>6</v>
      </c>
      <c r="G555" s="26" t="b">
        <v>0</v>
      </c>
      <c r="H555" s="26">
        <v>2</v>
      </c>
      <c r="I555" s="26">
        <v>1</v>
      </c>
      <c r="J555" s="26">
        <v>0.16</v>
      </c>
      <c r="K555" s="26">
        <v>554</v>
      </c>
      <c r="L555" s="26">
        <v>0.18179999999999999</v>
      </c>
      <c r="M555" s="26">
        <v>0.74</v>
      </c>
      <c r="N555" s="26">
        <v>0.1045</v>
      </c>
      <c r="O555" s="26">
        <v>1</v>
      </c>
      <c r="P555" s="26">
        <v>35</v>
      </c>
      <c r="Q555" s="34">
        <v>36</v>
      </c>
    </row>
    <row r="556" spans="1:17" x14ac:dyDescent="0.25">
      <c r="A556" s="32">
        <v>555</v>
      </c>
      <c r="B556" s="33">
        <v>40568</v>
      </c>
      <c r="C556" s="26">
        <v>1</v>
      </c>
      <c r="D556" s="26">
        <v>0</v>
      </c>
      <c r="E556" s="26">
        <v>1</v>
      </c>
      <c r="F556" s="26">
        <v>7</v>
      </c>
      <c r="G556" s="26" t="b">
        <v>0</v>
      </c>
      <c r="H556" s="26">
        <v>2</v>
      </c>
      <c r="I556" s="26">
        <v>1</v>
      </c>
      <c r="J556" s="26">
        <v>0.16</v>
      </c>
      <c r="K556" s="26">
        <v>555</v>
      </c>
      <c r="L556" s="26">
        <v>0.1515</v>
      </c>
      <c r="M556" s="26">
        <v>0.74</v>
      </c>
      <c r="N556" s="26">
        <v>0.22389999999999999</v>
      </c>
      <c r="O556" s="26">
        <v>5</v>
      </c>
      <c r="P556" s="26">
        <v>103</v>
      </c>
      <c r="Q556" s="34">
        <v>108</v>
      </c>
    </row>
    <row r="557" spans="1:17" x14ac:dyDescent="0.25">
      <c r="A557" s="32">
        <v>556</v>
      </c>
      <c r="B557" s="33">
        <v>40568</v>
      </c>
      <c r="C557" s="26">
        <v>1</v>
      </c>
      <c r="D557" s="26">
        <v>0</v>
      </c>
      <c r="E557" s="26">
        <v>1</v>
      </c>
      <c r="F557" s="26">
        <v>8</v>
      </c>
      <c r="G557" s="26" t="b">
        <v>0</v>
      </c>
      <c r="H557" s="26">
        <v>2</v>
      </c>
      <c r="I557" s="26">
        <v>2</v>
      </c>
      <c r="J557" s="26">
        <v>0.16</v>
      </c>
      <c r="K557" s="26">
        <v>556</v>
      </c>
      <c r="L557" s="26">
        <v>0.18179999999999999</v>
      </c>
      <c r="M557" s="26">
        <v>0.74</v>
      </c>
      <c r="N557" s="26">
        <v>0.1343</v>
      </c>
      <c r="O557" s="26">
        <v>5</v>
      </c>
      <c r="P557" s="26">
        <v>233</v>
      </c>
      <c r="Q557" s="34">
        <v>238</v>
      </c>
    </row>
    <row r="558" spans="1:17" x14ac:dyDescent="0.25">
      <c r="A558" s="32">
        <v>557</v>
      </c>
      <c r="B558" s="33">
        <v>40568</v>
      </c>
      <c r="C558" s="26">
        <v>1</v>
      </c>
      <c r="D558" s="26">
        <v>0</v>
      </c>
      <c r="E558" s="26">
        <v>1</v>
      </c>
      <c r="F558" s="26">
        <v>9</v>
      </c>
      <c r="G558" s="26" t="b">
        <v>0</v>
      </c>
      <c r="H558" s="26">
        <v>2</v>
      </c>
      <c r="I558" s="26">
        <v>2</v>
      </c>
      <c r="J558" s="26">
        <v>0.2</v>
      </c>
      <c r="K558" s="26">
        <v>557</v>
      </c>
      <c r="L558" s="26">
        <v>0.2273</v>
      </c>
      <c r="M558" s="26">
        <v>0.64</v>
      </c>
      <c r="N558" s="26">
        <v>8.9599999999999999E-2</v>
      </c>
      <c r="O558" s="26">
        <v>10</v>
      </c>
      <c r="P558" s="26">
        <v>134</v>
      </c>
      <c r="Q558" s="34">
        <v>144</v>
      </c>
    </row>
    <row r="559" spans="1:17" x14ac:dyDescent="0.25">
      <c r="A559" s="32">
        <v>558</v>
      </c>
      <c r="B559" s="33">
        <v>40568</v>
      </c>
      <c r="C559" s="26">
        <v>1</v>
      </c>
      <c r="D559" s="26">
        <v>0</v>
      </c>
      <c r="E559" s="26">
        <v>1</v>
      </c>
      <c r="F559" s="26">
        <v>10</v>
      </c>
      <c r="G559" s="26" t="b">
        <v>0</v>
      </c>
      <c r="H559" s="26">
        <v>2</v>
      </c>
      <c r="I559" s="26">
        <v>2</v>
      </c>
      <c r="J559" s="26">
        <v>0.22</v>
      </c>
      <c r="K559" s="26">
        <v>558</v>
      </c>
      <c r="L559" s="26">
        <v>0.2424</v>
      </c>
      <c r="M559" s="26">
        <v>0.6</v>
      </c>
      <c r="N559" s="26">
        <v>0.1045</v>
      </c>
      <c r="O559" s="26">
        <v>6</v>
      </c>
      <c r="P559" s="26">
        <v>49</v>
      </c>
      <c r="Q559" s="34">
        <v>55</v>
      </c>
    </row>
    <row r="560" spans="1:17" x14ac:dyDescent="0.25">
      <c r="A560" s="32">
        <v>559</v>
      </c>
      <c r="B560" s="33">
        <v>40568</v>
      </c>
      <c r="C560" s="26">
        <v>1</v>
      </c>
      <c r="D560" s="26">
        <v>0</v>
      </c>
      <c r="E560" s="26">
        <v>1</v>
      </c>
      <c r="F560" s="26">
        <v>11</v>
      </c>
      <c r="G560" s="26" t="b">
        <v>0</v>
      </c>
      <c r="H560" s="26">
        <v>2</v>
      </c>
      <c r="I560" s="26">
        <v>2</v>
      </c>
      <c r="J560" s="26">
        <v>0.24</v>
      </c>
      <c r="K560" s="26">
        <v>559</v>
      </c>
      <c r="L560" s="26">
        <v>0.2424</v>
      </c>
      <c r="M560" s="26">
        <v>0.6</v>
      </c>
      <c r="N560" s="26">
        <v>0.1343</v>
      </c>
      <c r="O560" s="26">
        <v>6</v>
      </c>
      <c r="P560" s="26">
        <v>55</v>
      </c>
      <c r="Q560" s="34">
        <v>61</v>
      </c>
    </row>
    <row r="561" spans="1:17" x14ac:dyDescent="0.25">
      <c r="A561" s="32">
        <v>560</v>
      </c>
      <c r="B561" s="33">
        <v>40568</v>
      </c>
      <c r="C561" s="26">
        <v>1</v>
      </c>
      <c r="D561" s="26">
        <v>0</v>
      </c>
      <c r="E561" s="26">
        <v>1</v>
      </c>
      <c r="F561" s="26">
        <v>12</v>
      </c>
      <c r="G561" s="26" t="b">
        <v>0</v>
      </c>
      <c r="H561" s="26">
        <v>2</v>
      </c>
      <c r="I561" s="26">
        <v>2</v>
      </c>
      <c r="J561" s="26">
        <v>0.26</v>
      </c>
      <c r="K561" s="26">
        <v>560</v>
      </c>
      <c r="L561" s="26">
        <v>0.28789999999999999</v>
      </c>
      <c r="M561" s="26">
        <v>0.56000000000000005</v>
      </c>
      <c r="N561" s="26">
        <v>8.9599999999999999E-2</v>
      </c>
      <c r="O561" s="26">
        <v>21</v>
      </c>
      <c r="P561" s="26">
        <v>85</v>
      </c>
      <c r="Q561" s="34">
        <v>106</v>
      </c>
    </row>
    <row r="562" spans="1:17" x14ac:dyDescent="0.25">
      <c r="A562" s="32">
        <v>561</v>
      </c>
      <c r="B562" s="33">
        <v>40568</v>
      </c>
      <c r="C562" s="26">
        <v>1</v>
      </c>
      <c r="D562" s="26">
        <v>0</v>
      </c>
      <c r="E562" s="26">
        <v>1</v>
      </c>
      <c r="F562" s="26">
        <v>13</v>
      </c>
      <c r="G562" s="26" t="b">
        <v>0</v>
      </c>
      <c r="H562" s="26">
        <v>2</v>
      </c>
      <c r="I562" s="26">
        <v>2</v>
      </c>
      <c r="J562" s="26">
        <v>0.26</v>
      </c>
      <c r="K562" s="26">
        <v>561</v>
      </c>
      <c r="L562" s="26">
        <v>0.2727</v>
      </c>
      <c r="M562" s="26">
        <v>0.56000000000000005</v>
      </c>
      <c r="N562" s="26">
        <v>0.1343</v>
      </c>
      <c r="O562" s="26">
        <v>21</v>
      </c>
      <c r="P562" s="26">
        <v>72</v>
      </c>
      <c r="Q562" s="34">
        <v>93</v>
      </c>
    </row>
    <row r="563" spans="1:17" x14ac:dyDescent="0.25">
      <c r="A563" s="32">
        <v>562</v>
      </c>
      <c r="B563" s="33">
        <v>40568</v>
      </c>
      <c r="C563" s="26">
        <v>1</v>
      </c>
      <c r="D563" s="26">
        <v>0</v>
      </c>
      <c r="E563" s="26">
        <v>1</v>
      </c>
      <c r="F563" s="26">
        <v>14</v>
      </c>
      <c r="G563" s="26" t="b">
        <v>0</v>
      </c>
      <c r="H563" s="26">
        <v>2</v>
      </c>
      <c r="I563" s="26">
        <v>2</v>
      </c>
      <c r="J563" s="26">
        <v>0.3</v>
      </c>
      <c r="K563" s="26">
        <v>562</v>
      </c>
      <c r="L563" s="26">
        <v>0.33329999999999999</v>
      </c>
      <c r="M563" s="26">
        <v>0.45</v>
      </c>
      <c r="N563" s="26">
        <v>0</v>
      </c>
      <c r="O563" s="26">
        <v>11</v>
      </c>
      <c r="P563" s="26">
        <v>57</v>
      </c>
      <c r="Q563" s="34">
        <v>68</v>
      </c>
    </row>
    <row r="564" spans="1:17" x14ac:dyDescent="0.25">
      <c r="A564" s="32">
        <v>563</v>
      </c>
      <c r="B564" s="33">
        <v>40568</v>
      </c>
      <c r="C564" s="26">
        <v>1</v>
      </c>
      <c r="D564" s="26">
        <v>0</v>
      </c>
      <c r="E564" s="26">
        <v>1</v>
      </c>
      <c r="F564" s="26">
        <v>15</v>
      </c>
      <c r="G564" s="26" t="b">
        <v>0</v>
      </c>
      <c r="H564" s="26">
        <v>2</v>
      </c>
      <c r="I564" s="26">
        <v>2</v>
      </c>
      <c r="J564" s="26">
        <v>0.32</v>
      </c>
      <c r="K564" s="26">
        <v>563</v>
      </c>
      <c r="L564" s="26">
        <v>0.34849999999999998</v>
      </c>
      <c r="M564" s="26">
        <v>0.42</v>
      </c>
      <c r="N564" s="26">
        <v>0</v>
      </c>
      <c r="O564" s="26">
        <v>21</v>
      </c>
      <c r="P564" s="26">
        <v>63</v>
      </c>
      <c r="Q564" s="34">
        <v>84</v>
      </c>
    </row>
    <row r="565" spans="1:17" x14ac:dyDescent="0.25">
      <c r="A565" s="32">
        <v>564</v>
      </c>
      <c r="B565" s="33">
        <v>40568</v>
      </c>
      <c r="C565" s="26">
        <v>1</v>
      </c>
      <c r="D565" s="26">
        <v>0</v>
      </c>
      <c r="E565" s="26">
        <v>1</v>
      </c>
      <c r="F565" s="26">
        <v>16</v>
      </c>
      <c r="G565" s="26" t="b">
        <v>0</v>
      </c>
      <c r="H565" s="26">
        <v>2</v>
      </c>
      <c r="I565" s="26">
        <v>2</v>
      </c>
      <c r="J565" s="26">
        <v>0.32</v>
      </c>
      <c r="K565" s="26">
        <v>564</v>
      </c>
      <c r="L565" s="26">
        <v>0.34849999999999998</v>
      </c>
      <c r="M565" s="26">
        <v>0.42</v>
      </c>
      <c r="N565" s="26">
        <v>0</v>
      </c>
      <c r="O565" s="26">
        <v>14</v>
      </c>
      <c r="P565" s="26">
        <v>102</v>
      </c>
      <c r="Q565" s="34">
        <v>116</v>
      </c>
    </row>
    <row r="566" spans="1:17" x14ac:dyDescent="0.25">
      <c r="A566" s="32">
        <v>565</v>
      </c>
      <c r="B566" s="33">
        <v>40568</v>
      </c>
      <c r="C566" s="26">
        <v>1</v>
      </c>
      <c r="D566" s="26">
        <v>0</v>
      </c>
      <c r="E566" s="26">
        <v>1</v>
      </c>
      <c r="F566" s="26">
        <v>17</v>
      </c>
      <c r="G566" s="26" t="b">
        <v>0</v>
      </c>
      <c r="H566" s="26">
        <v>2</v>
      </c>
      <c r="I566" s="26">
        <v>1</v>
      </c>
      <c r="J566" s="26">
        <v>0.3</v>
      </c>
      <c r="K566" s="26">
        <v>565</v>
      </c>
      <c r="L566" s="26">
        <v>0.33329999999999999</v>
      </c>
      <c r="M566" s="26">
        <v>0.45</v>
      </c>
      <c r="N566" s="26">
        <v>0</v>
      </c>
      <c r="O566" s="26">
        <v>14</v>
      </c>
      <c r="P566" s="26">
        <v>208</v>
      </c>
      <c r="Q566" s="34">
        <v>222</v>
      </c>
    </row>
    <row r="567" spans="1:17" x14ac:dyDescent="0.25">
      <c r="A567" s="32">
        <v>566</v>
      </c>
      <c r="B567" s="33">
        <v>40568</v>
      </c>
      <c r="C567" s="26">
        <v>1</v>
      </c>
      <c r="D567" s="26">
        <v>0</v>
      </c>
      <c r="E567" s="26">
        <v>1</v>
      </c>
      <c r="F567" s="26">
        <v>18</v>
      </c>
      <c r="G567" s="26" t="b">
        <v>0</v>
      </c>
      <c r="H567" s="26">
        <v>2</v>
      </c>
      <c r="I567" s="26">
        <v>2</v>
      </c>
      <c r="J567" s="26">
        <v>0.3</v>
      </c>
      <c r="K567" s="26">
        <v>566</v>
      </c>
      <c r="L567" s="26">
        <v>0.31819999999999998</v>
      </c>
      <c r="M567" s="26">
        <v>0.49</v>
      </c>
      <c r="N567" s="26">
        <v>8.9599999999999999E-2</v>
      </c>
      <c r="O567" s="26">
        <v>7</v>
      </c>
      <c r="P567" s="26">
        <v>218</v>
      </c>
      <c r="Q567" s="34">
        <v>225</v>
      </c>
    </row>
    <row r="568" spans="1:17" x14ac:dyDescent="0.25">
      <c r="A568" s="32">
        <v>567</v>
      </c>
      <c r="B568" s="33">
        <v>40568</v>
      </c>
      <c r="C568" s="26">
        <v>1</v>
      </c>
      <c r="D568" s="26">
        <v>0</v>
      </c>
      <c r="E568" s="26">
        <v>1</v>
      </c>
      <c r="F568" s="26">
        <v>19</v>
      </c>
      <c r="G568" s="26" t="b">
        <v>0</v>
      </c>
      <c r="H568" s="26">
        <v>2</v>
      </c>
      <c r="I568" s="26">
        <v>2</v>
      </c>
      <c r="J568" s="26">
        <v>0.26</v>
      </c>
      <c r="K568" s="26">
        <v>567</v>
      </c>
      <c r="L568" s="26">
        <v>0.2576</v>
      </c>
      <c r="M568" s="26">
        <v>0.65</v>
      </c>
      <c r="N568" s="26">
        <v>0.16420000000000001</v>
      </c>
      <c r="O568" s="26">
        <v>13</v>
      </c>
      <c r="P568" s="26">
        <v>133</v>
      </c>
      <c r="Q568" s="34">
        <v>146</v>
      </c>
    </row>
    <row r="569" spans="1:17" x14ac:dyDescent="0.25">
      <c r="A569" s="32">
        <v>568</v>
      </c>
      <c r="B569" s="33">
        <v>40568</v>
      </c>
      <c r="C569" s="26">
        <v>1</v>
      </c>
      <c r="D569" s="26">
        <v>0</v>
      </c>
      <c r="E569" s="26">
        <v>1</v>
      </c>
      <c r="F569" s="26">
        <v>20</v>
      </c>
      <c r="G569" s="26" t="b">
        <v>0</v>
      </c>
      <c r="H569" s="26">
        <v>2</v>
      </c>
      <c r="I569" s="26">
        <v>1</v>
      </c>
      <c r="J569" s="26">
        <v>0.24</v>
      </c>
      <c r="K569" s="26">
        <v>568</v>
      </c>
      <c r="L569" s="26">
        <v>0.2273</v>
      </c>
      <c r="M569" s="26">
        <v>0.65</v>
      </c>
      <c r="N569" s="26">
        <v>0.19400000000000001</v>
      </c>
      <c r="O569" s="26">
        <v>16</v>
      </c>
      <c r="P569" s="26">
        <v>103</v>
      </c>
      <c r="Q569" s="34">
        <v>119</v>
      </c>
    </row>
    <row r="570" spans="1:17" x14ac:dyDescent="0.25">
      <c r="A570" s="32">
        <v>569</v>
      </c>
      <c r="B570" s="33">
        <v>40568</v>
      </c>
      <c r="C570" s="26">
        <v>1</v>
      </c>
      <c r="D570" s="26">
        <v>0</v>
      </c>
      <c r="E570" s="26">
        <v>1</v>
      </c>
      <c r="F570" s="26">
        <v>21</v>
      </c>
      <c r="G570" s="26" t="b">
        <v>0</v>
      </c>
      <c r="H570" s="26">
        <v>2</v>
      </c>
      <c r="I570" s="26">
        <v>1</v>
      </c>
      <c r="J570" s="26">
        <v>0.24</v>
      </c>
      <c r="K570" s="26">
        <v>569</v>
      </c>
      <c r="L570" s="26">
        <v>0.2273</v>
      </c>
      <c r="M570" s="26">
        <v>0.65</v>
      </c>
      <c r="N570" s="26">
        <v>0.19400000000000001</v>
      </c>
      <c r="O570" s="26">
        <v>5</v>
      </c>
      <c r="P570" s="26">
        <v>40</v>
      </c>
      <c r="Q570" s="34">
        <v>45</v>
      </c>
    </row>
    <row r="571" spans="1:17" x14ac:dyDescent="0.25">
      <c r="A571" s="32">
        <v>570</v>
      </c>
      <c r="B571" s="33">
        <v>40568</v>
      </c>
      <c r="C571" s="26">
        <v>1</v>
      </c>
      <c r="D571" s="26">
        <v>0</v>
      </c>
      <c r="E571" s="26">
        <v>1</v>
      </c>
      <c r="F571" s="26">
        <v>22</v>
      </c>
      <c r="G571" s="26" t="b">
        <v>0</v>
      </c>
      <c r="H571" s="26">
        <v>2</v>
      </c>
      <c r="I571" s="26">
        <v>1</v>
      </c>
      <c r="J571" s="26">
        <v>0.22</v>
      </c>
      <c r="K571" s="26">
        <v>570</v>
      </c>
      <c r="L571" s="26">
        <v>0.2273</v>
      </c>
      <c r="M571" s="26">
        <v>0.64</v>
      </c>
      <c r="N571" s="26">
        <v>0.16420000000000001</v>
      </c>
      <c r="O571" s="26">
        <v>4</v>
      </c>
      <c r="P571" s="26">
        <v>49</v>
      </c>
      <c r="Q571" s="34">
        <v>53</v>
      </c>
    </row>
    <row r="572" spans="1:17" x14ac:dyDescent="0.25">
      <c r="A572" s="32">
        <v>571</v>
      </c>
      <c r="B572" s="33">
        <v>40568</v>
      </c>
      <c r="C572" s="26">
        <v>1</v>
      </c>
      <c r="D572" s="26">
        <v>0</v>
      </c>
      <c r="E572" s="26">
        <v>1</v>
      </c>
      <c r="F572" s="26">
        <v>23</v>
      </c>
      <c r="G572" s="26" t="b">
        <v>0</v>
      </c>
      <c r="H572" s="26">
        <v>2</v>
      </c>
      <c r="I572" s="26">
        <v>2</v>
      </c>
      <c r="J572" s="26">
        <v>0.22</v>
      </c>
      <c r="K572" s="26">
        <v>571</v>
      </c>
      <c r="L572" s="26">
        <v>0.2273</v>
      </c>
      <c r="M572" s="26">
        <v>0.64</v>
      </c>
      <c r="N572" s="26">
        <v>0.16420000000000001</v>
      </c>
      <c r="O572" s="26">
        <v>3</v>
      </c>
      <c r="P572" s="26">
        <v>37</v>
      </c>
      <c r="Q572" s="34">
        <v>40</v>
      </c>
    </row>
    <row r="573" spans="1:17" x14ac:dyDescent="0.25">
      <c r="A573" s="32">
        <v>572</v>
      </c>
      <c r="B573" s="33">
        <v>40569</v>
      </c>
      <c r="C573" s="26">
        <v>1</v>
      </c>
      <c r="D573" s="26">
        <v>0</v>
      </c>
      <c r="E573" s="26">
        <v>1</v>
      </c>
      <c r="F573" s="26">
        <v>0</v>
      </c>
      <c r="G573" s="26" t="b">
        <v>0</v>
      </c>
      <c r="H573" s="26">
        <v>3</v>
      </c>
      <c r="I573" s="26">
        <v>2</v>
      </c>
      <c r="J573" s="26">
        <v>0.22</v>
      </c>
      <c r="K573" s="26">
        <v>572</v>
      </c>
      <c r="L573" s="26">
        <v>0.2273</v>
      </c>
      <c r="M573" s="26">
        <v>0.69</v>
      </c>
      <c r="N573" s="26">
        <v>0.1343</v>
      </c>
      <c r="O573" s="26">
        <v>3</v>
      </c>
      <c r="P573" s="26">
        <v>14</v>
      </c>
      <c r="Q573" s="34">
        <v>17</v>
      </c>
    </row>
    <row r="574" spans="1:17" x14ac:dyDescent="0.25">
      <c r="A574" s="32">
        <v>573</v>
      </c>
      <c r="B574" s="33">
        <v>40569</v>
      </c>
      <c r="C574" s="26">
        <v>1</v>
      </c>
      <c r="D574" s="26">
        <v>0</v>
      </c>
      <c r="E574" s="26">
        <v>1</v>
      </c>
      <c r="F574" s="26">
        <v>1</v>
      </c>
      <c r="G574" s="26" t="b">
        <v>0</v>
      </c>
      <c r="H574" s="26">
        <v>3</v>
      </c>
      <c r="I574" s="26">
        <v>2</v>
      </c>
      <c r="J574" s="26">
        <v>0.24</v>
      </c>
      <c r="K574" s="26">
        <v>573</v>
      </c>
      <c r="L574" s="26">
        <v>0.2424</v>
      </c>
      <c r="M574" s="26">
        <v>0.65</v>
      </c>
      <c r="N574" s="26">
        <v>0.1343</v>
      </c>
      <c r="O574" s="26">
        <v>0</v>
      </c>
      <c r="P574" s="26">
        <v>5</v>
      </c>
      <c r="Q574" s="34">
        <v>5</v>
      </c>
    </row>
    <row r="575" spans="1:17" x14ac:dyDescent="0.25">
      <c r="A575" s="32">
        <v>574</v>
      </c>
      <c r="B575" s="33">
        <v>40569</v>
      </c>
      <c r="C575" s="26">
        <v>1</v>
      </c>
      <c r="D575" s="26">
        <v>0</v>
      </c>
      <c r="E575" s="26">
        <v>1</v>
      </c>
      <c r="F575" s="26">
        <v>2</v>
      </c>
      <c r="G575" s="26" t="b">
        <v>0</v>
      </c>
      <c r="H575" s="26">
        <v>3</v>
      </c>
      <c r="I575" s="26">
        <v>3</v>
      </c>
      <c r="J575" s="26">
        <v>0.22</v>
      </c>
      <c r="K575" s="26">
        <v>574</v>
      </c>
      <c r="L575" s="26">
        <v>0.2273</v>
      </c>
      <c r="M575" s="26">
        <v>0.69</v>
      </c>
      <c r="N575" s="26">
        <v>0.19400000000000001</v>
      </c>
      <c r="O575" s="26">
        <v>3</v>
      </c>
      <c r="P575" s="26">
        <v>7</v>
      </c>
      <c r="Q575" s="34">
        <v>10</v>
      </c>
    </row>
    <row r="576" spans="1:17" x14ac:dyDescent="0.25">
      <c r="A576" s="32">
        <v>575</v>
      </c>
      <c r="B576" s="33">
        <v>40569</v>
      </c>
      <c r="C576" s="26">
        <v>1</v>
      </c>
      <c r="D576" s="26">
        <v>0</v>
      </c>
      <c r="E576" s="26">
        <v>1</v>
      </c>
      <c r="F576" s="26">
        <v>5</v>
      </c>
      <c r="G576" s="26" t="b">
        <v>0</v>
      </c>
      <c r="H576" s="26">
        <v>3</v>
      </c>
      <c r="I576" s="26">
        <v>3</v>
      </c>
      <c r="J576" s="26">
        <v>0.2</v>
      </c>
      <c r="K576" s="26">
        <v>575</v>
      </c>
      <c r="L576" s="26">
        <v>0.18179999999999999</v>
      </c>
      <c r="M576" s="26">
        <v>0.86</v>
      </c>
      <c r="N576" s="26">
        <v>0.28360000000000002</v>
      </c>
      <c r="O576" s="26">
        <v>0</v>
      </c>
      <c r="P576" s="26">
        <v>1</v>
      </c>
      <c r="Q576" s="34">
        <v>1</v>
      </c>
    </row>
    <row r="577" spans="1:17" x14ac:dyDescent="0.25">
      <c r="A577" s="32">
        <v>576</v>
      </c>
      <c r="B577" s="33">
        <v>40569</v>
      </c>
      <c r="C577" s="26">
        <v>1</v>
      </c>
      <c r="D577" s="26">
        <v>0</v>
      </c>
      <c r="E577" s="26">
        <v>1</v>
      </c>
      <c r="F577" s="26">
        <v>6</v>
      </c>
      <c r="G577" s="26" t="b">
        <v>0</v>
      </c>
      <c r="H577" s="26">
        <v>3</v>
      </c>
      <c r="I577" s="26">
        <v>3</v>
      </c>
      <c r="J577" s="26">
        <v>0.2</v>
      </c>
      <c r="K577" s="26">
        <v>576</v>
      </c>
      <c r="L577" s="26">
        <v>0.18179999999999999</v>
      </c>
      <c r="M577" s="26">
        <v>0.86</v>
      </c>
      <c r="N577" s="26">
        <v>0.28360000000000002</v>
      </c>
      <c r="O577" s="26">
        <v>0</v>
      </c>
      <c r="P577" s="26">
        <v>8</v>
      </c>
      <c r="Q577" s="34">
        <v>8</v>
      </c>
    </row>
    <row r="578" spans="1:17" x14ac:dyDescent="0.25">
      <c r="A578" s="32">
        <v>577</v>
      </c>
      <c r="B578" s="33">
        <v>40569</v>
      </c>
      <c r="C578" s="26">
        <v>1</v>
      </c>
      <c r="D578" s="26">
        <v>0</v>
      </c>
      <c r="E578" s="26">
        <v>1</v>
      </c>
      <c r="F578" s="26">
        <v>7</v>
      </c>
      <c r="G578" s="26" t="b">
        <v>0</v>
      </c>
      <c r="H578" s="26">
        <v>3</v>
      </c>
      <c r="I578" s="26">
        <v>3</v>
      </c>
      <c r="J578" s="26">
        <v>0.22</v>
      </c>
      <c r="K578" s="26">
        <v>577</v>
      </c>
      <c r="L578" s="26">
        <v>0.21210000000000001</v>
      </c>
      <c r="M578" s="26">
        <v>0.87</v>
      </c>
      <c r="N578" s="26">
        <v>0.29849999999999999</v>
      </c>
      <c r="O578" s="26">
        <v>1</v>
      </c>
      <c r="P578" s="26">
        <v>29</v>
      </c>
      <c r="Q578" s="34">
        <v>30</v>
      </c>
    </row>
    <row r="579" spans="1:17" x14ac:dyDescent="0.25">
      <c r="A579" s="32">
        <v>578</v>
      </c>
      <c r="B579" s="33">
        <v>40569</v>
      </c>
      <c r="C579" s="26">
        <v>1</v>
      </c>
      <c r="D579" s="26">
        <v>0</v>
      </c>
      <c r="E579" s="26">
        <v>1</v>
      </c>
      <c r="F579" s="26">
        <v>8</v>
      </c>
      <c r="G579" s="26" t="b">
        <v>0</v>
      </c>
      <c r="H579" s="26">
        <v>3</v>
      </c>
      <c r="I579" s="26">
        <v>3</v>
      </c>
      <c r="J579" s="26">
        <v>0.22</v>
      </c>
      <c r="K579" s="26">
        <v>578</v>
      </c>
      <c r="L579" s="26">
        <v>0.21210000000000001</v>
      </c>
      <c r="M579" s="26">
        <v>0.87</v>
      </c>
      <c r="N579" s="26">
        <v>0.29849999999999999</v>
      </c>
      <c r="O579" s="26">
        <v>3</v>
      </c>
      <c r="P579" s="26">
        <v>69</v>
      </c>
      <c r="Q579" s="34">
        <v>72</v>
      </c>
    </row>
    <row r="580" spans="1:17" x14ac:dyDescent="0.25">
      <c r="A580" s="32">
        <v>579</v>
      </c>
      <c r="B580" s="33">
        <v>40569</v>
      </c>
      <c r="C580" s="26">
        <v>1</v>
      </c>
      <c r="D580" s="26">
        <v>0</v>
      </c>
      <c r="E580" s="26">
        <v>1</v>
      </c>
      <c r="F580" s="26">
        <v>9</v>
      </c>
      <c r="G580" s="26" t="b">
        <v>0</v>
      </c>
      <c r="H580" s="26">
        <v>3</v>
      </c>
      <c r="I580" s="26">
        <v>3</v>
      </c>
      <c r="J580" s="26">
        <v>0.22</v>
      </c>
      <c r="K580" s="26">
        <v>579</v>
      </c>
      <c r="L580" s="26">
        <v>0.21210000000000001</v>
      </c>
      <c r="M580" s="26">
        <v>0.87</v>
      </c>
      <c r="N580" s="26">
        <v>0.29849999999999999</v>
      </c>
      <c r="O580" s="26">
        <v>3</v>
      </c>
      <c r="P580" s="26">
        <v>55</v>
      </c>
      <c r="Q580" s="34">
        <v>58</v>
      </c>
    </row>
    <row r="581" spans="1:17" x14ac:dyDescent="0.25">
      <c r="A581" s="32">
        <v>580</v>
      </c>
      <c r="B581" s="33">
        <v>40569</v>
      </c>
      <c r="C581" s="26">
        <v>1</v>
      </c>
      <c r="D581" s="26">
        <v>0</v>
      </c>
      <c r="E581" s="26">
        <v>1</v>
      </c>
      <c r="F581" s="26">
        <v>10</v>
      </c>
      <c r="G581" s="26" t="b">
        <v>0</v>
      </c>
      <c r="H581" s="26">
        <v>3</v>
      </c>
      <c r="I581" s="26">
        <v>3</v>
      </c>
      <c r="J581" s="26">
        <v>0.22</v>
      </c>
      <c r="K581" s="26">
        <v>580</v>
      </c>
      <c r="L581" s="26">
        <v>0.21210000000000001</v>
      </c>
      <c r="M581" s="26">
        <v>0.93</v>
      </c>
      <c r="N581" s="26">
        <v>0.28360000000000002</v>
      </c>
      <c r="O581" s="26">
        <v>2</v>
      </c>
      <c r="P581" s="26">
        <v>26</v>
      </c>
      <c r="Q581" s="34">
        <v>28</v>
      </c>
    </row>
    <row r="582" spans="1:17" x14ac:dyDescent="0.25">
      <c r="A582" s="32">
        <v>581</v>
      </c>
      <c r="B582" s="33">
        <v>40569</v>
      </c>
      <c r="C582" s="26">
        <v>1</v>
      </c>
      <c r="D582" s="26">
        <v>0</v>
      </c>
      <c r="E582" s="26">
        <v>1</v>
      </c>
      <c r="F582" s="26">
        <v>11</v>
      </c>
      <c r="G582" s="26" t="b">
        <v>0</v>
      </c>
      <c r="H582" s="26">
        <v>3</v>
      </c>
      <c r="I582" s="26">
        <v>3</v>
      </c>
      <c r="J582" s="26">
        <v>0.22</v>
      </c>
      <c r="K582" s="26">
        <v>581</v>
      </c>
      <c r="L582" s="26">
        <v>0.19700000000000001</v>
      </c>
      <c r="M582" s="26">
        <v>0.93</v>
      </c>
      <c r="N582" s="26">
        <v>0.32840000000000003</v>
      </c>
      <c r="O582" s="26">
        <v>6</v>
      </c>
      <c r="P582" s="26">
        <v>35</v>
      </c>
      <c r="Q582" s="34">
        <v>41</v>
      </c>
    </row>
    <row r="583" spans="1:17" x14ac:dyDescent="0.25">
      <c r="A583" s="32">
        <v>582</v>
      </c>
      <c r="B583" s="33">
        <v>40569</v>
      </c>
      <c r="C583" s="26">
        <v>1</v>
      </c>
      <c r="D583" s="26">
        <v>0</v>
      </c>
      <c r="E583" s="26">
        <v>1</v>
      </c>
      <c r="F583" s="26">
        <v>12</v>
      </c>
      <c r="G583" s="26" t="b">
        <v>0</v>
      </c>
      <c r="H583" s="26">
        <v>3</v>
      </c>
      <c r="I583" s="26">
        <v>3</v>
      </c>
      <c r="J583" s="26">
        <v>0.22</v>
      </c>
      <c r="K583" s="26">
        <v>582</v>
      </c>
      <c r="L583" s="26">
        <v>0.19700000000000001</v>
      </c>
      <c r="M583" s="26">
        <v>0.93</v>
      </c>
      <c r="N583" s="26">
        <v>0.32840000000000003</v>
      </c>
      <c r="O583" s="26">
        <v>7</v>
      </c>
      <c r="P583" s="26">
        <v>41</v>
      </c>
      <c r="Q583" s="34">
        <v>48</v>
      </c>
    </row>
    <row r="584" spans="1:17" x14ac:dyDescent="0.25">
      <c r="A584" s="32">
        <v>583</v>
      </c>
      <c r="B584" s="33">
        <v>40569</v>
      </c>
      <c r="C584" s="26">
        <v>1</v>
      </c>
      <c r="D584" s="26">
        <v>0</v>
      </c>
      <c r="E584" s="26">
        <v>1</v>
      </c>
      <c r="F584" s="26">
        <v>13</v>
      </c>
      <c r="G584" s="26" t="b">
        <v>0</v>
      </c>
      <c r="H584" s="26">
        <v>3</v>
      </c>
      <c r="I584" s="26">
        <v>3</v>
      </c>
      <c r="J584" s="26">
        <v>0.22</v>
      </c>
      <c r="K584" s="26">
        <v>583</v>
      </c>
      <c r="L584" s="26">
        <v>0.19700000000000001</v>
      </c>
      <c r="M584" s="26">
        <v>0.93</v>
      </c>
      <c r="N584" s="26">
        <v>0.32840000000000003</v>
      </c>
      <c r="O584" s="26">
        <v>4</v>
      </c>
      <c r="P584" s="26">
        <v>43</v>
      </c>
      <c r="Q584" s="34">
        <v>47</v>
      </c>
    </row>
    <row r="585" spans="1:17" x14ac:dyDescent="0.25">
      <c r="A585" s="32">
        <v>584</v>
      </c>
      <c r="B585" s="33">
        <v>40569</v>
      </c>
      <c r="C585" s="26">
        <v>1</v>
      </c>
      <c r="D585" s="26">
        <v>0</v>
      </c>
      <c r="E585" s="26">
        <v>1</v>
      </c>
      <c r="F585" s="26">
        <v>14</v>
      </c>
      <c r="G585" s="26" t="b">
        <v>0</v>
      </c>
      <c r="H585" s="26">
        <v>3</v>
      </c>
      <c r="I585" s="26">
        <v>3</v>
      </c>
      <c r="J585" s="26">
        <v>0.22</v>
      </c>
      <c r="K585" s="26">
        <v>584</v>
      </c>
      <c r="L585" s="26">
        <v>0.19700000000000001</v>
      </c>
      <c r="M585" s="26">
        <v>0.93</v>
      </c>
      <c r="N585" s="26">
        <v>0.35820000000000002</v>
      </c>
      <c r="O585" s="26">
        <v>0</v>
      </c>
      <c r="P585" s="26">
        <v>36</v>
      </c>
      <c r="Q585" s="34">
        <v>36</v>
      </c>
    </row>
    <row r="586" spans="1:17" x14ac:dyDescent="0.25">
      <c r="A586" s="32">
        <v>585</v>
      </c>
      <c r="B586" s="33">
        <v>40569</v>
      </c>
      <c r="C586" s="26">
        <v>1</v>
      </c>
      <c r="D586" s="26">
        <v>0</v>
      </c>
      <c r="E586" s="26">
        <v>1</v>
      </c>
      <c r="F586" s="26">
        <v>15</v>
      </c>
      <c r="G586" s="26" t="b">
        <v>0</v>
      </c>
      <c r="H586" s="26">
        <v>3</v>
      </c>
      <c r="I586" s="26">
        <v>3</v>
      </c>
      <c r="J586" s="26">
        <v>0.22</v>
      </c>
      <c r="K586" s="26">
        <v>585</v>
      </c>
      <c r="L586" s="26">
        <v>0.18179999999999999</v>
      </c>
      <c r="M586" s="26">
        <v>0.93</v>
      </c>
      <c r="N586" s="26">
        <v>0.4627</v>
      </c>
      <c r="O586" s="26">
        <v>1</v>
      </c>
      <c r="P586" s="26">
        <v>42</v>
      </c>
      <c r="Q586" s="34">
        <v>43</v>
      </c>
    </row>
    <row r="587" spans="1:17" x14ac:dyDescent="0.25">
      <c r="A587" s="32">
        <v>586</v>
      </c>
      <c r="B587" s="33">
        <v>40569</v>
      </c>
      <c r="C587" s="26">
        <v>1</v>
      </c>
      <c r="D587" s="26">
        <v>0</v>
      </c>
      <c r="E587" s="26">
        <v>1</v>
      </c>
      <c r="F587" s="26">
        <v>16</v>
      </c>
      <c r="G587" s="26" t="b">
        <v>0</v>
      </c>
      <c r="H587" s="26">
        <v>3</v>
      </c>
      <c r="I587" s="26">
        <v>4</v>
      </c>
      <c r="J587" s="26">
        <v>0.22</v>
      </c>
      <c r="K587" s="26">
        <v>586</v>
      </c>
      <c r="L587" s="26">
        <v>0.19700000000000001</v>
      </c>
      <c r="M587" s="26">
        <v>0.93</v>
      </c>
      <c r="N587" s="26">
        <v>0.32840000000000003</v>
      </c>
      <c r="O587" s="26">
        <v>1</v>
      </c>
      <c r="P587" s="26">
        <v>35</v>
      </c>
      <c r="Q587" s="34">
        <v>36</v>
      </c>
    </row>
    <row r="588" spans="1:17" x14ac:dyDescent="0.25">
      <c r="A588" s="32">
        <v>587</v>
      </c>
      <c r="B588" s="33">
        <v>40569</v>
      </c>
      <c r="C588" s="26">
        <v>1</v>
      </c>
      <c r="D588" s="26">
        <v>0</v>
      </c>
      <c r="E588" s="26">
        <v>1</v>
      </c>
      <c r="F588" s="26">
        <v>17</v>
      </c>
      <c r="G588" s="26" t="b">
        <v>0</v>
      </c>
      <c r="H588" s="26">
        <v>3</v>
      </c>
      <c r="I588" s="26">
        <v>3</v>
      </c>
      <c r="J588" s="26">
        <v>0.2</v>
      </c>
      <c r="K588" s="26">
        <v>587</v>
      </c>
      <c r="L588" s="26">
        <v>0.18179999999999999</v>
      </c>
      <c r="M588" s="26">
        <v>0.93</v>
      </c>
      <c r="N588" s="26">
        <v>0.35820000000000002</v>
      </c>
      <c r="O588" s="26">
        <v>0</v>
      </c>
      <c r="P588" s="26">
        <v>26</v>
      </c>
      <c r="Q588" s="34">
        <v>26</v>
      </c>
    </row>
    <row r="589" spans="1:17" x14ac:dyDescent="0.25">
      <c r="A589" s="32">
        <v>588</v>
      </c>
      <c r="B589" s="33">
        <v>40570</v>
      </c>
      <c r="C589" s="26">
        <v>1</v>
      </c>
      <c r="D589" s="26">
        <v>0</v>
      </c>
      <c r="E589" s="26">
        <v>1</v>
      </c>
      <c r="F589" s="26">
        <v>16</v>
      </c>
      <c r="G589" s="26" t="b">
        <v>0</v>
      </c>
      <c r="H589" s="26">
        <v>4</v>
      </c>
      <c r="I589" s="26">
        <v>1</v>
      </c>
      <c r="J589" s="26">
        <v>0.22</v>
      </c>
      <c r="K589" s="26">
        <v>588</v>
      </c>
      <c r="L589" s="26">
        <v>0.2273</v>
      </c>
      <c r="M589" s="26">
        <v>0.55000000000000004</v>
      </c>
      <c r="N589" s="26">
        <v>0.19400000000000001</v>
      </c>
      <c r="O589" s="26">
        <v>1</v>
      </c>
      <c r="P589" s="26">
        <v>23</v>
      </c>
      <c r="Q589" s="34">
        <v>24</v>
      </c>
    </row>
    <row r="590" spans="1:17" x14ac:dyDescent="0.25">
      <c r="A590" s="32">
        <v>589</v>
      </c>
      <c r="B590" s="33">
        <v>40570</v>
      </c>
      <c r="C590" s="26">
        <v>1</v>
      </c>
      <c r="D590" s="26">
        <v>0</v>
      </c>
      <c r="E590" s="26">
        <v>1</v>
      </c>
      <c r="F590" s="26">
        <v>17</v>
      </c>
      <c r="G590" s="26" t="b">
        <v>0</v>
      </c>
      <c r="H590" s="26">
        <v>4</v>
      </c>
      <c r="I590" s="26">
        <v>1</v>
      </c>
      <c r="J590" s="26">
        <v>0.22</v>
      </c>
      <c r="K590" s="26">
        <v>589</v>
      </c>
      <c r="L590" s="26">
        <v>0.2424</v>
      </c>
      <c r="M590" s="26">
        <v>0.55000000000000004</v>
      </c>
      <c r="N590" s="26">
        <v>0.1045</v>
      </c>
      <c r="O590" s="26">
        <v>2</v>
      </c>
      <c r="P590" s="26">
        <v>82</v>
      </c>
      <c r="Q590" s="34">
        <v>84</v>
      </c>
    </row>
    <row r="591" spans="1:17" x14ac:dyDescent="0.25">
      <c r="A591" s="32">
        <v>590</v>
      </c>
      <c r="B591" s="33">
        <v>40570</v>
      </c>
      <c r="C591" s="26">
        <v>1</v>
      </c>
      <c r="D591" s="26">
        <v>0</v>
      </c>
      <c r="E591" s="26">
        <v>1</v>
      </c>
      <c r="F591" s="26">
        <v>18</v>
      </c>
      <c r="G591" s="26" t="b">
        <v>0</v>
      </c>
      <c r="H591" s="26">
        <v>4</v>
      </c>
      <c r="I591" s="26">
        <v>1</v>
      </c>
      <c r="J591" s="26">
        <v>0.2</v>
      </c>
      <c r="K591" s="26">
        <v>590</v>
      </c>
      <c r="L591" s="26">
        <v>0.2273</v>
      </c>
      <c r="M591" s="26">
        <v>0.69</v>
      </c>
      <c r="N591" s="26">
        <v>8.9599999999999999E-2</v>
      </c>
      <c r="O591" s="26">
        <v>3</v>
      </c>
      <c r="P591" s="26">
        <v>101</v>
      </c>
      <c r="Q591" s="34">
        <v>104</v>
      </c>
    </row>
    <row r="592" spans="1:17" x14ac:dyDescent="0.25">
      <c r="A592" s="32">
        <v>591</v>
      </c>
      <c r="B592" s="33">
        <v>40570</v>
      </c>
      <c r="C592" s="26">
        <v>1</v>
      </c>
      <c r="D592" s="26">
        <v>0</v>
      </c>
      <c r="E592" s="26">
        <v>1</v>
      </c>
      <c r="F592" s="26">
        <v>19</v>
      </c>
      <c r="G592" s="26" t="b">
        <v>0</v>
      </c>
      <c r="H592" s="26">
        <v>4</v>
      </c>
      <c r="I592" s="26">
        <v>1</v>
      </c>
      <c r="J592" s="26">
        <v>0.2</v>
      </c>
      <c r="K592" s="26">
        <v>591</v>
      </c>
      <c r="L592" s="26">
        <v>0.2273</v>
      </c>
      <c r="M592" s="26">
        <v>0.69</v>
      </c>
      <c r="N592" s="26">
        <v>8.9599999999999999E-2</v>
      </c>
      <c r="O592" s="26">
        <v>3</v>
      </c>
      <c r="P592" s="26">
        <v>76</v>
      </c>
      <c r="Q592" s="34">
        <v>79</v>
      </c>
    </row>
    <row r="593" spans="1:17" x14ac:dyDescent="0.25">
      <c r="A593" s="32">
        <v>592</v>
      </c>
      <c r="B593" s="33">
        <v>40570</v>
      </c>
      <c r="C593" s="26">
        <v>1</v>
      </c>
      <c r="D593" s="26">
        <v>0</v>
      </c>
      <c r="E593" s="26">
        <v>1</v>
      </c>
      <c r="F593" s="26">
        <v>20</v>
      </c>
      <c r="G593" s="26" t="b">
        <v>0</v>
      </c>
      <c r="H593" s="26">
        <v>4</v>
      </c>
      <c r="I593" s="26">
        <v>1</v>
      </c>
      <c r="J593" s="26">
        <v>0.18</v>
      </c>
      <c r="K593" s="26">
        <v>592</v>
      </c>
      <c r="L593" s="26">
        <v>0.21210000000000001</v>
      </c>
      <c r="M593" s="26">
        <v>0.74</v>
      </c>
      <c r="N593" s="26">
        <v>8.9599999999999999E-2</v>
      </c>
      <c r="O593" s="26">
        <v>4</v>
      </c>
      <c r="P593" s="26">
        <v>55</v>
      </c>
      <c r="Q593" s="34">
        <v>59</v>
      </c>
    </row>
    <row r="594" spans="1:17" x14ac:dyDescent="0.25">
      <c r="A594" s="32">
        <v>593</v>
      </c>
      <c r="B594" s="33">
        <v>40570</v>
      </c>
      <c r="C594" s="26">
        <v>1</v>
      </c>
      <c r="D594" s="26">
        <v>0</v>
      </c>
      <c r="E594" s="26">
        <v>1</v>
      </c>
      <c r="F594" s="26">
        <v>21</v>
      </c>
      <c r="G594" s="26" t="b">
        <v>0</v>
      </c>
      <c r="H594" s="26">
        <v>4</v>
      </c>
      <c r="I594" s="26">
        <v>1</v>
      </c>
      <c r="J594" s="26">
        <v>0.18</v>
      </c>
      <c r="K594" s="26">
        <v>593</v>
      </c>
      <c r="L594" s="26">
        <v>0.21210000000000001</v>
      </c>
      <c r="M594" s="26">
        <v>0.74</v>
      </c>
      <c r="N594" s="26">
        <v>8.9599999999999999E-2</v>
      </c>
      <c r="O594" s="26">
        <v>2</v>
      </c>
      <c r="P594" s="26">
        <v>36</v>
      </c>
      <c r="Q594" s="34">
        <v>38</v>
      </c>
    </row>
    <row r="595" spans="1:17" x14ac:dyDescent="0.25">
      <c r="A595" s="32">
        <v>594</v>
      </c>
      <c r="B595" s="33">
        <v>40570</v>
      </c>
      <c r="C595" s="26">
        <v>1</v>
      </c>
      <c r="D595" s="26">
        <v>0</v>
      </c>
      <c r="E595" s="26">
        <v>1</v>
      </c>
      <c r="F595" s="26">
        <v>22</v>
      </c>
      <c r="G595" s="26" t="b">
        <v>0</v>
      </c>
      <c r="H595" s="26">
        <v>4</v>
      </c>
      <c r="I595" s="26">
        <v>1</v>
      </c>
      <c r="J595" s="26">
        <v>0.18</v>
      </c>
      <c r="K595" s="26">
        <v>594</v>
      </c>
      <c r="L595" s="26">
        <v>0.21210000000000001</v>
      </c>
      <c r="M595" s="26">
        <v>0.74</v>
      </c>
      <c r="N595" s="26">
        <v>8.9599999999999999E-2</v>
      </c>
      <c r="O595" s="26">
        <v>0</v>
      </c>
      <c r="P595" s="26">
        <v>27</v>
      </c>
      <c r="Q595" s="34">
        <v>27</v>
      </c>
    </row>
    <row r="596" spans="1:17" x14ac:dyDescent="0.25">
      <c r="A596" s="32">
        <v>595</v>
      </c>
      <c r="B596" s="33">
        <v>40570</v>
      </c>
      <c r="C596" s="26">
        <v>1</v>
      </c>
      <c r="D596" s="26">
        <v>0</v>
      </c>
      <c r="E596" s="26">
        <v>1</v>
      </c>
      <c r="F596" s="26">
        <v>23</v>
      </c>
      <c r="G596" s="26" t="b">
        <v>0</v>
      </c>
      <c r="H596" s="26">
        <v>4</v>
      </c>
      <c r="I596" s="26">
        <v>1</v>
      </c>
      <c r="J596" s="26">
        <v>0.18</v>
      </c>
      <c r="K596" s="26">
        <v>595</v>
      </c>
      <c r="L596" s="26">
        <v>0.19700000000000001</v>
      </c>
      <c r="M596" s="26">
        <v>0.8</v>
      </c>
      <c r="N596" s="26">
        <v>0.16420000000000001</v>
      </c>
      <c r="O596" s="26">
        <v>0</v>
      </c>
      <c r="P596" s="26">
        <v>16</v>
      </c>
      <c r="Q596" s="34">
        <v>16</v>
      </c>
    </row>
    <row r="597" spans="1:17" x14ac:dyDescent="0.25">
      <c r="A597" s="32">
        <v>596</v>
      </c>
      <c r="B597" s="33">
        <v>40571</v>
      </c>
      <c r="C597" s="26">
        <v>1</v>
      </c>
      <c r="D597" s="26">
        <v>0</v>
      </c>
      <c r="E597" s="26">
        <v>1</v>
      </c>
      <c r="F597" s="26">
        <v>0</v>
      </c>
      <c r="G597" s="26" t="b">
        <v>0</v>
      </c>
      <c r="H597" s="26">
        <v>5</v>
      </c>
      <c r="I597" s="26">
        <v>2</v>
      </c>
      <c r="J597" s="26">
        <v>0.2</v>
      </c>
      <c r="K597" s="26">
        <v>596</v>
      </c>
      <c r="L597" s="26">
        <v>0.21210000000000001</v>
      </c>
      <c r="M597" s="26">
        <v>0.75</v>
      </c>
      <c r="N597" s="26">
        <v>0.1343</v>
      </c>
      <c r="O597" s="26">
        <v>0</v>
      </c>
      <c r="P597" s="26">
        <v>9</v>
      </c>
      <c r="Q597" s="34">
        <v>9</v>
      </c>
    </row>
    <row r="598" spans="1:17" x14ac:dyDescent="0.25">
      <c r="A598" s="32">
        <v>597</v>
      </c>
      <c r="B598" s="33">
        <v>40571</v>
      </c>
      <c r="C598" s="26">
        <v>1</v>
      </c>
      <c r="D598" s="26">
        <v>0</v>
      </c>
      <c r="E598" s="26">
        <v>1</v>
      </c>
      <c r="F598" s="26">
        <v>1</v>
      </c>
      <c r="G598" s="26" t="b">
        <v>0</v>
      </c>
      <c r="H598" s="26">
        <v>5</v>
      </c>
      <c r="I598" s="26">
        <v>2</v>
      </c>
      <c r="J598" s="26">
        <v>0.2</v>
      </c>
      <c r="K598" s="26">
        <v>597</v>
      </c>
      <c r="L598" s="26">
        <v>0.21210000000000001</v>
      </c>
      <c r="M598" s="26">
        <v>0.75</v>
      </c>
      <c r="N598" s="26">
        <v>0.1343</v>
      </c>
      <c r="O598" s="26">
        <v>1</v>
      </c>
      <c r="P598" s="26">
        <v>2</v>
      </c>
      <c r="Q598" s="34">
        <v>3</v>
      </c>
    </row>
    <row r="599" spans="1:17" x14ac:dyDescent="0.25">
      <c r="A599" s="32">
        <v>598</v>
      </c>
      <c r="B599" s="33">
        <v>40571</v>
      </c>
      <c r="C599" s="26">
        <v>1</v>
      </c>
      <c r="D599" s="26">
        <v>0</v>
      </c>
      <c r="E599" s="26">
        <v>1</v>
      </c>
      <c r="F599" s="26">
        <v>2</v>
      </c>
      <c r="G599" s="26" t="b">
        <v>0</v>
      </c>
      <c r="H599" s="26">
        <v>5</v>
      </c>
      <c r="I599" s="26">
        <v>2</v>
      </c>
      <c r="J599" s="26">
        <v>0.2</v>
      </c>
      <c r="K599" s="26">
        <v>598</v>
      </c>
      <c r="L599" s="26">
        <v>0.21210000000000001</v>
      </c>
      <c r="M599" s="26">
        <v>0.75</v>
      </c>
      <c r="N599" s="26">
        <v>0.16420000000000001</v>
      </c>
      <c r="O599" s="26">
        <v>0</v>
      </c>
      <c r="P599" s="26">
        <v>2</v>
      </c>
      <c r="Q599" s="34">
        <v>2</v>
      </c>
    </row>
    <row r="600" spans="1:17" x14ac:dyDescent="0.25">
      <c r="A600" s="32">
        <v>599</v>
      </c>
      <c r="B600" s="33">
        <v>40571</v>
      </c>
      <c r="C600" s="26">
        <v>1</v>
      </c>
      <c r="D600" s="26">
        <v>0</v>
      </c>
      <c r="E600" s="26">
        <v>1</v>
      </c>
      <c r="F600" s="26">
        <v>3</v>
      </c>
      <c r="G600" s="26" t="b">
        <v>0</v>
      </c>
      <c r="H600" s="26">
        <v>5</v>
      </c>
      <c r="I600" s="26">
        <v>2</v>
      </c>
      <c r="J600" s="26">
        <v>0.2</v>
      </c>
      <c r="K600" s="26">
        <v>599</v>
      </c>
      <c r="L600" s="26">
        <v>0.2273</v>
      </c>
      <c r="M600" s="26">
        <v>0.75</v>
      </c>
      <c r="N600" s="26">
        <v>0.1045</v>
      </c>
      <c r="O600" s="26">
        <v>1</v>
      </c>
      <c r="P600" s="26">
        <v>0</v>
      </c>
      <c r="Q600" s="34">
        <v>1</v>
      </c>
    </row>
    <row r="601" spans="1:17" x14ac:dyDescent="0.25">
      <c r="A601" s="32">
        <v>600</v>
      </c>
      <c r="B601" s="33">
        <v>40571</v>
      </c>
      <c r="C601" s="26">
        <v>1</v>
      </c>
      <c r="D601" s="26">
        <v>0</v>
      </c>
      <c r="E601" s="26">
        <v>1</v>
      </c>
      <c r="F601" s="26">
        <v>5</v>
      </c>
      <c r="G601" s="26" t="b">
        <v>0</v>
      </c>
      <c r="H601" s="26">
        <v>5</v>
      </c>
      <c r="I601" s="26">
        <v>2</v>
      </c>
      <c r="J601" s="26">
        <v>0.18</v>
      </c>
      <c r="K601" s="26">
        <v>600</v>
      </c>
      <c r="L601" s="26">
        <v>0.21210000000000001</v>
      </c>
      <c r="M601" s="26">
        <v>0.8</v>
      </c>
      <c r="N601" s="26">
        <v>0.1045</v>
      </c>
      <c r="O601" s="26">
        <v>0</v>
      </c>
      <c r="P601" s="26">
        <v>4</v>
      </c>
      <c r="Q601" s="34">
        <v>4</v>
      </c>
    </row>
    <row r="602" spans="1:17" x14ac:dyDescent="0.25">
      <c r="A602" s="32">
        <v>601</v>
      </c>
      <c r="B602" s="33">
        <v>40571</v>
      </c>
      <c r="C602" s="26">
        <v>1</v>
      </c>
      <c r="D602" s="26">
        <v>0</v>
      </c>
      <c r="E602" s="26">
        <v>1</v>
      </c>
      <c r="F602" s="26">
        <v>6</v>
      </c>
      <c r="G602" s="26" t="b">
        <v>0</v>
      </c>
      <c r="H602" s="26">
        <v>5</v>
      </c>
      <c r="I602" s="26">
        <v>2</v>
      </c>
      <c r="J602" s="26">
        <v>0.18</v>
      </c>
      <c r="K602" s="26">
        <v>601</v>
      </c>
      <c r="L602" s="26">
        <v>0.19700000000000001</v>
      </c>
      <c r="M602" s="26">
        <v>0.8</v>
      </c>
      <c r="N602" s="26">
        <v>0.1343</v>
      </c>
      <c r="O602" s="26">
        <v>0</v>
      </c>
      <c r="P602" s="26">
        <v>16</v>
      </c>
      <c r="Q602" s="34">
        <v>16</v>
      </c>
    </row>
    <row r="603" spans="1:17" x14ac:dyDescent="0.25">
      <c r="A603" s="32">
        <v>602</v>
      </c>
      <c r="B603" s="33">
        <v>40571</v>
      </c>
      <c r="C603" s="26">
        <v>1</v>
      </c>
      <c r="D603" s="26">
        <v>0</v>
      </c>
      <c r="E603" s="26">
        <v>1</v>
      </c>
      <c r="F603" s="26">
        <v>7</v>
      </c>
      <c r="G603" s="26" t="b">
        <v>0</v>
      </c>
      <c r="H603" s="26">
        <v>5</v>
      </c>
      <c r="I603" s="26">
        <v>2</v>
      </c>
      <c r="J603" s="26">
        <v>0.16</v>
      </c>
      <c r="K603" s="26">
        <v>602</v>
      </c>
      <c r="L603" s="26">
        <v>0.19700000000000001</v>
      </c>
      <c r="M603" s="26">
        <v>0.86</v>
      </c>
      <c r="N603" s="26">
        <v>8.9599999999999999E-2</v>
      </c>
      <c r="O603" s="26">
        <v>2</v>
      </c>
      <c r="P603" s="26">
        <v>58</v>
      </c>
      <c r="Q603" s="34">
        <v>60</v>
      </c>
    </row>
    <row r="604" spans="1:17" x14ac:dyDescent="0.25">
      <c r="A604" s="32">
        <v>603</v>
      </c>
      <c r="B604" s="33">
        <v>40571</v>
      </c>
      <c r="C604" s="26">
        <v>1</v>
      </c>
      <c r="D604" s="26">
        <v>0</v>
      </c>
      <c r="E604" s="26">
        <v>1</v>
      </c>
      <c r="F604" s="26">
        <v>8</v>
      </c>
      <c r="G604" s="26" t="b">
        <v>0</v>
      </c>
      <c r="H604" s="26">
        <v>5</v>
      </c>
      <c r="I604" s="26">
        <v>2</v>
      </c>
      <c r="J604" s="26">
        <v>0.16</v>
      </c>
      <c r="K604" s="26">
        <v>603</v>
      </c>
      <c r="L604" s="26">
        <v>0.19700000000000001</v>
      </c>
      <c r="M604" s="26">
        <v>0.86</v>
      </c>
      <c r="N604" s="26">
        <v>8.9599999999999999E-2</v>
      </c>
      <c r="O604" s="26">
        <v>2</v>
      </c>
      <c r="P604" s="26">
        <v>155</v>
      </c>
      <c r="Q604" s="34">
        <v>157</v>
      </c>
    </row>
    <row r="605" spans="1:17" x14ac:dyDescent="0.25">
      <c r="A605" s="32">
        <v>604</v>
      </c>
      <c r="B605" s="33">
        <v>40571</v>
      </c>
      <c r="C605" s="26">
        <v>1</v>
      </c>
      <c r="D605" s="26">
        <v>0</v>
      </c>
      <c r="E605" s="26">
        <v>1</v>
      </c>
      <c r="F605" s="26">
        <v>9</v>
      </c>
      <c r="G605" s="26" t="b">
        <v>0</v>
      </c>
      <c r="H605" s="26">
        <v>5</v>
      </c>
      <c r="I605" s="26">
        <v>3</v>
      </c>
      <c r="J605" s="26">
        <v>0.18</v>
      </c>
      <c r="K605" s="26">
        <v>604</v>
      </c>
      <c r="L605" s="26">
        <v>0.21210000000000001</v>
      </c>
      <c r="M605" s="26">
        <v>0.86</v>
      </c>
      <c r="N605" s="26">
        <v>8.9599999999999999E-2</v>
      </c>
      <c r="O605" s="26">
        <v>6</v>
      </c>
      <c r="P605" s="26">
        <v>95</v>
      </c>
      <c r="Q605" s="34">
        <v>101</v>
      </c>
    </row>
    <row r="606" spans="1:17" x14ac:dyDescent="0.25">
      <c r="A606" s="32">
        <v>605</v>
      </c>
      <c r="B606" s="33">
        <v>40571</v>
      </c>
      <c r="C606" s="26">
        <v>1</v>
      </c>
      <c r="D606" s="26">
        <v>0</v>
      </c>
      <c r="E606" s="26">
        <v>1</v>
      </c>
      <c r="F606" s="26">
        <v>10</v>
      </c>
      <c r="G606" s="26" t="b">
        <v>0</v>
      </c>
      <c r="H606" s="26">
        <v>5</v>
      </c>
      <c r="I606" s="26">
        <v>3</v>
      </c>
      <c r="J606" s="26">
        <v>0.18</v>
      </c>
      <c r="K606" s="26">
        <v>605</v>
      </c>
      <c r="L606" s="26">
        <v>0.21210000000000001</v>
      </c>
      <c r="M606" s="26">
        <v>0.86</v>
      </c>
      <c r="N606" s="26">
        <v>0.1045</v>
      </c>
      <c r="O606" s="26">
        <v>0</v>
      </c>
      <c r="P606" s="26">
        <v>49</v>
      </c>
      <c r="Q606" s="34">
        <v>49</v>
      </c>
    </row>
    <row r="607" spans="1:17" x14ac:dyDescent="0.25">
      <c r="A607" s="32">
        <v>606</v>
      </c>
      <c r="B607" s="33">
        <v>40571</v>
      </c>
      <c r="C607" s="26">
        <v>1</v>
      </c>
      <c r="D607" s="26">
        <v>0</v>
      </c>
      <c r="E607" s="26">
        <v>1</v>
      </c>
      <c r="F607" s="26">
        <v>11</v>
      </c>
      <c r="G607" s="26" t="b">
        <v>0</v>
      </c>
      <c r="H607" s="26">
        <v>5</v>
      </c>
      <c r="I607" s="26">
        <v>3</v>
      </c>
      <c r="J607" s="26">
        <v>0.18</v>
      </c>
      <c r="K607" s="26">
        <v>606</v>
      </c>
      <c r="L607" s="26">
        <v>0.21210000000000001</v>
      </c>
      <c r="M607" s="26">
        <v>0.93</v>
      </c>
      <c r="N607" s="26">
        <v>0.1045</v>
      </c>
      <c r="O607" s="26">
        <v>0</v>
      </c>
      <c r="P607" s="26">
        <v>30</v>
      </c>
      <c r="Q607" s="34">
        <v>30</v>
      </c>
    </row>
    <row r="608" spans="1:17" x14ac:dyDescent="0.25">
      <c r="A608" s="32">
        <v>607</v>
      </c>
      <c r="B608" s="33">
        <v>40571</v>
      </c>
      <c r="C608" s="26">
        <v>1</v>
      </c>
      <c r="D608" s="26">
        <v>0</v>
      </c>
      <c r="E608" s="26">
        <v>1</v>
      </c>
      <c r="F608" s="26">
        <v>12</v>
      </c>
      <c r="G608" s="26" t="b">
        <v>0</v>
      </c>
      <c r="H608" s="26">
        <v>5</v>
      </c>
      <c r="I608" s="26">
        <v>3</v>
      </c>
      <c r="J608" s="26">
        <v>0.18</v>
      </c>
      <c r="K608" s="26">
        <v>607</v>
      </c>
      <c r="L608" s="26">
        <v>0.21210000000000001</v>
      </c>
      <c r="M608" s="26">
        <v>0.93</v>
      </c>
      <c r="N608" s="26">
        <v>0.1045</v>
      </c>
      <c r="O608" s="26">
        <v>1</v>
      </c>
      <c r="P608" s="26">
        <v>28</v>
      </c>
      <c r="Q608" s="34">
        <v>29</v>
      </c>
    </row>
    <row r="609" spans="1:17" x14ac:dyDescent="0.25">
      <c r="A609" s="32">
        <v>608</v>
      </c>
      <c r="B609" s="33">
        <v>40571</v>
      </c>
      <c r="C609" s="26">
        <v>1</v>
      </c>
      <c r="D609" s="26">
        <v>0</v>
      </c>
      <c r="E609" s="26">
        <v>1</v>
      </c>
      <c r="F609" s="26">
        <v>13</v>
      </c>
      <c r="G609" s="26" t="b">
        <v>0</v>
      </c>
      <c r="H609" s="26">
        <v>5</v>
      </c>
      <c r="I609" s="26">
        <v>3</v>
      </c>
      <c r="J609" s="26">
        <v>0.18</v>
      </c>
      <c r="K609" s="26">
        <v>608</v>
      </c>
      <c r="L609" s="26">
        <v>0.21210000000000001</v>
      </c>
      <c r="M609" s="26">
        <v>0.93</v>
      </c>
      <c r="N609" s="26">
        <v>0.1045</v>
      </c>
      <c r="O609" s="26">
        <v>0</v>
      </c>
      <c r="P609" s="26">
        <v>31</v>
      </c>
      <c r="Q609" s="34">
        <v>31</v>
      </c>
    </row>
    <row r="610" spans="1:17" x14ac:dyDescent="0.25">
      <c r="A610" s="32">
        <v>609</v>
      </c>
      <c r="B610" s="33">
        <v>40571</v>
      </c>
      <c r="C610" s="26">
        <v>1</v>
      </c>
      <c r="D610" s="26">
        <v>0</v>
      </c>
      <c r="E610" s="26">
        <v>1</v>
      </c>
      <c r="F610" s="26">
        <v>14</v>
      </c>
      <c r="G610" s="26" t="b">
        <v>0</v>
      </c>
      <c r="H610" s="26">
        <v>5</v>
      </c>
      <c r="I610" s="26">
        <v>3</v>
      </c>
      <c r="J610" s="26">
        <v>0.22</v>
      </c>
      <c r="K610" s="26">
        <v>609</v>
      </c>
      <c r="L610" s="26">
        <v>0.2727</v>
      </c>
      <c r="M610" s="26">
        <v>0.8</v>
      </c>
      <c r="N610" s="26">
        <v>0</v>
      </c>
      <c r="O610" s="26">
        <v>2</v>
      </c>
      <c r="P610" s="26">
        <v>36</v>
      </c>
      <c r="Q610" s="34">
        <v>38</v>
      </c>
    </row>
    <row r="611" spans="1:17" x14ac:dyDescent="0.25">
      <c r="A611" s="35">
        <v>610</v>
      </c>
      <c r="B611" s="36">
        <v>40571</v>
      </c>
      <c r="C611" s="37">
        <v>1</v>
      </c>
      <c r="D611" s="37">
        <v>0</v>
      </c>
      <c r="E611" s="37">
        <v>1</v>
      </c>
      <c r="F611" s="37">
        <v>15</v>
      </c>
      <c r="G611" s="37" t="b">
        <v>0</v>
      </c>
      <c r="H611" s="37">
        <v>5</v>
      </c>
      <c r="I611" s="37">
        <v>2</v>
      </c>
      <c r="J611" s="37">
        <v>0.2</v>
      </c>
      <c r="K611" s="37">
        <v>610</v>
      </c>
      <c r="L611" s="37">
        <v>0.2576</v>
      </c>
      <c r="M611" s="37">
        <v>0.86</v>
      </c>
      <c r="N611" s="37">
        <v>0</v>
      </c>
      <c r="O611" s="37">
        <v>1</v>
      </c>
      <c r="P611" s="37">
        <v>40</v>
      </c>
      <c r="Q611" s="38">
        <v>41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562E3-B485-4FFC-9ABE-B1FCB5C5ECA0}">
  <dimension ref="A1:X1001"/>
  <sheetViews>
    <sheetView tabSelected="1" topLeftCell="I1" workbookViewId="0">
      <pane ySplit="1" topLeftCell="A2" activePane="bottomLeft" state="frozen"/>
      <selection activeCell="J1" sqref="J1"/>
      <selection pane="bottomLeft" activeCell="P18" sqref="P18"/>
    </sheetView>
  </sheetViews>
  <sheetFormatPr defaultRowHeight="12.5" x14ac:dyDescent="0.25"/>
  <cols>
    <col min="1" max="1" width="9" bestFit="1" customWidth="1"/>
    <col min="2" max="2" width="15.26953125" bestFit="1" customWidth="1"/>
    <col min="3" max="3" width="9.26953125" bestFit="1" customWidth="1"/>
    <col min="4" max="4" width="4.81640625" bestFit="1" customWidth="1"/>
    <col min="5" max="5" width="7.453125" bestFit="1" customWidth="1"/>
    <col min="6" max="6" width="4.90625" bestFit="1" customWidth="1"/>
    <col min="7" max="7" width="9.26953125" bestFit="1" customWidth="1"/>
    <col min="8" max="8" width="10.54296875" bestFit="1" customWidth="1"/>
    <col min="9" max="9" width="12" bestFit="1" customWidth="1"/>
    <col min="10" max="10" width="7.36328125" bestFit="1" customWidth="1"/>
    <col min="11" max="11" width="8.36328125" bestFit="1" customWidth="1"/>
    <col min="12" max="12" width="6.81640625" bestFit="1" customWidth="1"/>
    <col min="13" max="13" width="12.26953125" bestFit="1" customWidth="1"/>
    <col min="14" max="14" width="8.6328125" bestFit="1" customWidth="1"/>
    <col min="15" max="15" width="11.81640625" bestFit="1" customWidth="1"/>
    <col min="16" max="16" width="14.6328125" bestFit="1" customWidth="1"/>
    <col min="17" max="17" width="14.6328125" customWidth="1"/>
    <col min="18" max="18" width="17.26953125" style="43" bestFit="1" customWidth="1"/>
    <col min="24" max="24" width="19.54296875" bestFit="1" customWidth="1"/>
  </cols>
  <sheetData>
    <row r="1" spans="1:24" x14ac:dyDescent="0.25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t="s">
        <v>12</v>
      </c>
      <c r="N1" s="30" t="s">
        <v>13</v>
      </c>
      <c r="O1" s="30" t="s">
        <v>14</v>
      </c>
      <c r="P1" s="48" t="s">
        <v>27</v>
      </c>
      <c r="Q1" s="71" t="s">
        <v>53</v>
      </c>
      <c r="R1" s="40" t="s">
        <v>24</v>
      </c>
      <c r="S1" s="58" t="s">
        <v>33</v>
      </c>
      <c r="T1" s="58" t="s">
        <v>34</v>
      </c>
      <c r="U1" s="58" t="s">
        <v>35</v>
      </c>
      <c r="V1" s="59" t="s">
        <v>36</v>
      </c>
      <c r="W1" s="59" t="s">
        <v>37</v>
      </c>
      <c r="X1" s="59" t="s">
        <v>38</v>
      </c>
    </row>
    <row r="2" spans="1:24" x14ac:dyDescent="0.25">
      <c r="A2" s="32">
        <v>1</v>
      </c>
      <c r="B2" s="33">
        <v>40544</v>
      </c>
      <c r="C2" s="26">
        <v>1</v>
      </c>
      <c r="D2" s="26">
        <v>0</v>
      </c>
      <c r="E2" s="26">
        <v>1</v>
      </c>
      <c r="F2" s="26">
        <v>0</v>
      </c>
      <c r="G2" s="26" t="b">
        <v>0</v>
      </c>
      <c r="H2" s="26">
        <v>6</v>
      </c>
      <c r="I2" s="26">
        <v>1</v>
      </c>
      <c r="J2" s="26">
        <v>0.24</v>
      </c>
      <c r="K2" s="30">
        <v>0.28789999999999999</v>
      </c>
      <c r="L2" s="30">
        <v>0.81</v>
      </c>
      <c r="M2">
        <v>0</v>
      </c>
      <c r="N2" s="30">
        <v>3</v>
      </c>
      <c r="O2" s="30">
        <v>13</v>
      </c>
      <c r="P2" s="30">
        <v>16</v>
      </c>
      <c r="Q2" s="31" t="str">
        <f t="shared" ref="Q2:Q65" si="0">IF(I2=1,"Clear",IF(I2=2,"Cloudy",IF(I2=3,"Light Rain",IF(I2=4,"Heavy Rain"))))</f>
        <v>Clear</v>
      </c>
      <c r="R2" s="41" t="str">
        <f>IF(I2=1,"Normal",IF(I2=2,"Yellow Alert",IF(I2=3,"Orange Alert",IF(I2=4,"Red Alert"))))</f>
        <v>Normal</v>
      </c>
      <c r="S2" s="58">
        <f t="shared" ref="S2:S65" si="1">DAY(B:B)</f>
        <v>1</v>
      </c>
      <c r="T2" s="58">
        <f>MONTH(dataset_1!B:B)</f>
        <v>1</v>
      </c>
      <c r="U2" s="58">
        <f t="shared" ref="U2:U65" si="2">YEAR(B:B)</f>
        <v>2011</v>
      </c>
      <c r="V2" s="59" t="str">
        <f>TEXT(F2/24,"H AM/PM")</f>
        <v>12 AM</v>
      </c>
      <c r="W2" s="59" t="str">
        <f>IF(H2=6,"Saturday",IF(H2=0,"Sunday",IF(H2=1,"Monday",IF(H2=2,"Tuesday",IF(H2=3,"Wednesday",IF(H2=4,"Thursday",IF(H2=5,"Friday")))))))</f>
        <v>Saturday</v>
      </c>
      <c r="X2" s="59" t="str">
        <f>IF(G2=FALSE,"Working day", IF(G2=TRUE,"Holiday"))</f>
        <v>Working day</v>
      </c>
    </row>
    <row r="3" spans="1:24" x14ac:dyDescent="0.25">
      <c r="A3" s="32">
        <v>2</v>
      </c>
      <c r="B3" s="33">
        <v>40544</v>
      </c>
      <c r="C3" s="26">
        <v>1</v>
      </c>
      <c r="D3" s="26">
        <v>0</v>
      </c>
      <c r="E3" s="26">
        <v>1</v>
      </c>
      <c r="F3" s="26">
        <v>1</v>
      </c>
      <c r="G3" s="26" t="b">
        <v>0</v>
      </c>
      <c r="H3" s="26">
        <v>6</v>
      </c>
      <c r="I3" s="26">
        <v>1</v>
      </c>
      <c r="J3" s="26">
        <v>0.22</v>
      </c>
      <c r="K3" s="26">
        <v>0.2727</v>
      </c>
      <c r="L3" s="26">
        <v>0.8</v>
      </c>
      <c r="M3">
        <v>0</v>
      </c>
      <c r="N3" s="26">
        <v>8</v>
      </c>
      <c r="O3" s="26">
        <v>32</v>
      </c>
      <c r="P3" s="26">
        <v>40</v>
      </c>
      <c r="Q3" s="34" t="str">
        <f t="shared" si="0"/>
        <v>Clear</v>
      </c>
      <c r="R3" s="41" t="str">
        <f>IF(I3=1,"Normal",IF(I3=2,"Yellow Alert",IF(I3=3,"Orange Alert",IF(I3=4,"Red Alert"))))</f>
        <v>Normal</v>
      </c>
      <c r="S3" s="60">
        <f t="shared" si="1"/>
        <v>1</v>
      </c>
      <c r="T3" s="60">
        <f>MONTH(dataset_1!B:B)</f>
        <v>1</v>
      </c>
      <c r="U3" s="60">
        <f t="shared" si="2"/>
        <v>2011</v>
      </c>
      <c r="V3" s="59" t="str">
        <f>TEXT(F3/24,"H AM/PM")</f>
        <v>1 AM</v>
      </c>
      <c r="W3" s="59" t="str">
        <f>IF(H3=6,"Saturday",IF(H3=0,"Sunday",IF(H3=1,"Monday",IF(H3=2,"Tuesday",IF(H3=3,"Wednesday",IF(H3=4,"Thursday",IF(H3=5,"Friday")))))))</f>
        <v>Saturday</v>
      </c>
      <c r="X3" s="59" t="str">
        <f>IF(G3=FALSE,"Working day", IF(G3=TRUE,"Holiday"))</f>
        <v>Working day</v>
      </c>
    </row>
    <row r="4" spans="1:24" x14ac:dyDescent="0.25">
      <c r="A4" s="32">
        <v>3</v>
      </c>
      <c r="B4" s="33">
        <v>40544</v>
      </c>
      <c r="C4" s="26">
        <v>1</v>
      </c>
      <c r="D4" s="26">
        <v>0</v>
      </c>
      <c r="E4" s="26">
        <v>1</v>
      </c>
      <c r="F4" s="26">
        <v>2</v>
      </c>
      <c r="G4" s="26" t="b">
        <v>0</v>
      </c>
      <c r="H4" s="26">
        <v>6</v>
      </c>
      <c r="I4" s="26">
        <v>1</v>
      </c>
      <c r="J4" s="26">
        <v>0.22</v>
      </c>
      <c r="K4" s="26">
        <v>0.2727</v>
      </c>
      <c r="L4" s="26">
        <v>0.8</v>
      </c>
      <c r="M4">
        <v>0</v>
      </c>
      <c r="N4" s="26">
        <v>5</v>
      </c>
      <c r="O4" s="26">
        <v>27</v>
      </c>
      <c r="P4" s="26">
        <v>32</v>
      </c>
      <c r="Q4" s="34" t="str">
        <f t="shared" si="0"/>
        <v>Clear</v>
      </c>
      <c r="R4" s="41" t="str">
        <f>IF(I4=1,"Normal",IF(I4=2,"Yellow Alert",IF(I4=3,"Orange Alert",IF(I4=4,"Red Alert"))))</f>
        <v>Normal</v>
      </c>
      <c r="S4" s="60">
        <f t="shared" si="1"/>
        <v>1</v>
      </c>
      <c r="T4" s="60">
        <f>MONTH(dataset_1!B:B)</f>
        <v>1</v>
      </c>
      <c r="U4" s="60">
        <f t="shared" si="2"/>
        <v>2011</v>
      </c>
      <c r="V4" s="59" t="str">
        <f>TEXT(F4/24,"H AM/PM")</f>
        <v>2 AM</v>
      </c>
      <c r="W4" s="59" t="str">
        <f>IF(H4=6,"Saturday",IF(H4=0,"Sunday",IF(H4=1,"Monday",IF(H4=2,"Tuesday",IF(H4=3,"Wednesday",IF(H4=4,"Thursday",IF(H4=5,"Friday")))))))</f>
        <v>Saturday</v>
      </c>
      <c r="X4" s="59" t="str">
        <f>IF(G4=FALSE,"Working day", IF(G4=TRUE,"Holiday"))</f>
        <v>Working day</v>
      </c>
    </row>
    <row r="5" spans="1:24" x14ac:dyDescent="0.25">
      <c r="A5" s="32">
        <v>4</v>
      </c>
      <c r="B5" s="33">
        <v>40544</v>
      </c>
      <c r="C5" s="26">
        <v>1</v>
      </c>
      <c r="D5" s="26">
        <v>0</v>
      </c>
      <c r="E5" s="26">
        <v>1</v>
      </c>
      <c r="F5" s="26">
        <v>3</v>
      </c>
      <c r="G5" s="26" t="b">
        <v>0</v>
      </c>
      <c r="H5" s="26">
        <v>6</v>
      </c>
      <c r="I5" s="26">
        <v>1</v>
      </c>
      <c r="J5" s="26">
        <v>0.24</v>
      </c>
      <c r="K5" s="26">
        <v>0.28789999999999999</v>
      </c>
      <c r="L5" s="26">
        <v>0.75</v>
      </c>
      <c r="M5">
        <v>0</v>
      </c>
      <c r="N5" s="26">
        <v>3</v>
      </c>
      <c r="O5" s="26">
        <v>10</v>
      </c>
      <c r="P5" s="26">
        <v>13</v>
      </c>
      <c r="Q5" s="34" t="str">
        <f t="shared" si="0"/>
        <v>Clear</v>
      </c>
      <c r="R5" s="41" t="str">
        <f>IF(I5=1,"Normal",IF(I5=2,"Yellow Alert",IF(I5=3,"Orange Alert",IF(I5=4,"Red Alert"))))</f>
        <v>Normal</v>
      </c>
      <c r="S5" s="60">
        <f t="shared" si="1"/>
        <v>1</v>
      </c>
      <c r="T5" s="60">
        <f>MONTH(dataset_1!B:B)</f>
        <v>1</v>
      </c>
      <c r="U5" s="60">
        <f t="shared" si="2"/>
        <v>2011</v>
      </c>
      <c r="V5" s="59" t="str">
        <f>TEXT(F5/24,"H AM/PM")</f>
        <v>3 AM</v>
      </c>
      <c r="W5" s="59" t="str">
        <f>IF(H5=6,"Saturday",IF(H5=0,"Sunday",IF(H5=1,"Monday",IF(H5=2,"Tuesday",IF(H5=3,"Wednesday",IF(H5=4,"Thursday",IF(H5=5,"Friday")))))))</f>
        <v>Saturday</v>
      </c>
      <c r="X5" s="59" t="str">
        <f>IF(G5=FALSE,"Working day", IF(G5=TRUE,"Holiday"))</f>
        <v>Working day</v>
      </c>
    </row>
    <row r="6" spans="1:24" x14ac:dyDescent="0.25">
      <c r="A6" s="32">
        <v>5</v>
      </c>
      <c r="B6" s="33">
        <v>40544</v>
      </c>
      <c r="C6" s="26">
        <v>1</v>
      </c>
      <c r="D6" s="26">
        <v>0</v>
      </c>
      <c r="E6" s="26">
        <v>1</v>
      </c>
      <c r="F6" s="26">
        <v>4</v>
      </c>
      <c r="G6" s="26" t="b">
        <v>0</v>
      </c>
      <c r="H6" s="26">
        <v>6</v>
      </c>
      <c r="I6" s="26">
        <v>1</v>
      </c>
      <c r="J6" s="26">
        <v>0.24</v>
      </c>
      <c r="K6" s="26">
        <v>0.28789999999999999</v>
      </c>
      <c r="L6" s="26">
        <v>0.75</v>
      </c>
      <c r="M6">
        <v>0</v>
      </c>
      <c r="N6" s="26">
        <v>0</v>
      </c>
      <c r="O6" s="26">
        <v>1</v>
      </c>
      <c r="P6" s="26">
        <v>1</v>
      </c>
      <c r="Q6" s="34" t="str">
        <f t="shared" si="0"/>
        <v>Clear</v>
      </c>
      <c r="R6" s="41" t="str">
        <f>IF(I6=1,"Normal",IF(I6=2,"Yellow Alert",IF(I6=3,"Orange Alert",IF(I6=4,"Red Alert"))))</f>
        <v>Normal</v>
      </c>
      <c r="S6" s="60">
        <f t="shared" si="1"/>
        <v>1</v>
      </c>
      <c r="T6" s="60">
        <f>MONTH(dataset_1!B:B)</f>
        <v>1</v>
      </c>
      <c r="U6" s="60">
        <f t="shared" si="2"/>
        <v>2011</v>
      </c>
      <c r="V6" s="59" t="str">
        <f>TEXT(F6/24,"H AM/PM")</f>
        <v>4 AM</v>
      </c>
      <c r="W6" s="59" t="str">
        <f>IF(H6=6,"Saturday",IF(H6=0,"Sunday",IF(H6=1,"Monday",IF(H6=2,"Tuesday",IF(H6=3,"Wednesday",IF(H6=4,"Thursday",IF(H6=5,"Friday")))))))</f>
        <v>Saturday</v>
      </c>
      <c r="X6" s="59" t="str">
        <f>IF(G6=FALSE,"Working day", IF(G6=TRUE,"Holiday"))</f>
        <v>Working day</v>
      </c>
    </row>
    <row r="7" spans="1:24" x14ac:dyDescent="0.25">
      <c r="A7" s="32">
        <v>6</v>
      </c>
      <c r="B7" s="33">
        <v>40544</v>
      </c>
      <c r="C7" s="26">
        <v>1</v>
      </c>
      <c r="D7" s="26">
        <v>0</v>
      </c>
      <c r="E7" s="26">
        <v>1</v>
      </c>
      <c r="F7" s="26">
        <v>5</v>
      </c>
      <c r="G7" s="26" t="b">
        <v>0</v>
      </c>
      <c r="H7" s="26">
        <v>6</v>
      </c>
      <c r="I7" s="26">
        <v>2</v>
      </c>
      <c r="J7" s="26">
        <v>0.24</v>
      </c>
      <c r="K7" s="26">
        <v>0.2576</v>
      </c>
      <c r="L7" s="26">
        <v>0.75</v>
      </c>
      <c r="M7">
        <v>8.9599999999999999E-2</v>
      </c>
      <c r="N7" s="26">
        <v>0</v>
      </c>
      <c r="O7" s="26">
        <v>1</v>
      </c>
      <c r="P7" s="26">
        <v>1</v>
      </c>
      <c r="Q7" s="34" t="str">
        <f t="shared" si="0"/>
        <v>Cloudy</v>
      </c>
      <c r="R7" s="41" t="str">
        <f>IF(I7=1,"Normal",IF(I7=2,"Yellow Alert",IF(I7=3,"Orange Alert",IF(I7=4,"Red Alert"))))</f>
        <v>Yellow Alert</v>
      </c>
      <c r="S7" s="60">
        <f t="shared" si="1"/>
        <v>1</v>
      </c>
      <c r="T7" s="60">
        <f>MONTH(dataset_1!B:B)</f>
        <v>1</v>
      </c>
      <c r="U7" s="60">
        <f t="shared" si="2"/>
        <v>2011</v>
      </c>
      <c r="V7" s="59" t="str">
        <f>TEXT(F7/24,"H AM/PM")</f>
        <v>5 AM</v>
      </c>
      <c r="W7" s="59" t="str">
        <f>IF(H7=6,"Saturday",IF(H7=0,"Sunday",IF(H7=1,"Monday",IF(H7=2,"Tuesday",IF(H7=3,"Wednesday",IF(H7=4,"Thursday",IF(H7=5,"Friday")))))))</f>
        <v>Saturday</v>
      </c>
      <c r="X7" s="59" t="str">
        <f>IF(G7=FALSE,"Working day", IF(G7=TRUE,"Holiday"))</f>
        <v>Working day</v>
      </c>
    </row>
    <row r="8" spans="1:24" x14ac:dyDescent="0.25">
      <c r="A8" s="32">
        <v>7</v>
      </c>
      <c r="B8" s="33">
        <v>40544</v>
      </c>
      <c r="C8" s="26">
        <v>1</v>
      </c>
      <c r="D8" s="26">
        <v>0</v>
      </c>
      <c r="E8" s="26">
        <v>1</v>
      </c>
      <c r="F8" s="26">
        <v>6</v>
      </c>
      <c r="G8" s="26" t="b">
        <v>0</v>
      </c>
      <c r="H8" s="26">
        <v>6</v>
      </c>
      <c r="I8" s="26">
        <v>1</v>
      </c>
      <c r="J8" s="26">
        <v>0.22</v>
      </c>
      <c r="K8" s="26">
        <v>0.2727</v>
      </c>
      <c r="L8" s="26">
        <v>0.8</v>
      </c>
      <c r="M8">
        <v>0</v>
      </c>
      <c r="N8" s="26">
        <v>2</v>
      </c>
      <c r="O8" s="26">
        <v>0</v>
      </c>
      <c r="P8" s="26">
        <v>2</v>
      </c>
      <c r="Q8" s="34" t="str">
        <f t="shared" si="0"/>
        <v>Clear</v>
      </c>
      <c r="R8" s="41" t="str">
        <f>IF(I8=1,"Normal",IF(I8=2,"Yellow Alert",IF(I8=3,"Orange Alert",IF(I8=4,"Red Alert"))))</f>
        <v>Normal</v>
      </c>
      <c r="S8" s="60">
        <f t="shared" si="1"/>
        <v>1</v>
      </c>
      <c r="T8" s="60">
        <f>MONTH(dataset_1!B:B)</f>
        <v>1</v>
      </c>
      <c r="U8" s="60">
        <f t="shared" si="2"/>
        <v>2011</v>
      </c>
      <c r="V8" s="59" t="str">
        <f>TEXT(F8/24,"H AM/PM")</f>
        <v>6 AM</v>
      </c>
      <c r="W8" s="59" t="str">
        <f>IF(H8=6,"Saturday",IF(H8=0,"Sunday",IF(H8=1,"Monday",IF(H8=2,"Tuesday",IF(H8=3,"Wednesday",IF(H8=4,"Thursday",IF(H8=5,"Friday")))))))</f>
        <v>Saturday</v>
      </c>
      <c r="X8" s="59" t="str">
        <f>IF(G8=FALSE,"Working day", IF(G8=TRUE,"Holiday"))</f>
        <v>Working day</v>
      </c>
    </row>
    <row r="9" spans="1:24" ht="13" x14ac:dyDescent="0.3">
      <c r="A9" s="32">
        <v>8</v>
      </c>
      <c r="B9" s="39">
        <v>40544</v>
      </c>
      <c r="C9" s="26">
        <v>1</v>
      </c>
      <c r="D9" s="26">
        <v>0</v>
      </c>
      <c r="E9" s="26">
        <v>1</v>
      </c>
      <c r="F9" s="26">
        <v>7</v>
      </c>
      <c r="G9" s="26" t="b">
        <v>0</v>
      </c>
      <c r="H9" s="26">
        <v>6</v>
      </c>
      <c r="I9" s="26">
        <v>1</v>
      </c>
      <c r="J9" s="26">
        <v>0.2</v>
      </c>
      <c r="K9" s="26">
        <v>0.2576</v>
      </c>
      <c r="L9" s="26">
        <v>0.86</v>
      </c>
      <c r="M9">
        <v>0</v>
      </c>
      <c r="N9" s="26">
        <v>1</v>
      </c>
      <c r="O9" s="26">
        <v>2</v>
      </c>
      <c r="P9" s="26">
        <v>3</v>
      </c>
      <c r="Q9" s="34" t="str">
        <f t="shared" si="0"/>
        <v>Clear</v>
      </c>
      <c r="R9" s="41" t="str">
        <f>IF(I9=1,"Normal",IF(I9=2,"Yellow Alert",IF(I9=3,"Orange Alert",IF(I9=4,"Red Alert"))))</f>
        <v>Normal</v>
      </c>
      <c r="S9" s="60">
        <f t="shared" si="1"/>
        <v>1</v>
      </c>
      <c r="T9" s="60">
        <f>MONTH(dataset_1!B:B)</f>
        <v>1</v>
      </c>
      <c r="U9" s="60">
        <f t="shared" si="2"/>
        <v>2011</v>
      </c>
      <c r="V9" s="59" t="str">
        <f>TEXT(F9/24,"H AM/PM")</f>
        <v>7 AM</v>
      </c>
      <c r="W9" s="59" t="str">
        <f>IF(H9=6,"Saturday",IF(H9=0,"Sunday",IF(H9=1,"Monday",IF(H9=2,"Tuesday",IF(H9=3,"Wednesday",IF(H9=4,"Thursday",IF(H9=5,"Friday")))))))</f>
        <v>Saturday</v>
      </c>
      <c r="X9" s="59" t="str">
        <f>IF(G9=FALSE,"Working day", IF(G9=TRUE,"Holiday"))</f>
        <v>Working day</v>
      </c>
    </row>
    <row r="10" spans="1:24" x14ac:dyDescent="0.25">
      <c r="A10" s="32">
        <v>9</v>
      </c>
      <c r="B10" s="33">
        <v>40544</v>
      </c>
      <c r="C10" s="26">
        <v>1</v>
      </c>
      <c r="D10" s="26">
        <v>0</v>
      </c>
      <c r="E10" s="26">
        <v>1</v>
      </c>
      <c r="F10" s="26">
        <v>8</v>
      </c>
      <c r="G10" s="26" t="b">
        <v>0</v>
      </c>
      <c r="H10" s="26">
        <v>6</v>
      </c>
      <c r="I10" s="26">
        <v>1</v>
      </c>
      <c r="J10" s="26">
        <v>0.24</v>
      </c>
      <c r="K10" s="26">
        <v>0.19700000000000001</v>
      </c>
      <c r="L10" s="26">
        <v>0.75</v>
      </c>
      <c r="M10">
        <v>0</v>
      </c>
      <c r="N10" s="26">
        <v>1</v>
      </c>
      <c r="O10" s="26">
        <v>7</v>
      </c>
      <c r="P10" s="26">
        <v>8</v>
      </c>
      <c r="Q10" s="34" t="str">
        <f t="shared" si="0"/>
        <v>Clear</v>
      </c>
      <c r="R10" s="41" t="str">
        <f>IF(I10=1,"Normal",IF(I10=2,"Yellow Alert",IF(I10=3,"Orange Alert",IF(I10=4,"Red Alert"))))</f>
        <v>Normal</v>
      </c>
      <c r="S10" s="60">
        <f t="shared" si="1"/>
        <v>1</v>
      </c>
      <c r="T10" s="60">
        <f>MONTH(dataset_1!B:B)</f>
        <v>1</v>
      </c>
      <c r="U10" s="60">
        <f t="shared" si="2"/>
        <v>2011</v>
      </c>
      <c r="V10" s="59" t="str">
        <f>TEXT(F10/24,"H AM/PM")</f>
        <v>8 AM</v>
      </c>
      <c r="W10" s="59" t="str">
        <f>IF(H10=6,"Saturday",IF(H10=0,"Sunday",IF(H10=1,"Monday",IF(H10=2,"Tuesday",IF(H10=3,"Wednesday",IF(H10=4,"Thursday",IF(H10=5,"Friday")))))))</f>
        <v>Saturday</v>
      </c>
      <c r="X10" s="59" t="str">
        <f>IF(G10=FALSE,"Working day", IF(G10=TRUE,"Holiday"))</f>
        <v>Working day</v>
      </c>
    </row>
    <row r="11" spans="1:24" x14ac:dyDescent="0.25">
      <c r="A11" s="32">
        <v>10</v>
      </c>
      <c r="B11" s="33">
        <v>40544</v>
      </c>
      <c r="C11" s="26">
        <v>1</v>
      </c>
      <c r="D11" s="26">
        <v>0</v>
      </c>
      <c r="E11" s="26">
        <v>1</v>
      </c>
      <c r="F11" s="26">
        <v>9</v>
      </c>
      <c r="G11" s="26" t="b">
        <v>0</v>
      </c>
      <c r="H11" s="26">
        <v>6</v>
      </c>
      <c r="I11" s="26">
        <v>1</v>
      </c>
      <c r="J11" s="26">
        <v>0.32</v>
      </c>
      <c r="K11" s="26">
        <v>0.34849999999999998</v>
      </c>
      <c r="L11" s="26">
        <v>0.76</v>
      </c>
      <c r="M11">
        <v>0</v>
      </c>
      <c r="N11" s="26">
        <v>8</v>
      </c>
      <c r="O11" s="26">
        <v>6</v>
      </c>
      <c r="P11" s="26">
        <v>14</v>
      </c>
      <c r="Q11" s="34" t="str">
        <f t="shared" si="0"/>
        <v>Clear</v>
      </c>
      <c r="R11" s="41" t="str">
        <f>IF(I11=1,"Normal",IF(I11=2,"Yellow Alert",IF(I11=3,"Orange Alert",IF(I11=4,"Red Alert"))))</f>
        <v>Normal</v>
      </c>
      <c r="S11" s="60">
        <f t="shared" si="1"/>
        <v>1</v>
      </c>
      <c r="T11" s="60">
        <f>MONTH(dataset_1!B:B)</f>
        <v>1</v>
      </c>
      <c r="U11" s="60">
        <f t="shared" si="2"/>
        <v>2011</v>
      </c>
      <c r="V11" s="59" t="str">
        <f>TEXT(F11/24,"H AM/PM")</f>
        <v>9 AM</v>
      </c>
      <c r="W11" s="59" t="str">
        <f>IF(H11=6,"Saturday",IF(H11=0,"Sunday",IF(H11=1,"Monday",IF(H11=2,"Tuesday",IF(H11=3,"Wednesday",IF(H11=4,"Thursday",IF(H11=5,"Friday")))))))</f>
        <v>Saturday</v>
      </c>
      <c r="X11" s="59" t="str">
        <f>IF(G11=FALSE,"Working day", IF(G11=TRUE,"Holiday"))</f>
        <v>Working day</v>
      </c>
    </row>
    <row r="12" spans="1:24" x14ac:dyDescent="0.25">
      <c r="A12" s="32">
        <v>11</v>
      </c>
      <c r="B12" s="33">
        <v>40544</v>
      </c>
      <c r="C12" s="26">
        <v>1</v>
      </c>
      <c r="D12" s="26">
        <v>0</v>
      </c>
      <c r="E12" s="26">
        <v>1</v>
      </c>
      <c r="F12" s="26">
        <v>10</v>
      </c>
      <c r="G12" s="26" t="b">
        <v>0</v>
      </c>
      <c r="H12" s="26">
        <v>6</v>
      </c>
      <c r="I12" s="26">
        <v>1</v>
      </c>
      <c r="J12" s="26">
        <v>0.38</v>
      </c>
      <c r="K12" s="26">
        <v>0.39389999999999997</v>
      </c>
      <c r="L12" s="26">
        <v>0.76</v>
      </c>
      <c r="M12">
        <v>0.25369999999999998</v>
      </c>
      <c r="N12" s="26">
        <v>12</v>
      </c>
      <c r="O12" s="26">
        <v>24</v>
      </c>
      <c r="P12" s="26">
        <v>36</v>
      </c>
      <c r="Q12" s="34" t="str">
        <f t="shared" si="0"/>
        <v>Clear</v>
      </c>
      <c r="R12" s="41" t="str">
        <f>IF(I12=1,"Normal",IF(I12=2,"Yellow Alert",IF(I12=3,"Orange Alert",IF(I12=4,"Red Alert"))))</f>
        <v>Normal</v>
      </c>
      <c r="S12" s="60">
        <f t="shared" si="1"/>
        <v>1</v>
      </c>
      <c r="T12" s="60">
        <f>MONTH(dataset_1!B:B)</f>
        <v>1</v>
      </c>
      <c r="U12" s="60">
        <f t="shared" si="2"/>
        <v>2011</v>
      </c>
      <c r="V12" s="59" t="str">
        <f>TEXT(F12/24,"H AM/PM")</f>
        <v>10 AM</v>
      </c>
      <c r="W12" s="59" t="str">
        <f>IF(H12=6,"Saturday",IF(H12=0,"Sunday",IF(H12=1,"Monday",IF(H12=2,"Tuesday",IF(H12=3,"Wednesday",IF(H12=4,"Thursday",IF(H12=5,"Friday")))))))</f>
        <v>Saturday</v>
      </c>
      <c r="X12" s="59" t="str">
        <f>IF(G12=FALSE,"Working day", IF(G12=TRUE,"Holiday"))</f>
        <v>Working day</v>
      </c>
    </row>
    <row r="13" spans="1:24" x14ac:dyDescent="0.25">
      <c r="A13" s="32">
        <v>12</v>
      </c>
      <c r="B13" s="33">
        <v>40544</v>
      </c>
      <c r="C13" s="26" t="s">
        <v>29</v>
      </c>
      <c r="D13" s="26">
        <v>0</v>
      </c>
      <c r="E13" s="26">
        <v>1</v>
      </c>
      <c r="F13" s="26">
        <v>11</v>
      </c>
      <c r="G13" s="26" t="b">
        <v>0</v>
      </c>
      <c r="H13" s="26">
        <v>6</v>
      </c>
      <c r="I13" s="26">
        <v>1</v>
      </c>
      <c r="J13" s="26">
        <v>0.36</v>
      </c>
      <c r="K13" s="26">
        <v>0.33329999999999999</v>
      </c>
      <c r="L13" s="26">
        <v>0.81</v>
      </c>
      <c r="M13">
        <v>0.28360000000000002</v>
      </c>
      <c r="N13" s="26">
        <v>26</v>
      </c>
      <c r="O13" s="26">
        <v>30</v>
      </c>
      <c r="P13" s="26">
        <v>56</v>
      </c>
      <c r="Q13" s="34" t="str">
        <f t="shared" si="0"/>
        <v>Clear</v>
      </c>
      <c r="R13" s="41" t="str">
        <f>IF(I13=1,"Normal",IF(I13=2,"Yellow Alert",IF(I13=3,"Orange Alert",IF(I13=4,"Red Alert"))))</f>
        <v>Normal</v>
      </c>
      <c r="S13" s="60">
        <f t="shared" si="1"/>
        <v>1</v>
      </c>
      <c r="T13" s="60">
        <f>MONTH(dataset_1!B:B)</f>
        <v>1</v>
      </c>
      <c r="U13" s="60">
        <f t="shared" si="2"/>
        <v>2011</v>
      </c>
      <c r="V13" s="59" t="str">
        <f>TEXT(F13/24,"H AM/PM")</f>
        <v>11 AM</v>
      </c>
      <c r="W13" s="59" t="str">
        <f>IF(H13=6,"Saturday",IF(H13=0,"Sunday",IF(H13=1,"Monday",IF(H13=2,"Tuesday",IF(H13=3,"Wednesday",IF(H13=4,"Thursday",IF(H13=5,"Friday")))))))</f>
        <v>Saturday</v>
      </c>
      <c r="X13" s="59" t="str">
        <f>IF(G13=FALSE,"Working day", IF(G13=TRUE,"Holiday"))</f>
        <v>Working day</v>
      </c>
    </row>
    <row r="14" spans="1:24" x14ac:dyDescent="0.25">
      <c r="A14" s="32">
        <v>13</v>
      </c>
      <c r="B14" s="33">
        <v>40544</v>
      </c>
      <c r="C14" s="26">
        <v>1</v>
      </c>
      <c r="D14" s="26">
        <v>0</v>
      </c>
      <c r="E14" s="26">
        <v>1</v>
      </c>
      <c r="F14" s="26">
        <v>12</v>
      </c>
      <c r="G14" s="26" t="b">
        <v>0</v>
      </c>
      <c r="H14" s="26">
        <v>6</v>
      </c>
      <c r="I14" s="26">
        <v>1</v>
      </c>
      <c r="J14" s="26">
        <v>0.42</v>
      </c>
      <c r="K14" s="26">
        <v>0.42420000000000002</v>
      </c>
      <c r="L14" s="26">
        <v>0.77</v>
      </c>
      <c r="M14">
        <v>0.28360000000000002</v>
      </c>
      <c r="N14" s="26">
        <v>29</v>
      </c>
      <c r="O14" s="26">
        <v>55</v>
      </c>
      <c r="P14" s="26">
        <v>84</v>
      </c>
      <c r="Q14" s="34" t="str">
        <f t="shared" si="0"/>
        <v>Clear</v>
      </c>
      <c r="R14" s="41" t="str">
        <f>IF(I14=1,"Normal",IF(I14=2,"Yellow Alert",IF(I14=3,"Orange Alert",IF(I14=4,"Red Alert"))))</f>
        <v>Normal</v>
      </c>
      <c r="S14" s="60">
        <f t="shared" si="1"/>
        <v>1</v>
      </c>
      <c r="T14" s="60">
        <f>MONTH(dataset_1!B:B)</f>
        <v>1</v>
      </c>
      <c r="U14" s="60">
        <f t="shared" si="2"/>
        <v>2011</v>
      </c>
      <c r="V14" s="59" t="str">
        <f>TEXT(F14/24,"H AM/PM")</f>
        <v>12 PM</v>
      </c>
      <c r="W14" s="59" t="str">
        <f>IF(H14=6,"Saturday",IF(H14=0,"Sunday",IF(H14=1,"Monday",IF(H14=2,"Tuesday",IF(H14=3,"Wednesday",IF(H14=4,"Thursday",IF(H14=5,"Friday")))))))</f>
        <v>Saturday</v>
      </c>
      <c r="X14" s="59" t="str">
        <f>IF(G14=FALSE,"Working day", IF(G14=TRUE,"Holiday"))</f>
        <v>Working day</v>
      </c>
    </row>
    <row r="15" spans="1:24" x14ac:dyDescent="0.25">
      <c r="A15" s="32">
        <v>14</v>
      </c>
      <c r="B15" s="33">
        <v>40544</v>
      </c>
      <c r="C15" s="26">
        <v>1</v>
      </c>
      <c r="D15" s="26">
        <v>0</v>
      </c>
      <c r="E15" s="26">
        <v>1</v>
      </c>
      <c r="F15" s="26">
        <v>13</v>
      </c>
      <c r="G15" s="26" t="b">
        <v>0</v>
      </c>
      <c r="H15" s="26">
        <v>6</v>
      </c>
      <c r="I15" s="26">
        <v>2</v>
      </c>
      <c r="J15" s="26">
        <v>0.46</v>
      </c>
      <c r="K15" s="26">
        <v>0.45450000000000002</v>
      </c>
      <c r="L15" s="26">
        <v>0.72</v>
      </c>
      <c r="M15">
        <v>0.29849999999999999</v>
      </c>
      <c r="N15" s="26">
        <v>47</v>
      </c>
      <c r="O15" s="26">
        <v>47</v>
      </c>
      <c r="P15" s="26">
        <v>94</v>
      </c>
      <c r="Q15" s="34" t="str">
        <f t="shared" si="0"/>
        <v>Cloudy</v>
      </c>
      <c r="R15" s="41" t="str">
        <f>IF(I15=1,"Normal",IF(I15=2,"Yellow Alert",IF(I15=3,"Orange Alert",IF(I15=4,"Red Alert"))))</f>
        <v>Yellow Alert</v>
      </c>
      <c r="S15" s="60">
        <f t="shared" si="1"/>
        <v>1</v>
      </c>
      <c r="T15" s="60">
        <f>MONTH(dataset_1!B:B)</f>
        <v>1</v>
      </c>
      <c r="U15" s="60">
        <f t="shared" si="2"/>
        <v>2011</v>
      </c>
      <c r="V15" s="59" t="str">
        <f>TEXT(F15/24,"H AM/PM")</f>
        <v>1 PM</v>
      </c>
      <c r="W15" s="59" t="str">
        <f>IF(H15=6,"Saturday",IF(H15=0,"Sunday",IF(H15=1,"Monday",IF(H15=2,"Tuesday",IF(H15=3,"Wednesday",IF(H15=4,"Thursday",IF(H15=5,"Friday")))))))</f>
        <v>Saturday</v>
      </c>
      <c r="X15" s="59" t="str">
        <f>IF(G15=FALSE,"Working day", IF(G15=TRUE,"Holiday"))</f>
        <v>Working day</v>
      </c>
    </row>
    <row r="16" spans="1:24" x14ac:dyDescent="0.25">
      <c r="A16" s="32">
        <v>15</v>
      </c>
      <c r="B16" s="33">
        <v>40544</v>
      </c>
      <c r="C16" s="26">
        <v>1</v>
      </c>
      <c r="D16" s="26">
        <v>0</v>
      </c>
      <c r="E16" s="26">
        <v>1</v>
      </c>
      <c r="F16" s="26">
        <v>14</v>
      </c>
      <c r="G16" s="26" t="b">
        <v>0</v>
      </c>
      <c r="H16" s="26">
        <v>6</v>
      </c>
      <c r="I16" s="26">
        <v>2</v>
      </c>
      <c r="J16" s="26">
        <v>0.46</v>
      </c>
      <c r="K16" s="26">
        <v>0.45450000000000002</v>
      </c>
      <c r="L16" s="26">
        <v>0.72</v>
      </c>
      <c r="M16">
        <v>0.28360000000000002</v>
      </c>
      <c r="N16" s="26">
        <v>35</v>
      </c>
      <c r="O16" s="26">
        <v>71</v>
      </c>
      <c r="P16" s="26">
        <v>106</v>
      </c>
      <c r="Q16" s="34" t="str">
        <f t="shared" si="0"/>
        <v>Cloudy</v>
      </c>
      <c r="R16" s="41" t="str">
        <f>IF(I16=1,"Normal",IF(I16=2,"Yellow Alert",IF(I16=3,"Orange Alert",IF(I16=4,"Red Alert"))))</f>
        <v>Yellow Alert</v>
      </c>
      <c r="S16" s="60">
        <f t="shared" si="1"/>
        <v>1</v>
      </c>
      <c r="T16" s="60">
        <f>MONTH(dataset_1!B:B)</f>
        <v>1</v>
      </c>
      <c r="U16" s="60">
        <f t="shared" si="2"/>
        <v>2011</v>
      </c>
      <c r="V16" s="59" t="str">
        <f>TEXT(F16/24,"H AM/PM")</f>
        <v>2 PM</v>
      </c>
      <c r="W16" s="59" t="str">
        <f>IF(H16=6,"Saturday",IF(H16=0,"Sunday",IF(H16=1,"Monday",IF(H16=2,"Tuesday",IF(H16=3,"Wednesday",IF(H16=4,"Thursday",IF(H16=5,"Friday")))))))</f>
        <v>Saturday</v>
      </c>
      <c r="X16" s="59" t="str">
        <f>IF(G16=FALSE,"Working day", IF(G16=TRUE,"Holiday"))</f>
        <v>Working day</v>
      </c>
    </row>
    <row r="17" spans="1:24" x14ac:dyDescent="0.25">
      <c r="A17" s="32">
        <v>16</v>
      </c>
      <c r="B17" s="33">
        <v>40544</v>
      </c>
      <c r="C17" s="26">
        <v>1</v>
      </c>
      <c r="D17" s="26">
        <v>0</v>
      </c>
      <c r="E17" s="26">
        <v>1</v>
      </c>
      <c r="F17" s="26">
        <v>15</v>
      </c>
      <c r="G17" s="26" t="b">
        <v>0</v>
      </c>
      <c r="H17" s="26">
        <v>6</v>
      </c>
      <c r="I17" s="26">
        <v>2</v>
      </c>
      <c r="J17" s="26">
        <v>0.44</v>
      </c>
      <c r="K17" s="26">
        <v>0.43940000000000001</v>
      </c>
      <c r="L17" s="26">
        <v>0.77</v>
      </c>
      <c r="M17">
        <v>0.29849999999999999</v>
      </c>
      <c r="N17" s="26">
        <v>40</v>
      </c>
      <c r="O17" s="26">
        <v>70</v>
      </c>
      <c r="P17" s="26">
        <v>110</v>
      </c>
      <c r="Q17" s="34" t="str">
        <f t="shared" si="0"/>
        <v>Cloudy</v>
      </c>
      <c r="R17" s="41" t="str">
        <f>IF(I17=1,"Normal",IF(I17=2,"Yellow Alert",IF(I17=3,"Orange Alert",IF(I17=4,"Red Alert"))))</f>
        <v>Yellow Alert</v>
      </c>
      <c r="S17" s="60">
        <f t="shared" si="1"/>
        <v>1</v>
      </c>
      <c r="T17" s="60">
        <f>MONTH(dataset_1!B:B)</f>
        <v>1</v>
      </c>
      <c r="U17" s="60">
        <f t="shared" si="2"/>
        <v>2011</v>
      </c>
      <c r="V17" s="59" t="str">
        <f>TEXT(F17/24,"H AM/PM")</f>
        <v>3 PM</v>
      </c>
      <c r="W17" s="59" t="str">
        <f>IF(H17=6,"Saturday",IF(H17=0,"Sunday",IF(H17=1,"Monday",IF(H17=2,"Tuesday",IF(H17=3,"Wednesday",IF(H17=4,"Thursday",IF(H17=5,"Friday")))))))</f>
        <v>Saturday</v>
      </c>
      <c r="X17" s="59" t="str">
        <f>IF(G17=FALSE,"Working day", IF(G17=TRUE,"Holiday"))</f>
        <v>Working day</v>
      </c>
    </row>
    <row r="18" spans="1:24" x14ac:dyDescent="0.25">
      <c r="A18" s="32">
        <v>17</v>
      </c>
      <c r="B18" s="33">
        <v>40544</v>
      </c>
      <c r="C18" s="26">
        <v>1</v>
      </c>
      <c r="D18" s="26">
        <v>0</v>
      </c>
      <c r="E18" s="26">
        <v>1</v>
      </c>
      <c r="F18" s="26">
        <v>16</v>
      </c>
      <c r="G18" s="26" t="b">
        <v>0</v>
      </c>
      <c r="H18" s="26">
        <v>6</v>
      </c>
      <c r="I18" s="26">
        <v>2</v>
      </c>
      <c r="J18" s="26">
        <v>0.42</v>
      </c>
      <c r="K18" s="26">
        <v>0.42420000000000002</v>
      </c>
      <c r="L18" s="26">
        <v>0.82</v>
      </c>
      <c r="M18">
        <v>0.29849999999999999</v>
      </c>
      <c r="N18" s="26">
        <v>41</v>
      </c>
      <c r="O18" s="26">
        <v>52</v>
      </c>
      <c r="P18" s="26">
        <v>93</v>
      </c>
      <c r="Q18" s="34" t="str">
        <f t="shared" si="0"/>
        <v>Cloudy</v>
      </c>
      <c r="R18" s="41" t="str">
        <f>IF(I18=1,"Normal",IF(I18=2,"Yellow Alert",IF(I18=3,"Orange Alert",IF(I18=4,"Red Alert"))))</f>
        <v>Yellow Alert</v>
      </c>
      <c r="S18" s="60">
        <f t="shared" si="1"/>
        <v>1</v>
      </c>
      <c r="T18" s="60">
        <f>MONTH(dataset_1!B:B)</f>
        <v>1</v>
      </c>
      <c r="U18" s="60">
        <f t="shared" si="2"/>
        <v>2011</v>
      </c>
      <c r="V18" s="59" t="str">
        <f>TEXT(F18/24,"H AM/PM")</f>
        <v>4 PM</v>
      </c>
      <c r="W18" s="59" t="str">
        <f>IF(H18=6,"Saturday",IF(H18=0,"Sunday",IF(H18=1,"Monday",IF(H18=2,"Tuesday",IF(H18=3,"Wednesday",IF(H18=4,"Thursday",IF(H18=5,"Friday")))))))</f>
        <v>Saturday</v>
      </c>
      <c r="X18" s="59" t="str">
        <f>IF(G18=FALSE,"Working day", IF(G18=TRUE,"Holiday"))</f>
        <v>Working day</v>
      </c>
    </row>
    <row r="19" spans="1:24" x14ac:dyDescent="0.25">
      <c r="A19" s="32">
        <v>18</v>
      </c>
      <c r="B19" s="33">
        <v>40544</v>
      </c>
      <c r="C19" s="26">
        <v>1</v>
      </c>
      <c r="D19" s="26">
        <v>0</v>
      </c>
      <c r="E19" s="26">
        <v>1</v>
      </c>
      <c r="F19" s="26">
        <v>17</v>
      </c>
      <c r="G19" s="26" t="b">
        <v>0</v>
      </c>
      <c r="H19" s="26">
        <v>6</v>
      </c>
      <c r="I19" s="26">
        <v>2</v>
      </c>
      <c r="J19" s="26">
        <v>0.44</v>
      </c>
      <c r="K19" s="26">
        <v>0.19700000000000001</v>
      </c>
      <c r="L19" s="26">
        <v>0.82</v>
      </c>
      <c r="M19">
        <v>0.28360000000000002</v>
      </c>
      <c r="N19" s="26">
        <v>15</v>
      </c>
      <c r="O19" s="26">
        <v>52</v>
      </c>
      <c r="P19" s="26">
        <v>67</v>
      </c>
      <c r="Q19" s="34" t="str">
        <f t="shared" si="0"/>
        <v>Cloudy</v>
      </c>
      <c r="R19" s="41" t="str">
        <f>IF(I19=1,"Normal",IF(I19=2,"Yellow Alert",IF(I19=3,"Orange Alert",IF(I19=4,"Red Alert"))))</f>
        <v>Yellow Alert</v>
      </c>
      <c r="S19" s="60">
        <f t="shared" si="1"/>
        <v>1</v>
      </c>
      <c r="T19" s="60">
        <f>MONTH(dataset_1!B:B)</f>
        <v>1</v>
      </c>
      <c r="U19" s="60">
        <f t="shared" si="2"/>
        <v>2011</v>
      </c>
      <c r="V19" s="59" t="str">
        <f>TEXT(F19/24,"H AM/PM")</f>
        <v>5 PM</v>
      </c>
      <c r="W19" s="59" t="str">
        <f>IF(H19=6,"Saturday",IF(H19=0,"Sunday",IF(H19=1,"Monday",IF(H19=2,"Tuesday",IF(H19=3,"Wednesday",IF(H19=4,"Thursday",IF(H19=5,"Friday")))))))</f>
        <v>Saturday</v>
      </c>
      <c r="X19" s="59" t="str">
        <f>IF(G19=FALSE,"Working day", IF(G19=TRUE,"Holiday"))</f>
        <v>Working day</v>
      </c>
    </row>
    <row r="20" spans="1:24" x14ac:dyDescent="0.25">
      <c r="A20" s="32">
        <v>19</v>
      </c>
      <c r="B20" s="33">
        <v>40544</v>
      </c>
      <c r="C20" s="26">
        <v>1</v>
      </c>
      <c r="D20" s="26">
        <v>0</v>
      </c>
      <c r="E20" s="26">
        <v>1</v>
      </c>
      <c r="F20" s="26">
        <v>18</v>
      </c>
      <c r="G20" s="26" t="b">
        <v>0</v>
      </c>
      <c r="H20" s="26">
        <v>6</v>
      </c>
      <c r="I20" s="26">
        <v>3</v>
      </c>
      <c r="J20" s="26">
        <v>0.42</v>
      </c>
      <c r="K20" s="26">
        <v>0.42420000000000002</v>
      </c>
      <c r="L20" s="26">
        <v>0.88</v>
      </c>
      <c r="M20">
        <v>0.25369999999999998</v>
      </c>
      <c r="N20" s="26">
        <v>9</v>
      </c>
      <c r="O20" s="26">
        <v>26</v>
      </c>
      <c r="P20" s="26">
        <v>35</v>
      </c>
      <c r="Q20" s="34" t="str">
        <f t="shared" si="0"/>
        <v>Light Rain</v>
      </c>
      <c r="R20" s="41" t="str">
        <f>IF(I20=1,"Normal",IF(I20=2,"Yellow Alert",IF(I20=3,"Orange Alert",IF(I20=4,"Red Alert"))))</f>
        <v>Orange Alert</v>
      </c>
      <c r="S20" s="60">
        <f t="shared" si="1"/>
        <v>1</v>
      </c>
      <c r="T20" s="60">
        <f>MONTH(dataset_1!B:B)</f>
        <v>1</v>
      </c>
      <c r="U20" s="60">
        <f t="shared" si="2"/>
        <v>2011</v>
      </c>
      <c r="V20" s="59" t="str">
        <f>TEXT(F20/24,"H AM/PM")</f>
        <v>6 PM</v>
      </c>
      <c r="W20" s="59" t="str">
        <f>IF(H20=6,"Saturday",IF(H20=0,"Sunday",IF(H20=1,"Monday",IF(H20=2,"Tuesday",IF(H20=3,"Wednesday",IF(H20=4,"Thursday",IF(H20=5,"Friday")))))))</f>
        <v>Saturday</v>
      </c>
      <c r="X20" s="59" t="str">
        <f>IF(G20=FALSE,"Working day", IF(G20=TRUE,"Holiday"))</f>
        <v>Working day</v>
      </c>
    </row>
    <row r="21" spans="1:24" x14ac:dyDescent="0.25">
      <c r="A21" s="32">
        <v>20</v>
      </c>
      <c r="B21" s="33">
        <v>40544</v>
      </c>
      <c r="C21" s="26">
        <v>1</v>
      </c>
      <c r="D21" s="26">
        <v>0</v>
      </c>
      <c r="E21" s="26">
        <v>1</v>
      </c>
      <c r="F21" s="26">
        <v>19</v>
      </c>
      <c r="G21" s="26" t="b">
        <v>0</v>
      </c>
      <c r="H21" s="26">
        <v>6</v>
      </c>
      <c r="I21" s="26">
        <v>3</v>
      </c>
      <c r="J21" s="26">
        <v>0.42</v>
      </c>
      <c r="K21" s="26">
        <v>0.42420000000000002</v>
      </c>
      <c r="L21" s="26">
        <v>0.88</v>
      </c>
      <c r="M21">
        <v>0.25369999999999998</v>
      </c>
      <c r="N21" s="26">
        <v>6</v>
      </c>
      <c r="O21" s="26">
        <v>31</v>
      </c>
      <c r="P21" s="26">
        <v>37</v>
      </c>
      <c r="Q21" s="34" t="str">
        <f t="shared" si="0"/>
        <v>Light Rain</v>
      </c>
      <c r="R21" s="41" t="str">
        <f>IF(I21=1,"Normal",IF(I21=2,"Yellow Alert",IF(I21=3,"Orange Alert",IF(I21=4,"Red Alert"))))</f>
        <v>Orange Alert</v>
      </c>
      <c r="S21" s="60">
        <f t="shared" si="1"/>
        <v>1</v>
      </c>
      <c r="T21" s="60">
        <f>MONTH(dataset_1!B:B)</f>
        <v>1</v>
      </c>
      <c r="U21" s="60">
        <f t="shared" si="2"/>
        <v>2011</v>
      </c>
      <c r="V21" s="59" t="str">
        <f>TEXT(F21/24,"H AM/PM")</f>
        <v>7 PM</v>
      </c>
      <c r="W21" s="59" t="str">
        <f>IF(H21=6,"Saturday",IF(H21=0,"Sunday",IF(H21=1,"Monday",IF(H21=2,"Tuesday",IF(H21=3,"Wednesday",IF(H21=4,"Thursday",IF(H21=5,"Friday")))))))</f>
        <v>Saturday</v>
      </c>
      <c r="X21" s="59" t="str">
        <f>IF(G21=FALSE,"Working day", IF(G21=TRUE,"Holiday"))</f>
        <v>Working day</v>
      </c>
    </row>
    <row r="22" spans="1:24" x14ac:dyDescent="0.25">
      <c r="A22" s="32">
        <v>21</v>
      </c>
      <c r="B22" s="33">
        <v>40544</v>
      </c>
      <c r="C22" s="26">
        <v>1</v>
      </c>
      <c r="D22" s="26">
        <v>0</v>
      </c>
      <c r="E22" s="26">
        <v>1</v>
      </c>
      <c r="F22" s="26">
        <v>20</v>
      </c>
      <c r="G22" s="26" t="b">
        <v>0</v>
      </c>
      <c r="H22" s="26">
        <v>6</v>
      </c>
      <c r="I22" s="26">
        <v>2</v>
      </c>
      <c r="J22" s="26">
        <v>0.4</v>
      </c>
      <c r="K22" s="26">
        <v>0.40910000000000002</v>
      </c>
      <c r="L22" s="26">
        <v>0.87</v>
      </c>
      <c r="M22">
        <v>0.25369999999999998</v>
      </c>
      <c r="N22" s="26">
        <v>11</v>
      </c>
      <c r="O22" s="26">
        <v>25</v>
      </c>
      <c r="P22" s="26">
        <v>36</v>
      </c>
      <c r="Q22" s="34" t="str">
        <f t="shared" si="0"/>
        <v>Cloudy</v>
      </c>
      <c r="R22" s="41" t="str">
        <f>IF(I22=1,"Normal",IF(I22=2,"Yellow Alert",IF(I22=3,"Orange Alert",IF(I22=4,"Red Alert"))))</f>
        <v>Yellow Alert</v>
      </c>
      <c r="S22" s="60">
        <f t="shared" si="1"/>
        <v>1</v>
      </c>
      <c r="T22" s="60">
        <f>MONTH(dataset_1!B:B)</f>
        <v>1</v>
      </c>
      <c r="U22" s="60">
        <f t="shared" si="2"/>
        <v>2011</v>
      </c>
      <c r="V22" s="59" t="str">
        <f>TEXT(F22/24,"H AM/PM")</f>
        <v>8 PM</v>
      </c>
      <c r="W22" s="59" t="str">
        <f>IF(H22=6,"Saturday",IF(H22=0,"Sunday",IF(H22=1,"Monday",IF(H22=2,"Tuesday",IF(H22=3,"Wednesday",IF(H22=4,"Thursday",IF(H22=5,"Friday")))))))</f>
        <v>Saturday</v>
      </c>
      <c r="X22" s="59" t="str">
        <f>IF(G22=FALSE,"Working day", IF(G22=TRUE,"Holiday"))</f>
        <v>Working day</v>
      </c>
    </row>
    <row r="23" spans="1:24" x14ac:dyDescent="0.25">
      <c r="A23" s="32">
        <v>22</v>
      </c>
      <c r="B23" s="33">
        <v>40544</v>
      </c>
      <c r="C23" s="26">
        <v>1</v>
      </c>
      <c r="D23" s="26">
        <v>0</v>
      </c>
      <c r="E23" s="26">
        <v>1</v>
      </c>
      <c r="F23" s="26">
        <v>21</v>
      </c>
      <c r="G23" s="26" t="b">
        <v>0</v>
      </c>
      <c r="H23" s="26">
        <v>6</v>
      </c>
      <c r="I23" s="26">
        <v>2</v>
      </c>
      <c r="J23" s="26">
        <v>0.4</v>
      </c>
      <c r="K23" s="26">
        <v>0.40910000000000002</v>
      </c>
      <c r="L23" s="26">
        <v>0.87</v>
      </c>
      <c r="M23">
        <v>0.19400000000000001</v>
      </c>
      <c r="N23" s="26">
        <v>3</v>
      </c>
      <c r="O23" s="26">
        <v>31</v>
      </c>
      <c r="P23" s="26">
        <v>34</v>
      </c>
      <c r="Q23" s="34" t="str">
        <f t="shared" si="0"/>
        <v>Cloudy</v>
      </c>
      <c r="R23" s="41" t="str">
        <f>IF(I23=1,"Normal",IF(I23=2,"Yellow Alert",IF(I23=3,"Orange Alert",IF(I23=4,"Red Alert"))))</f>
        <v>Yellow Alert</v>
      </c>
      <c r="S23" s="60">
        <f t="shared" si="1"/>
        <v>1</v>
      </c>
      <c r="T23" s="60">
        <f>MONTH(dataset_1!B:B)</f>
        <v>1</v>
      </c>
      <c r="U23" s="60">
        <f t="shared" si="2"/>
        <v>2011</v>
      </c>
      <c r="V23" s="59" t="str">
        <f>TEXT(F23/24,"H AM/PM")</f>
        <v>9 PM</v>
      </c>
      <c r="W23" s="59" t="str">
        <f>IF(H23=6,"Saturday",IF(H23=0,"Sunday",IF(H23=1,"Monday",IF(H23=2,"Tuesday",IF(H23=3,"Wednesday",IF(H23=4,"Thursday",IF(H23=5,"Friday")))))))</f>
        <v>Saturday</v>
      </c>
      <c r="X23" s="59" t="str">
        <f>IF(G23=FALSE,"Working day", IF(G23=TRUE,"Holiday"))</f>
        <v>Working day</v>
      </c>
    </row>
    <row r="24" spans="1:24" x14ac:dyDescent="0.25">
      <c r="A24" s="32">
        <v>23</v>
      </c>
      <c r="B24" s="33">
        <v>40544</v>
      </c>
      <c r="C24" s="26">
        <v>1</v>
      </c>
      <c r="D24" s="26">
        <v>0</v>
      </c>
      <c r="E24" s="26">
        <v>1</v>
      </c>
      <c r="F24" s="26">
        <v>22</v>
      </c>
      <c r="G24" s="26" t="b">
        <v>0</v>
      </c>
      <c r="H24" s="26">
        <v>6</v>
      </c>
      <c r="I24" s="26">
        <v>2</v>
      </c>
      <c r="J24" s="26">
        <v>0.4</v>
      </c>
      <c r="K24" s="26">
        <v>0.40910000000000002</v>
      </c>
      <c r="L24" s="26">
        <v>0.94</v>
      </c>
      <c r="M24">
        <v>0.22389999999999999</v>
      </c>
      <c r="N24" s="26">
        <v>11</v>
      </c>
      <c r="O24" s="26">
        <v>17</v>
      </c>
      <c r="P24" s="26">
        <v>28</v>
      </c>
      <c r="Q24" s="34" t="str">
        <f t="shared" si="0"/>
        <v>Cloudy</v>
      </c>
      <c r="R24" s="41" t="str">
        <f>IF(I24=1,"Normal",IF(I24=2,"Yellow Alert",IF(I24=3,"Orange Alert",IF(I24=4,"Red Alert"))))</f>
        <v>Yellow Alert</v>
      </c>
      <c r="S24" s="60">
        <f t="shared" si="1"/>
        <v>1</v>
      </c>
      <c r="T24" s="60">
        <f>MONTH(dataset_1!B:B)</f>
        <v>1</v>
      </c>
      <c r="U24" s="60">
        <f t="shared" si="2"/>
        <v>2011</v>
      </c>
      <c r="V24" s="59" t="str">
        <f>TEXT(F24/24,"H AM/PM")</f>
        <v>10 PM</v>
      </c>
      <c r="W24" s="59" t="str">
        <f>IF(H24=6,"Saturday",IF(H24=0,"Sunday",IF(H24=1,"Monday",IF(H24=2,"Tuesday",IF(H24=3,"Wednesday",IF(H24=4,"Thursday",IF(H24=5,"Friday")))))))</f>
        <v>Saturday</v>
      </c>
      <c r="X24" s="59" t="str">
        <f>IF(G24=FALSE,"Working day", IF(G24=TRUE,"Holiday"))</f>
        <v>Working day</v>
      </c>
    </row>
    <row r="25" spans="1:24" x14ac:dyDescent="0.25">
      <c r="A25" s="32">
        <v>24</v>
      </c>
      <c r="B25" s="33">
        <v>40544</v>
      </c>
      <c r="C25" s="26">
        <v>1</v>
      </c>
      <c r="D25" s="26">
        <v>0</v>
      </c>
      <c r="E25" s="26">
        <v>1</v>
      </c>
      <c r="F25" s="26">
        <v>23</v>
      </c>
      <c r="G25" s="26" t="b">
        <v>0</v>
      </c>
      <c r="H25" s="26">
        <v>6</v>
      </c>
      <c r="I25" s="26">
        <v>2</v>
      </c>
      <c r="J25" s="26">
        <v>0.46</v>
      </c>
      <c r="K25" s="26">
        <v>0.19700000000000001</v>
      </c>
      <c r="L25" s="26">
        <v>0.88</v>
      </c>
      <c r="M25">
        <v>0.29849999999999999</v>
      </c>
      <c r="N25" s="26">
        <v>15</v>
      </c>
      <c r="O25" s="26">
        <v>24</v>
      </c>
      <c r="P25" s="26">
        <v>39</v>
      </c>
      <c r="Q25" s="34" t="str">
        <f t="shared" si="0"/>
        <v>Cloudy</v>
      </c>
      <c r="R25" s="41" t="str">
        <f>IF(I25=1,"Normal",IF(I25=2,"Yellow Alert",IF(I25=3,"Orange Alert",IF(I25=4,"Red Alert"))))</f>
        <v>Yellow Alert</v>
      </c>
      <c r="S25" s="60">
        <f t="shared" si="1"/>
        <v>1</v>
      </c>
      <c r="T25" s="60">
        <f>MONTH(dataset_1!B:B)</f>
        <v>1</v>
      </c>
      <c r="U25" s="60">
        <f t="shared" si="2"/>
        <v>2011</v>
      </c>
      <c r="V25" s="59" t="str">
        <f>TEXT(F25/24,"H AM/PM")</f>
        <v>11 PM</v>
      </c>
      <c r="W25" s="59" t="str">
        <f>IF(H25=6,"Saturday",IF(H25=0,"Sunday",IF(H25=1,"Monday",IF(H25=2,"Tuesday",IF(H25=3,"Wednesday",IF(H25=4,"Thursday",IF(H25=5,"Friday")))))))</f>
        <v>Saturday</v>
      </c>
      <c r="X25" s="59" t="str">
        <f>IF(G25=FALSE,"Working day", IF(G25=TRUE,"Holiday"))</f>
        <v>Working day</v>
      </c>
    </row>
    <row r="26" spans="1:24" x14ac:dyDescent="0.25">
      <c r="A26" s="32">
        <v>25</v>
      </c>
      <c r="B26" s="33">
        <v>40545</v>
      </c>
      <c r="C26" s="26">
        <v>1</v>
      </c>
      <c r="D26" s="26">
        <v>0</v>
      </c>
      <c r="E26" s="26">
        <v>1</v>
      </c>
      <c r="F26" s="26">
        <v>0</v>
      </c>
      <c r="G26" s="26" t="b">
        <v>0</v>
      </c>
      <c r="H26" s="26">
        <v>0</v>
      </c>
      <c r="I26" s="26">
        <v>2</v>
      </c>
      <c r="J26" s="26">
        <v>0.46</v>
      </c>
      <c r="K26" s="26">
        <v>0.45450000000000002</v>
      </c>
      <c r="L26" s="26">
        <v>0.88</v>
      </c>
      <c r="M26">
        <v>0.29849999999999999</v>
      </c>
      <c r="N26" s="26">
        <v>4</v>
      </c>
      <c r="O26" s="26">
        <v>13</v>
      </c>
      <c r="P26" s="26">
        <v>17</v>
      </c>
      <c r="Q26" s="34" t="str">
        <f t="shared" si="0"/>
        <v>Cloudy</v>
      </c>
      <c r="R26" s="41" t="str">
        <f>IF(I26=1,"Normal",IF(I26=2,"Yellow Alert",IF(I26=3,"Orange Alert",IF(I26=4,"Red Alert"))))</f>
        <v>Yellow Alert</v>
      </c>
      <c r="S26" s="60">
        <f t="shared" si="1"/>
        <v>2</v>
      </c>
      <c r="T26" s="60">
        <f>MONTH(dataset_1!B:B)</f>
        <v>1</v>
      </c>
      <c r="U26" s="60">
        <f t="shared" si="2"/>
        <v>2011</v>
      </c>
      <c r="V26" s="59" t="str">
        <f>TEXT(F26/24,"H AM/PM")</f>
        <v>12 AM</v>
      </c>
      <c r="W26" s="59" t="str">
        <f>IF(H26=6,"Saturday",IF(H26=0,"Sunday",IF(H26=1,"Monday",IF(H26=2,"Tuesday",IF(H26=3,"Wednesday",IF(H26=4,"Thursday",IF(H26=5,"Friday")))))))</f>
        <v>Sunday</v>
      </c>
      <c r="X26" s="59" t="str">
        <f>IF(G26=FALSE,"Working day", IF(G26=TRUE,"Holiday"))</f>
        <v>Working day</v>
      </c>
    </row>
    <row r="27" spans="1:24" x14ac:dyDescent="0.25">
      <c r="A27" s="32">
        <v>26</v>
      </c>
      <c r="B27" s="33">
        <v>40545</v>
      </c>
      <c r="C27" s="26">
        <v>1</v>
      </c>
      <c r="D27" s="26">
        <v>0</v>
      </c>
      <c r="E27" s="26">
        <v>1</v>
      </c>
      <c r="F27" s="26">
        <v>1</v>
      </c>
      <c r="G27" s="26" t="b">
        <v>0</v>
      </c>
      <c r="H27" s="26">
        <v>0</v>
      </c>
      <c r="I27" s="26">
        <v>2</v>
      </c>
      <c r="J27" s="26">
        <v>0.44</v>
      </c>
      <c r="K27" s="26">
        <v>0.43940000000000001</v>
      </c>
      <c r="L27" s="26">
        <v>0.94</v>
      </c>
      <c r="M27">
        <v>0.25369999999999998</v>
      </c>
      <c r="N27" s="26">
        <v>1</v>
      </c>
      <c r="O27" s="26">
        <v>16</v>
      </c>
      <c r="P27" s="26">
        <v>17</v>
      </c>
      <c r="Q27" s="34" t="str">
        <f t="shared" si="0"/>
        <v>Cloudy</v>
      </c>
      <c r="R27" s="41" t="str">
        <f>IF(I27=1,"Normal",IF(I27=2,"Yellow Alert",IF(I27=3,"Orange Alert",IF(I27=4,"Red Alert"))))</f>
        <v>Yellow Alert</v>
      </c>
      <c r="S27" s="60">
        <f t="shared" si="1"/>
        <v>2</v>
      </c>
      <c r="T27" s="60">
        <f>MONTH(dataset_1!B:B)</f>
        <v>1</v>
      </c>
      <c r="U27" s="60">
        <f t="shared" si="2"/>
        <v>2011</v>
      </c>
      <c r="V27" s="59" t="str">
        <f>TEXT(F27/24,"H AM/PM")</f>
        <v>1 AM</v>
      </c>
      <c r="W27" s="59" t="str">
        <f>IF(H27=6,"Saturday",IF(H27=0,"Sunday",IF(H27=1,"Monday",IF(H27=2,"Tuesday",IF(H27=3,"Wednesday",IF(H27=4,"Thursday",IF(H27=5,"Friday")))))))</f>
        <v>Sunday</v>
      </c>
      <c r="X27" s="59" t="str">
        <f>IF(G27=FALSE,"Working day", IF(G27=TRUE,"Holiday"))</f>
        <v>Working day</v>
      </c>
    </row>
    <row r="28" spans="1:24" x14ac:dyDescent="0.25">
      <c r="A28" s="32">
        <v>27</v>
      </c>
      <c r="B28" s="33">
        <v>40545</v>
      </c>
      <c r="C28" s="26">
        <v>1</v>
      </c>
      <c r="D28" s="26">
        <v>0</v>
      </c>
      <c r="E28" s="26">
        <v>1</v>
      </c>
      <c r="F28" s="26">
        <v>2</v>
      </c>
      <c r="G28" s="26" t="b">
        <v>0</v>
      </c>
      <c r="H28" s="26">
        <v>0</v>
      </c>
      <c r="I28" s="26">
        <v>2</v>
      </c>
      <c r="J28" s="26">
        <v>0.42</v>
      </c>
      <c r="K28" s="26">
        <v>0.42420000000000002</v>
      </c>
      <c r="L28" s="26">
        <v>1</v>
      </c>
      <c r="M28">
        <v>0.28360000000000002</v>
      </c>
      <c r="N28" s="26">
        <v>1</v>
      </c>
      <c r="O28" s="26">
        <v>8</v>
      </c>
      <c r="P28" s="26">
        <v>9</v>
      </c>
      <c r="Q28" s="34" t="str">
        <f t="shared" si="0"/>
        <v>Cloudy</v>
      </c>
      <c r="R28" s="41" t="str">
        <f>IF(I28=1,"Normal",IF(I28=2,"Yellow Alert",IF(I28=3,"Orange Alert",IF(I28=4,"Red Alert"))))</f>
        <v>Yellow Alert</v>
      </c>
      <c r="S28" s="60">
        <f t="shared" si="1"/>
        <v>2</v>
      </c>
      <c r="T28" s="60">
        <f>MONTH(dataset_1!B:B)</f>
        <v>1</v>
      </c>
      <c r="U28" s="60">
        <f t="shared" si="2"/>
        <v>2011</v>
      </c>
      <c r="V28" s="59" t="str">
        <f>TEXT(F28/24,"H AM/PM")</f>
        <v>2 AM</v>
      </c>
      <c r="W28" s="59" t="str">
        <f>IF(H28=6,"Saturday",IF(H28=0,"Sunday",IF(H28=1,"Monday",IF(H28=2,"Tuesday",IF(H28=3,"Wednesday",IF(H28=4,"Thursday",IF(H28=5,"Friday")))))))</f>
        <v>Sunday</v>
      </c>
      <c r="X28" s="59" t="str">
        <f>IF(G28=FALSE,"Working day", IF(G28=TRUE,"Holiday"))</f>
        <v>Working day</v>
      </c>
    </row>
    <row r="29" spans="1:24" x14ac:dyDescent="0.25">
      <c r="A29" s="32">
        <v>28</v>
      </c>
      <c r="B29" s="33">
        <v>40545</v>
      </c>
      <c r="C29" s="26">
        <v>1</v>
      </c>
      <c r="D29" s="26">
        <v>0</v>
      </c>
      <c r="E29" s="26">
        <v>1</v>
      </c>
      <c r="F29" s="26">
        <v>3</v>
      </c>
      <c r="G29" s="26" t="b">
        <v>0</v>
      </c>
      <c r="H29" s="26">
        <v>0</v>
      </c>
      <c r="I29" s="26">
        <v>2</v>
      </c>
      <c r="J29" s="26">
        <v>0.46</v>
      </c>
      <c r="K29" s="26">
        <v>0.45450000000000002</v>
      </c>
      <c r="L29" s="26">
        <v>0.94</v>
      </c>
      <c r="M29">
        <v>0.19400000000000001</v>
      </c>
      <c r="N29" s="26">
        <v>2</v>
      </c>
      <c r="O29" s="26">
        <v>4</v>
      </c>
      <c r="P29" s="26">
        <v>6</v>
      </c>
      <c r="Q29" s="34" t="str">
        <f t="shared" si="0"/>
        <v>Cloudy</v>
      </c>
      <c r="R29" s="41" t="str">
        <f>IF(I29=1,"Normal",IF(I29=2,"Yellow Alert",IF(I29=3,"Orange Alert",IF(I29=4,"Red Alert"))))</f>
        <v>Yellow Alert</v>
      </c>
      <c r="S29" s="60">
        <f t="shared" si="1"/>
        <v>2</v>
      </c>
      <c r="T29" s="60">
        <f>MONTH(dataset_1!B:B)</f>
        <v>1</v>
      </c>
      <c r="U29" s="60">
        <f t="shared" si="2"/>
        <v>2011</v>
      </c>
      <c r="V29" s="59" t="str">
        <f>TEXT(F29/24,"H AM/PM")</f>
        <v>3 AM</v>
      </c>
      <c r="W29" s="59" t="str">
        <f>IF(H29=6,"Saturday",IF(H29=0,"Sunday",IF(H29=1,"Monday",IF(H29=2,"Tuesday",IF(H29=3,"Wednesday",IF(H29=4,"Thursday",IF(H29=5,"Friday")))))))</f>
        <v>Sunday</v>
      </c>
      <c r="X29" s="59" t="str">
        <f>IF(G29=FALSE,"Working day", IF(G29=TRUE,"Holiday"))</f>
        <v>Working day</v>
      </c>
    </row>
    <row r="30" spans="1:24" x14ac:dyDescent="0.25">
      <c r="A30" s="32">
        <v>29</v>
      </c>
      <c r="B30" s="33">
        <v>40545</v>
      </c>
      <c r="C30" s="26">
        <v>1</v>
      </c>
      <c r="D30" s="26">
        <v>0</v>
      </c>
      <c r="E30" s="26">
        <v>1</v>
      </c>
      <c r="F30" s="26">
        <v>4</v>
      </c>
      <c r="G30" s="26" t="b">
        <v>0</v>
      </c>
      <c r="H30" s="26">
        <v>0</v>
      </c>
      <c r="I30" s="26">
        <v>2</v>
      </c>
      <c r="J30" s="26">
        <v>0.46</v>
      </c>
      <c r="K30" s="26">
        <v>0.19700000000000001</v>
      </c>
      <c r="L30" s="26">
        <v>0.94</v>
      </c>
      <c r="M30">
        <v>0.19400000000000001</v>
      </c>
      <c r="N30" s="26">
        <v>2</v>
      </c>
      <c r="O30" s="26">
        <v>1</v>
      </c>
      <c r="P30" s="26">
        <v>3</v>
      </c>
      <c r="Q30" s="34" t="str">
        <f t="shared" si="0"/>
        <v>Cloudy</v>
      </c>
      <c r="R30" s="41" t="str">
        <f>IF(I30=1,"Normal",IF(I30=2,"Yellow Alert",IF(I30=3,"Orange Alert",IF(I30=4,"Red Alert"))))</f>
        <v>Yellow Alert</v>
      </c>
      <c r="S30" s="60">
        <f t="shared" si="1"/>
        <v>2</v>
      </c>
      <c r="T30" s="60">
        <f>MONTH(dataset_1!B:B)</f>
        <v>1</v>
      </c>
      <c r="U30" s="60">
        <f t="shared" si="2"/>
        <v>2011</v>
      </c>
      <c r="V30" s="59" t="str">
        <f>TEXT(F30/24,"H AM/PM")</f>
        <v>4 AM</v>
      </c>
      <c r="W30" s="59" t="str">
        <f>IF(H30=6,"Saturday",IF(H30=0,"Sunday",IF(H30=1,"Monday",IF(H30=2,"Tuesday",IF(H30=3,"Wednesday",IF(H30=4,"Thursday",IF(H30=5,"Friday")))))))</f>
        <v>Sunday</v>
      </c>
      <c r="X30" s="59" t="str">
        <f>IF(G30=FALSE,"Working day", IF(G30=TRUE,"Holiday"))</f>
        <v>Working day</v>
      </c>
    </row>
    <row r="31" spans="1:24" x14ac:dyDescent="0.25">
      <c r="A31" s="32">
        <v>30</v>
      </c>
      <c r="B31" s="33">
        <v>40545</v>
      </c>
      <c r="C31" s="26">
        <v>1</v>
      </c>
      <c r="D31" s="26">
        <v>0</v>
      </c>
      <c r="E31" s="26">
        <v>1</v>
      </c>
      <c r="F31" s="26">
        <v>6</v>
      </c>
      <c r="G31" s="26" t="b">
        <v>0</v>
      </c>
      <c r="H31" s="26">
        <v>0</v>
      </c>
      <c r="I31" s="26">
        <v>3</v>
      </c>
      <c r="J31" s="26">
        <v>0.42</v>
      </c>
      <c r="K31" s="26">
        <v>0.42420000000000002</v>
      </c>
      <c r="L31" s="26">
        <v>0.77</v>
      </c>
      <c r="M31">
        <v>0.29849999999999999</v>
      </c>
      <c r="N31" s="26">
        <v>0</v>
      </c>
      <c r="O31" s="26">
        <v>2</v>
      </c>
      <c r="P31" s="26">
        <v>2</v>
      </c>
      <c r="Q31" s="34" t="str">
        <f t="shared" si="0"/>
        <v>Light Rain</v>
      </c>
      <c r="R31" s="41" t="str">
        <f>IF(I31=1,"Normal",IF(I31=2,"Yellow Alert",IF(I31=3,"Orange Alert",IF(I31=4,"Red Alert"))))</f>
        <v>Orange Alert</v>
      </c>
      <c r="S31" s="60">
        <f t="shared" si="1"/>
        <v>2</v>
      </c>
      <c r="T31" s="60">
        <f>MONTH(dataset_1!B:B)</f>
        <v>1</v>
      </c>
      <c r="U31" s="60">
        <f t="shared" si="2"/>
        <v>2011</v>
      </c>
      <c r="V31" s="59" t="str">
        <f>TEXT(F31/24,"H AM/PM")</f>
        <v>6 AM</v>
      </c>
      <c r="W31" s="59" t="str">
        <f>IF(H31=6,"Saturday",IF(H31=0,"Sunday",IF(H31=1,"Monday",IF(H31=2,"Tuesday",IF(H31=3,"Wednesday",IF(H31=4,"Thursday",IF(H31=5,"Friday")))))))</f>
        <v>Sunday</v>
      </c>
      <c r="X31" s="59" t="str">
        <f>IF(G31=FALSE,"Working day", IF(G31=TRUE,"Holiday"))</f>
        <v>Working day</v>
      </c>
    </row>
    <row r="32" spans="1:24" x14ac:dyDescent="0.25">
      <c r="A32" s="32">
        <v>31</v>
      </c>
      <c r="B32" s="33">
        <v>40545</v>
      </c>
      <c r="C32" s="26">
        <v>1</v>
      </c>
      <c r="D32" s="26">
        <v>0</v>
      </c>
      <c r="E32" s="26">
        <v>1</v>
      </c>
      <c r="F32" s="26">
        <v>7</v>
      </c>
      <c r="G32" s="26" t="b">
        <v>0</v>
      </c>
      <c r="H32" s="26">
        <v>0</v>
      </c>
      <c r="I32" s="26">
        <v>2</v>
      </c>
      <c r="J32" s="26">
        <v>0.4</v>
      </c>
      <c r="K32" s="26">
        <v>0.40910000000000002</v>
      </c>
      <c r="L32" s="26">
        <v>0.76</v>
      </c>
      <c r="M32">
        <v>0.19400000000000001</v>
      </c>
      <c r="N32" s="26">
        <v>0</v>
      </c>
      <c r="O32" s="26">
        <v>1</v>
      </c>
      <c r="P32" s="26">
        <v>1</v>
      </c>
      <c r="Q32" s="34" t="str">
        <f t="shared" si="0"/>
        <v>Cloudy</v>
      </c>
      <c r="R32" s="41" t="str">
        <f>IF(I32=1,"Normal",IF(I32=2,"Yellow Alert",IF(I32=3,"Orange Alert",IF(I32=4,"Red Alert"))))</f>
        <v>Yellow Alert</v>
      </c>
      <c r="S32" s="60">
        <f t="shared" si="1"/>
        <v>2</v>
      </c>
      <c r="T32" s="60">
        <f>MONTH(dataset_1!B:B)</f>
        <v>1</v>
      </c>
      <c r="U32" s="60">
        <f t="shared" si="2"/>
        <v>2011</v>
      </c>
      <c r="V32" s="59" t="str">
        <f>TEXT(F32/24,"H AM/PM")</f>
        <v>7 AM</v>
      </c>
      <c r="W32" s="59" t="str">
        <f>IF(H32=6,"Saturday",IF(H32=0,"Sunday",IF(H32=1,"Monday",IF(H32=2,"Tuesday",IF(H32=3,"Wednesday",IF(H32=4,"Thursday",IF(H32=5,"Friday")))))))</f>
        <v>Sunday</v>
      </c>
      <c r="X32" s="59" t="str">
        <f>IF(G32=FALSE,"Working day", IF(G32=TRUE,"Holiday"))</f>
        <v>Working day</v>
      </c>
    </row>
    <row r="33" spans="1:24" x14ac:dyDescent="0.25">
      <c r="A33" s="32">
        <v>32</v>
      </c>
      <c r="B33" s="33">
        <v>40545</v>
      </c>
      <c r="C33" s="26">
        <v>1</v>
      </c>
      <c r="D33" s="26">
        <v>0</v>
      </c>
      <c r="E33" s="26">
        <v>1</v>
      </c>
      <c r="F33" s="26">
        <v>8</v>
      </c>
      <c r="G33" s="26" t="b">
        <v>0</v>
      </c>
      <c r="H33" s="26">
        <v>0</v>
      </c>
      <c r="I33" s="26">
        <v>3</v>
      </c>
      <c r="J33" s="26">
        <v>0.4</v>
      </c>
      <c r="K33" s="26">
        <v>0.40910000000000002</v>
      </c>
      <c r="L33" s="26">
        <v>0.71</v>
      </c>
      <c r="M33">
        <v>0.22389999999999999</v>
      </c>
      <c r="N33" s="26">
        <v>0</v>
      </c>
      <c r="O33" s="26">
        <v>8</v>
      </c>
      <c r="P33" s="26">
        <v>8</v>
      </c>
      <c r="Q33" s="34" t="str">
        <f t="shared" si="0"/>
        <v>Light Rain</v>
      </c>
      <c r="R33" s="41" t="str">
        <f>IF(I33=1,"Normal",IF(I33=2,"Yellow Alert",IF(I33=3,"Orange Alert",IF(I33=4,"Red Alert"))))</f>
        <v>Orange Alert</v>
      </c>
      <c r="S33" s="60">
        <f t="shared" si="1"/>
        <v>2</v>
      </c>
      <c r="T33" s="60">
        <f>MONTH(dataset_1!B:B)</f>
        <v>1</v>
      </c>
      <c r="U33" s="60">
        <f t="shared" si="2"/>
        <v>2011</v>
      </c>
      <c r="V33" s="59" t="str">
        <f>TEXT(F33/24,"H AM/PM")</f>
        <v>8 AM</v>
      </c>
      <c r="W33" s="59" t="str">
        <f>IF(H33=6,"Saturday",IF(H33=0,"Sunday",IF(H33=1,"Monday",IF(H33=2,"Tuesday",IF(H33=3,"Wednesday",IF(H33=4,"Thursday",IF(H33=5,"Friday")))))))</f>
        <v>Sunday</v>
      </c>
      <c r="X33" s="59" t="str">
        <f>IF(G33=FALSE,"Working day", IF(G33=TRUE,"Holiday"))</f>
        <v>Working day</v>
      </c>
    </row>
    <row r="34" spans="1:24" x14ac:dyDescent="0.25">
      <c r="A34" s="32">
        <v>33</v>
      </c>
      <c r="B34" s="33">
        <v>40545</v>
      </c>
      <c r="C34" s="26">
        <v>1</v>
      </c>
      <c r="D34" s="26">
        <v>0</v>
      </c>
      <c r="E34" s="26">
        <v>1</v>
      </c>
      <c r="F34" s="26">
        <v>9</v>
      </c>
      <c r="G34" s="26" t="b">
        <v>0</v>
      </c>
      <c r="H34" s="26">
        <v>0</v>
      </c>
      <c r="I34" s="26">
        <v>2</v>
      </c>
      <c r="J34" s="26">
        <v>0.38</v>
      </c>
      <c r="K34" s="26">
        <v>0.19700000000000001</v>
      </c>
      <c r="L34" s="26">
        <v>0.76</v>
      </c>
      <c r="M34">
        <v>0.22389999999999999</v>
      </c>
      <c r="N34" s="26">
        <v>1</v>
      </c>
      <c r="O34" s="26">
        <v>19</v>
      </c>
      <c r="P34" s="26">
        <v>20</v>
      </c>
      <c r="Q34" s="34" t="str">
        <f t="shared" si="0"/>
        <v>Cloudy</v>
      </c>
      <c r="R34" s="41" t="str">
        <f>IF(I34=1,"Normal",IF(I34=2,"Yellow Alert",IF(I34=3,"Orange Alert",IF(I34=4,"Red Alert"))))</f>
        <v>Yellow Alert</v>
      </c>
      <c r="S34" s="60">
        <f t="shared" si="1"/>
        <v>2</v>
      </c>
      <c r="T34" s="60">
        <f>MONTH(dataset_1!B:B)</f>
        <v>1</v>
      </c>
      <c r="U34" s="60">
        <f t="shared" si="2"/>
        <v>2011</v>
      </c>
      <c r="V34" s="59" t="str">
        <f>TEXT(F34/24,"H AM/PM")</f>
        <v>9 AM</v>
      </c>
      <c r="W34" s="59" t="str">
        <f>IF(H34=6,"Saturday",IF(H34=0,"Sunday",IF(H34=1,"Monday",IF(H34=2,"Tuesday",IF(H34=3,"Wednesday",IF(H34=4,"Thursday",IF(H34=5,"Friday")))))))</f>
        <v>Sunday</v>
      </c>
      <c r="X34" s="59" t="str">
        <f>IF(G34=FALSE,"Working day", IF(G34=TRUE,"Holiday"))</f>
        <v>Working day</v>
      </c>
    </row>
    <row r="35" spans="1:24" x14ac:dyDescent="0.25">
      <c r="A35" s="32">
        <v>34</v>
      </c>
      <c r="B35" s="33">
        <v>40545</v>
      </c>
      <c r="C35" s="26">
        <v>1</v>
      </c>
      <c r="D35" s="26">
        <v>0</v>
      </c>
      <c r="E35" s="26">
        <v>1</v>
      </c>
      <c r="F35" s="26">
        <v>10</v>
      </c>
      <c r="G35" s="26" t="b">
        <v>0</v>
      </c>
      <c r="H35" s="26">
        <v>0</v>
      </c>
      <c r="I35" s="26">
        <v>2</v>
      </c>
      <c r="J35" s="26">
        <v>0.36</v>
      </c>
      <c r="K35" s="26">
        <v>0.34849999999999998</v>
      </c>
      <c r="L35" s="26">
        <v>0.81</v>
      </c>
      <c r="M35">
        <v>0.22389999999999999</v>
      </c>
      <c r="N35" s="26">
        <v>7</v>
      </c>
      <c r="O35" s="26">
        <v>46</v>
      </c>
      <c r="P35" s="26">
        <v>53</v>
      </c>
      <c r="Q35" s="34" t="str">
        <f t="shared" si="0"/>
        <v>Cloudy</v>
      </c>
      <c r="R35" s="41" t="str">
        <f>IF(I35=1,"Normal",IF(I35=2,"Yellow Alert",IF(I35=3,"Orange Alert",IF(I35=4,"Red Alert"))))</f>
        <v>Yellow Alert</v>
      </c>
      <c r="S35" s="60">
        <f t="shared" si="1"/>
        <v>2</v>
      </c>
      <c r="T35" s="60">
        <f>MONTH(dataset_1!B:B)</f>
        <v>1</v>
      </c>
      <c r="U35" s="60">
        <f t="shared" si="2"/>
        <v>2011</v>
      </c>
      <c r="V35" s="59" t="str">
        <f>TEXT(F35/24,"H AM/PM")</f>
        <v>10 AM</v>
      </c>
      <c r="W35" s="59" t="str">
        <f>IF(H35=6,"Saturday",IF(H35=0,"Sunday",IF(H35=1,"Monday",IF(H35=2,"Tuesday",IF(H35=3,"Wednesday",IF(H35=4,"Thursday",IF(H35=5,"Friday")))))))</f>
        <v>Sunday</v>
      </c>
      <c r="X35" s="59" t="str">
        <f>IF(G35=FALSE,"Working day", IF(G35=TRUE,"Holiday"))</f>
        <v>Working day</v>
      </c>
    </row>
    <row r="36" spans="1:24" x14ac:dyDescent="0.25">
      <c r="A36" s="32">
        <v>35</v>
      </c>
      <c r="B36" s="33">
        <v>40545</v>
      </c>
      <c r="C36" s="26">
        <v>1</v>
      </c>
      <c r="D36" s="26">
        <v>0</v>
      </c>
      <c r="E36" s="26">
        <v>1</v>
      </c>
      <c r="F36" s="26">
        <v>11</v>
      </c>
      <c r="G36" s="26" t="b">
        <v>0</v>
      </c>
      <c r="H36" s="26">
        <v>0</v>
      </c>
      <c r="I36" s="26">
        <v>2</v>
      </c>
      <c r="J36" s="26">
        <v>0.36</v>
      </c>
      <c r="K36" s="26">
        <v>0.33329999999999999</v>
      </c>
      <c r="L36" s="26">
        <v>0.71</v>
      </c>
      <c r="M36">
        <v>0.25369999999999998</v>
      </c>
      <c r="N36" s="26">
        <v>16</v>
      </c>
      <c r="O36" s="26">
        <v>54</v>
      </c>
      <c r="P36" s="26">
        <v>70</v>
      </c>
      <c r="Q36" s="34" t="str">
        <f t="shared" si="0"/>
        <v>Cloudy</v>
      </c>
      <c r="R36" s="41" t="str">
        <f>IF(I36=1,"Normal",IF(I36=2,"Yellow Alert",IF(I36=3,"Orange Alert",IF(I36=4,"Red Alert"))))</f>
        <v>Yellow Alert</v>
      </c>
      <c r="S36" s="60">
        <f t="shared" si="1"/>
        <v>2</v>
      </c>
      <c r="T36" s="60">
        <f>MONTH(dataset_1!B:B)</f>
        <v>1</v>
      </c>
      <c r="U36" s="60">
        <f t="shared" si="2"/>
        <v>2011</v>
      </c>
      <c r="V36" s="59" t="str">
        <f>TEXT(F36/24,"H AM/PM")</f>
        <v>11 AM</v>
      </c>
      <c r="W36" s="59" t="str">
        <f>IF(H36=6,"Saturday",IF(H36=0,"Sunday",IF(H36=1,"Monday",IF(H36=2,"Tuesday",IF(H36=3,"Wednesday",IF(H36=4,"Thursday",IF(H36=5,"Friday")))))))</f>
        <v>Sunday</v>
      </c>
      <c r="X36" s="59" t="str">
        <f>IF(G36=FALSE,"Working day", IF(G36=TRUE,"Holiday"))</f>
        <v>Working day</v>
      </c>
    </row>
    <row r="37" spans="1:24" x14ac:dyDescent="0.25">
      <c r="A37" s="32">
        <v>36</v>
      </c>
      <c r="B37" s="33">
        <v>40545</v>
      </c>
      <c r="C37" s="26">
        <v>1</v>
      </c>
      <c r="D37" s="26">
        <v>0</v>
      </c>
      <c r="E37" s="26">
        <v>1</v>
      </c>
      <c r="F37" s="26">
        <v>12</v>
      </c>
      <c r="G37" s="26" t="b">
        <v>0</v>
      </c>
      <c r="H37" s="26">
        <v>0</v>
      </c>
      <c r="I37" s="26">
        <v>2</v>
      </c>
      <c r="J37" s="26">
        <v>0.36</v>
      </c>
      <c r="K37" s="26">
        <v>0.33329999999999999</v>
      </c>
      <c r="L37" s="26">
        <v>0.66</v>
      </c>
      <c r="M37">
        <v>0.29849999999999999</v>
      </c>
      <c r="N37" s="26">
        <v>20</v>
      </c>
      <c r="O37" s="26">
        <v>73</v>
      </c>
      <c r="P37" s="26">
        <v>93</v>
      </c>
      <c r="Q37" s="34" t="str">
        <f t="shared" si="0"/>
        <v>Cloudy</v>
      </c>
      <c r="R37" s="41" t="str">
        <f>IF(I37=1,"Normal",IF(I37=2,"Yellow Alert",IF(I37=3,"Orange Alert",IF(I37=4,"Red Alert"))))</f>
        <v>Yellow Alert</v>
      </c>
      <c r="S37" s="60">
        <f t="shared" si="1"/>
        <v>2</v>
      </c>
      <c r="T37" s="60">
        <f>MONTH(dataset_1!B:B)</f>
        <v>1</v>
      </c>
      <c r="U37" s="60">
        <f t="shared" si="2"/>
        <v>2011</v>
      </c>
      <c r="V37" s="59" t="str">
        <f>TEXT(F37/24,"H AM/PM")</f>
        <v>12 PM</v>
      </c>
      <c r="W37" s="59" t="str">
        <f>IF(H37=6,"Saturday",IF(H37=0,"Sunday",IF(H37=1,"Monday",IF(H37=2,"Tuesday",IF(H37=3,"Wednesday",IF(H37=4,"Thursday",IF(H37=5,"Friday")))))))</f>
        <v>Sunday</v>
      </c>
      <c r="X37" s="59" t="str">
        <f>IF(G37=FALSE,"Working day", IF(G37=TRUE,"Holiday"))</f>
        <v>Working day</v>
      </c>
    </row>
    <row r="38" spans="1:24" x14ac:dyDescent="0.25">
      <c r="A38" s="32">
        <v>37</v>
      </c>
      <c r="B38" s="33">
        <v>40545</v>
      </c>
      <c r="C38" s="26">
        <v>1</v>
      </c>
      <c r="D38" s="26">
        <v>0</v>
      </c>
      <c r="E38" s="26">
        <v>1</v>
      </c>
      <c r="F38" s="26">
        <v>13</v>
      </c>
      <c r="G38" s="26" t="b">
        <v>0</v>
      </c>
      <c r="H38" s="26">
        <v>0</v>
      </c>
      <c r="I38" s="26">
        <v>2</v>
      </c>
      <c r="J38" s="26">
        <v>0.36</v>
      </c>
      <c r="K38" s="26">
        <v>0.34849999999999998</v>
      </c>
      <c r="L38" s="26">
        <v>0.66</v>
      </c>
      <c r="M38">
        <v>0.1343</v>
      </c>
      <c r="N38" s="26">
        <v>11</v>
      </c>
      <c r="O38" s="26">
        <v>64</v>
      </c>
      <c r="P38" s="26">
        <v>75</v>
      </c>
      <c r="Q38" s="34" t="str">
        <f t="shared" si="0"/>
        <v>Cloudy</v>
      </c>
      <c r="R38" s="41" t="str">
        <f>IF(I38=1,"Normal",IF(I38=2,"Yellow Alert",IF(I38=3,"Orange Alert",IF(I38=4,"Red Alert"))))</f>
        <v>Yellow Alert</v>
      </c>
      <c r="S38" s="60">
        <f t="shared" si="1"/>
        <v>2</v>
      </c>
      <c r="T38" s="60">
        <f>MONTH(dataset_1!B:B)</f>
        <v>1</v>
      </c>
      <c r="U38" s="60">
        <f t="shared" si="2"/>
        <v>2011</v>
      </c>
      <c r="V38" s="59" t="str">
        <f>TEXT(F38/24,"H AM/PM")</f>
        <v>1 PM</v>
      </c>
      <c r="W38" s="59" t="str">
        <f>IF(H38=6,"Saturday",IF(H38=0,"Sunday",IF(H38=1,"Monday",IF(H38=2,"Tuesday",IF(H38=3,"Wednesday",IF(H38=4,"Thursday",IF(H38=5,"Friday")))))))</f>
        <v>Sunday</v>
      </c>
      <c r="X38" s="59" t="str">
        <f>IF(G38=FALSE,"Working day", IF(G38=TRUE,"Holiday"))</f>
        <v>Working day</v>
      </c>
    </row>
    <row r="39" spans="1:24" x14ac:dyDescent="0.25">
      <c r="A39" s="32">
        <v>38</v>
      </c>
      <c r="B39" s="33">
        <v>40545</v>
      </c>
      <c r="C39" s="26">
        <v>1</v>
      </c>
      <c r="D39" s="26">
        <v>0</v>
      </c>
      <c r="E39" s="26">
        <v>1</v>
      </c>
      <c r="F39" s="26">
        <v>14</v>
      </c>
      <c r="G39" s="26" t="b">
        <v>0</v>
      </c>
      <c r="H39" s="26">
        <v>0</v>
      </c>
      <c r="I39" s="26">
        <v>3</v>
      </c>
      <c r="J39" s="26">
        <v>0.36</v>
      </c>
      <c r="K39" s="26">
        <v>0.19700000000000001</v>
      </c>
      <c r="L39" s="26">
        <v>0.76</v>
      </c>
      <c r="M39">
        <v>0.19400000000000001</v>
      </c>
      <c r="N39" s="26">
        <v>4</v>
      </c>
      <c r="O39" s="26">
        <v>55</v>
      </c>
      <c r="P39" s="26">
        <v>59</v>
      </c>
      <c r="Q39" s="34" t="str">
        <f t="shared" si="0"/>
        <v>Light Rain</v>
      </c>
      <c r="R39" s="41" t="str">
        <f>IF(I39=1,"Normal",IF(I39=2,"Yellow Alert",IF(I39=3,"Orange Alert",IF(I39=4,"Red Alert"))))</f>
        <v>Orange Alert</v>
      </c>
      <c r="S39" s="60">
        <f t="shared" si="1"/>
        <v>2</v>
      </c>
      <c r="T39" s="60">
        <f>MONTH(dataset_1!B:B)</f>
        <v>1</v>
      </c>
      <c r="U39" s="60">
        <f t="shared" si="2"/>
        <v>2011</v>
      </c>
      <c r="V39" s="59" t="str">
        <f>TEXT(F39/24,"H AM/PM")</f>
        <v>2 PM</v>
      </c>
      <c r="W39" s="59" t="str">
        <f>IF(H39=6,"Saturday",IF(H39=0,"Sunday",IF(H39=1,"Monday",IF(H39=2,"Tuesday",IF(H39=3,"Wednesday",IF(H39=4,"Thursday",IF(H39=5,"Friday")))))))</f>
        <v>Sunday</v>
      </c>
      <c r="X39" s="59" t="str">
        <f>IF(G39=FALSE,"Working day", IF(G39=TRUE,"Holiday"))</f>
        <v>Working day</v>
      </c>
    </row>
    <row r="40" spans="1:24" x14ac:dyDescent="0.25">
      <c r="A40" s="32">
        <v>39</v>
      </c>
      <c r="B40" s="33">
        <v>40545</v>
      </c>
      <c r="C40" s="26">
        <v>1</v>
      </c>
      <c r="D40" s="26">
        <v>0</v>
      </c>
      <c r="E40" s="26">
        <v>1</v>
      </c>
      <c r="F40" s="26">
        <v>15</v>
      </c>
      <c r="G40" s="26" t="b">
        <v>0</v>
      </c>
      <c r="H40" s="26">
        <v>0</v>
      </c>
      <c r="I40" s="26">
        <v>3</v>
      </c>
      <c r="J40" s="26">
        <v>0.34</v>
      </c>
      <c r="K40" s="26">
        <v>0.33329999999999999</v>
      </c>
      <c r="L40" s="26">
        <v>0.81</v>
      </c>
      <c r="M40">
        <v>0.16420000000000001</v>
      </c>
      <c r="N40" s="26">
        <v>19</v>
      </c>
      <c r="O40" s="26">
        <v>55</v>
      </c>
      <c r="P40" s="26">
        <v>74</v>
      </c>
      <c r="Q40" s="34" t="str">
        <f t="shared" si="0"/>
        <v>Light Rain</v>
      </c>
      <c r="R40" s="41" t="str">
        <f>IF(I40=1,"Normal",IF(I40=2,"Yellow Alert",IF(I40=3,"Orange Alert",IF(I40=4,"Red Alert"))))</f>
        <v>Orange Alert</v>
      </c>
      <c r="S40" s="60">
        <f t="shared" si="1"/>
        <v>2</v>
      </c>
      <c r="T40" s="60">
        <f>MONTH(dataset_1!B:B)</f>
        <v>1</v>
      </c>
      <c r="U40" s="60">
        <f t="shared" si="2"/>
        <v>2011</v>
      </c>
      <c r="V40" s="59" t="str">
        <f>TEXT(F40/24,"H AM/PM")</f>
        <v>3 PM</v>
      </c>
      <c r="W40" s="59" t="str">
        <f>IF(H40=6,"Saturday",IF(H40=0,"Sunday",IF(H40=1,"Monday",IF(H40=2,"Tuesday",IF(H40=3,"Wednesday",IF(H40=4,"Thursday",IF(H40=5,"Friday")))))))</f>
        <v>Sunday</v>
      </c>
      <c r="X40" s="59" t="str">
        <f>IF(G40=FALSE,"Working day", IF(G40=TRUE,"Holiday"))</f>
        <v>Working day</v>
      </c>
    </row>
    <row r="41" spans="1:24" x14ac:dyDescent="0.25">
      <c r="A41" s="32">
        <v>40</v>
      </c>
      <c r="B41" s="33">
        <v>40545</v>
      </c>
      <c r="C41" s="26">
        <v>1</v>
      </c>
      <c r="D41" s="26">
        <v>0</v>
      </c>
      <c r="E41" s="26">
        <v>1</v>
      </c>
      <c r="F41" s="26">
        <v>16</v>
      </c>
      <c r="G41" s="26" t="b">
        <v>0</v>
      </c>
      <c r="H41" s="26">
        <v>0</v>
      </c>
      <c r="I41" s="26">
        <v>3</v>
      </c>
      <c r="J41" s="26">
        <v>0.34</v>
      </c>
      <c r="K41" s="26">
        <v>0.33329999999999999</v>
      </c>
      <c r="L41" s="26">
        <v>0.71</v>
      </c>
      <c r="M41">
        <v>0.16420000000000001</v>
      </c>
      <c r="N41" s="26">
        <v>9</v>
      </c>
      <c r="O41" s="26">
        <v>67</v>
      </c>
      <c r="P41" s="26">
        <v>76</v>
      </c>
      <c r="Q41" s="34" t="str">
        <f t="shared" si="0"/>
        <v>Light Rain</v>
      </c>
      <c r="R41" s="41" t="str">
        <f>IF(I41=1,"Normal",IF(I41=2,"Yellow Alert",IF(I41=3,"Orange Alert",IF(I41=4,"Red Alert"))))</f>
        <v>Orange Alert</v>
      </c>
      <c r="S41" s="60">
        <f t="shared" si="1"/>
        <v>2</v>
      </c>
      <c r="T41" s="60">
        <f>MONTH(dataset_1!B:B)</f>
        <v>1</v>
      </c>
      <c r="U41" s="60">
        <f t="shared" si="2"/>
        <v>2011</v>
      </c>
      <c r="V41" s="59" t="str">
        <f>TEXT(F41/24,"H AM/PM")</f>
        <v>4 PM</v>
      </c>
      <c r="W41" s="59" t="str">
        <f>IF(H41=6,"Saturday",IF(H41=0,"Sunday",IF(H41=1,"Monday",IF(H41=2,"Tuesday",IF(H41=3,"Wednesday",IF(H41=4,"Thursday",IF(H41=5,"Friday")))))))</f>
        <v>Sunday</v>
      </c>
      <c r="X41" s="59" t="str">
        <f>IF(G41=FALSE,"Working day", IF(G41=TRUE,"Holiday"))</f>
        <v>Working day</v>
      </c>
    </row>
    <row r="42" spans="1:24" x14ac:dyDescent="0.25">
      <c r="A42" s="32">
        <v>41</v>
      </c>
      <c r="B42" s="33">
        <v>40545</v>
      </c>
      <c r="C42" s="26">
        <v>1</v>
      </c>
      <c r="D42" s="26">
        <v>0</v>
      </c>
      <c r="E42" s="26">
        <v>1</v>
      </c>
      <c r="F42" s="26">
        <v>17</v>
      </c>
      <c r="G42" s="26" t="b">
        <v>0</v>
      </c>
      <c r="H42" s="26">
        <v>0</v>
      </c>
      <c r="I42" s="26">
        <v>1</v>
      </c>
      <c r="J42" s="26">
        <v>0.34</v>
      </c>
      <c r="K42" s="26">
        <v>0.33329999999999999</v>
      </c>
      <c r="L42" s="26">
        <v>0.56999999999999995</v>
      </c>
      <c r="M42">
        <v>0.19400000000000001</v>
      </c>
      <c r="N42" s="26">
        <v>7</v>
      </c>
      <c r="O42" s="26">
        <v>58</v>
      </c>
      <c r="P42" s="26">
        <v>65</v>
      </c>
      <c r="Q42" s="34" t="str">
        <f t="shared" si="0"/>
        <v>Clear</v>
      </c>
      <c r="R42" s="41" t="str">
        <f>IF(I42=1,"Normal",IF(I42=2,"Yellow Alert",IF(I42=3,"Orange Alert",IF(I42=4,"Red Alert"))))</f>
        <v>Normal</v>
      </c>
      <c r="S42" s="60">
        <f t="shared" si="1"/>
        <v>2</v>
      </c>
      <c r="T42" s="60">
        <f>MONTH(dataset_1!B:B)</f>
        <v>1</v>
      </c>
      <c r="U42" s="60">
        <f t="shared" si="2"/>
        <v>2011</v>
      </c>
      <c r="V42" s="59" t="str">
        <f>TEXT(F42/24,"H AM/PM")</f>
        <v>5 PM</v>
      </c>
      <c r="W42" s="59" t="str">
        <f>IF(H42=6,"Saturday",IF(H42=0,"Sunday",IF(H42=1,"Monday",IF(H42=2,"Tuesday",IF(H42=3,"Wednesday",IF(H42=4,"Thursday",IF(H42=5,"Friday")))))))</f>
        <v>Sunday</v>
      </c>
      <c r="X42" s="59" t="str">
        <f>IF(G42=FALSE,"Working day", IF(G42=TRUE,"Holiday"))</f>
        <v>Working day</v>
      </c>
    </row>
    <row r="43" spans="1:24" x14ac:dyDescent="0.25">
      <c r="A43" s="32">
        <v>42</v>
      </c>
      <c r="B43" s="33">
        <v>40545</v>
      </c>
      <c r="C43" s="26">
        <v>1</v>
      </c>
      <c r="D43" s="26">
        <v>0</v>
      </c>
      <c r="E43" s="26">
        <v>1</v>
      </c>
      <c r="F43" s="26">
        <v>18</v>
      </c>
      <c r="G43" s="26" t="b">
        <v>0</v>
      </c>
      <c r="H43" s="26">
        <v>0</v>
      </c>
      <c r="I43" s="26">
        <v>2</v>
      </c>
      <c r="J43" s="26">
        <v>0.36</v>
      </c>
      <c r="K43" s="26">
        <v>0.33329999999999999</v>
      </c>
      <c r="L43" s="26">
        <v>0.46</v>
      </c>
      <c r="M43">
        <v>0.32840000000000003</v>
      </c>
      <c r="N43" s="26">
        <v>10</v>
      </c>
      <c r="O43" s="26">
        <v>43</v>
      </c>
      <c r="P43" s="26">
        <v>53</v>
      </c>
      <c r="Q43" s="34" t="str">
        <f t="shared" si="0"/>
        <v>Cloudy</v>
      </c>
      <c r="R43" s="41" t="str">
        <f>IF(I43=1,"Normal",IF(I43=2,"Yellow Alert",IF(I43=3,"Orange Alert",IF(I43=4,"Red Alert"))))</f>
        <v>Yellow Alert</v>
      </c>
      <c r="S43" s="60">
        <f t="shared" si="1"/>
        <v>2</v>
      </c>
      <c r="T43" s="60">
        <f>MONTH(dataset_1!B:B)</f>
        <v>1</v>
      </c>
      <c r="U43" s="60">
        <f t="shared" si="2"/>
        <v>2011</v>
      </c>
      <c r="V43" s="59" t="str">
        <f>TEXT(F43/24,"H AM/PM")</f>
        <v>6 PM</v>
      </c>
      <c r="W43" s="59" t="str">
        <f>IF(H43=6,"Saturday",IF(H43=0,"Sunday",IF(H43=1,"Monday",IF(H43=2,"Tuesday",IF(H43=3,"Wednesday",IF(H43=4,"Thursday",IF(H43=5,"Friday")))))))</f>
        <v>Sunday</v>
      </c>
      <c r="X43" s="59" t="str">
        <f>IF(G43=FALSE,"Working day", IF(G43=TRUE,"Holiday"))</f>
        <v>Working day</v>
      </c>
    </row>
    <row r="44" spans="1:24" x14ac:dyDescent="0.25">
      <c r="A44" s="32">
        <v>43</v>
      </c>
      <c r="B44" s="33">
        <v>40545</v>
      </c>
      <c r="C44" s="26">
        <v>1</v>
      </c>
      <c r="D44" s="26">
        <v>0</v>
      </c>
      <c r="E44" s="26">
        <v>1</v>
      </c>
      <c r="F44" s="26">
        <v>19</v>
      </c>
      <c r="G44" s="26" t="b">
        <v>0</v>
      </c>
      <c r="H44" s="26">
        <v>0</v>
      </c>
      <c r="I44" s="26">
        <v>1</v>
      </c>
      <c r="J44" s="26">
        <v>0.32</v>
      </c>
      <c r="K44" s="26">
        <v>0.28789999999999999</v>
      </c>
      <c r="L44" s="26">
        <v>0.42</v>
      </c>
      <c r="M44">
        <v>0.44779999999999998</v>
      </c>
      <c r="N44" s="26">
        <v>1</v>
      </c>
      <c r="O44" s="26">
        <v>29</v>
      </c>
      <c r="P44" s="26">
        <v>30</v>
      </c>
      <c r="Q44" s="34" t="str">
        <f t="shared" si="0"/>
        <v>Clear</v>
      </c>
      <c r="R44" s="41" t="str">
        <f>IF(I44=1,"Normal",IF(I44=2,"Yellow Alert",IF(I44=3,"Orange Alert",IF(I44=4,"Red Alert"))))</f>
        <v>Normal</v>
      </c>
      <c r="S44" s="60">
        <f t="shared" si="1"/>
        <v>2</v>
      </c>
      <c r="T44" s="60">
        <f>MONTH(dataset_1!B:B)</f>
        <v>1</v>
      </c>
      <c r="U44" s="60">
        <f t="shared" si="2"/>
        <v>2011</v>
      </c>
      <c r="V44" s="59" t="str">
        <f>TEXT(F44/24,"H AM/PM")</f>
        <v>7 PM</v>
      </c>
      <c r="W44" s="59" t="str">
        <f>IF(H44=6,"Saturday",IF(H44=0,"Sunday",IF(H44=1,"Monday",IF(H44=2,"Tuesday",IF(H44=3,"Wednesday",IF(H44=4,"Thursday",IF(H44=5,"Friday")))))))</f>
        <v>Sunday</v>
      </c>
      <c r="X44" s="59" t="str">
        <f>IF(G44=FALSE,"Working day", IF(G44=TRUE,"Holiday"))</f>
        <v>Working day</v>
      </c>
    </row>
    <row r="45" spans="1:24" x14ac:dyDescent="0.25">
      <c r="A45" s="32">
        <v>44</v>
      </c>
      <c r="B45" s="33">
        <v>40545</v>
      </c>
      <c r="C45" s="26">
        <v>1</v>
      </c>
      <c r="D45" s="26">
        <v>0</v>
      </c>
      <c r="E45" s="26">
        <v>1</v>
      </c>
      <c r="F45" s="26">
        <v>20</v>
      </c>
      <c r="G45" s="26" t="b">
        <v>0</v>
      </c>
      <c r="H45" s="26">
        <v>0</v>
      </c>
      <c r="I45" s="26">
        <v>1</v>
      </c>
      <c r="J45" s="26">
        <v>0.3</v>
      </c>
      <c r="K45" s="26">
        <v>0.19700000000000001</v>
      </c>
      <c r="L45" s="26">
        <v>0.39</v>
      </c>
      <c r="M45">
        <v>0.35820000000000002</v>
      </c>
      <c r="N45" s="26">
        <v>5</v>
      </c>
      <c r="O45" s="26">
        <v>17</v>
      </c>
      <c r="P45" s="26">
        <v>22</v>
      </c>
      <c r="Q45" s="34" t="str">
        <f t="shared" si="0"/>
        <v>Clear</v>
      </c>
      <c r="R45" s="41" t="str">
        <f>IF(I45=1,"Normal",IF(I45=2,"Yellow Alert",IF(I45=3,"Orange Alert",IF(I45=4,"Red Alert"))))</f>
        <v>Normal</v>
      </c>
      <c r="S45" s="60">
        <f t="shared" si="1"/>
        <v>2</v>
      </c>
      <c r="T45" s="60">
        <f>MONTH(dataset_1!B:B)</f>
        <v>1</v>
      </c>
      <c r="U45" s="60">
        <f t="shared" si="2"/>
        <v>2011</v>
      </c>
      <c r="V45" s="59" t="str">
        <f>TEXT(F45/24,"H AM/PM")</f>
        <v>8 PM</v>
      </c>
      <c r="W45" s="59" t="str">
        <f>IF(H45=6,"Saturday",IF(H45=0,"Sunday",IF(H45=1,"Monday",IF(H45=2,"Tuesday",IF(H45=3,"Wednesday",IF(H45=4,"Thursday",IF(H45=5,"Friday")))))))</f>
        <v>Sunday</v>
      </c>
      <c r="X45" s="59" t="str">
        <f>IF(G45=FALSE,"Working day", IF(G45=TRUE,"Holiday"))</f>
        <v>Working day</v>
      </c>
    </row>
    <row r="46" spans="1:24" x14ac:dyDescent="0.25">
      <c r="A46" s="32">
        <v>45</v>
      </c>
      <c r="B46" s="33">
        <v>40545</v>
      </c>
      <c r="C46" s="26">
        <v>1</v>
      </c>
      <c r="D46" s="26">
        <v>0</v>
      </c>
      <c r="E46" s="26">
        <v>1</v>
      </c>
      <c r="F46" s="26">
        <v>21</v>
      </c>
      <c r="G46" s="26" t="b">
        <v>0</v>
      </c>
      <c r="H46" s="26">
        <v>0</v>
      </c>
      <c r="I46" s="26">
        <v>1</v>
      </c>
      <c r="J46" s="26">
        <v>0.26</v>
      </c>
      <c r="K46" s="26">
        <v>0.2273</v>
      </c>
      <c r="L46" s="26">
        <v>0.44</v>
      </c>
      <c r="M46">
        <v>0.32840000000000003</v>
      </c>
      <c r="N46" s="26">
        <v>11</v>
      </c>
      <c r="O46" s="26">
        <v>20</v>
      </c>
      <c r="P46" s="26">
        <v>31</v>
      </c>
      <c r="Q46" s="34" t="str">
        <f t="shared" si="0"/>
        <v>Clear</v>
      </c>
      <c r="R46" s="41" t="str">
        <f>IF(I46=1,"Normal",IF(I46=2,"Yellow Alert",IF(I46=3,"Orange Alert",IF(I46=4,"Red Alert"))))</f>
        <v>Normal</v>
      </c>
      <c r="S46" s="60">
        <f t="shared" si="1"/>
        <v>2</v>
      </c>
      <c r="T46" s="60">
        <f>MONTH(dataset_1!B:B)</f>
        <v>1</v>
      </c>
      <c r="U46" s="60">
        <f t="shared" si="2"/>
        <v>2011</v>
      </c>
      <c r="V46" s="59" t="str">
        <f>TEXT(F46/24,"H AM/PM")</f>
        <v>9 PM</v>
      </c>
      <c r="W46" s="59" t="str">
        <f>IF(H46=6,"Saturday",IF(H46=0,"Sunday",IF(H46=1,"Monday",IF(H46=2,"Tuesday",IF(H46=3,"Wednesday",IF(H46=4,"Thursday",IF(H46=5,"Friday")))))))</f>
        <v>Sunday</v>
      </c>
      <c r="X46" s="59" t="str">
        <f>IF(G46=FALSE,"Working day", IF(G46=TRUE,"Holiday"))</f>
        <v>Working day</v>
      </c>
    </row>
    <row r="47" spans="1:24" x14ac:dyDescent="0.25">
      <c r="A47" s="32">
        <v>46</v>
      </c>
      <c r="B47" s="33">
        <v>40545</v>
      </c>
      <c r="C47" s="26">
        <v>1</v>
      </c>
      <c r="D47" s="26">
        <v>0</v>
      </c>
      <c r="E47" s="26">
        <v>1</v>
      </c>
      <c r="F47" s="26">
        <v>22</v>
      </c>
      <c r="G47" s="26" t="b">
        <v>0</v>
      </c>
      <c r="H47" s="26">
        <v>0</v>
      </c>
      <c r="I47" s="26">
        <v>1</v>
      </c>
      <c r="J47" s="26">
        <v>0.24</v>
      </c>
      <c r="K47" s="26">
        <v>0.21210000000000001</v>
      </c>
      <c r="L47" s="26">
        <v>0.44</v>
      </c>
      <c r="M47">
        <v>0.29849999999999999</v>
      </c>
      <c r="N47" s="26">
        <v>0</v>
      </c>
      <c r="O47" s="26">
        <v>9</v>
      </c>
      <c r="P47" s="26">
        <v>9</v>
      </c>
      <c r="Q47" s="34" t="str">
        <f t="shared" si="0"/>
        <v>Clear</v>
      </c>
      <c r="R47" s="41" t="str">
        <f>IF(I47=1,"Normal",IF(I47=2,"Yellow Alert",IF(I47=3,"Orange Alert",IF(I47=4,"Red Alert"))))</f>
        <v>Normal</v>
      </c>
      <c r="S47" s="60">
        <f t="shared" si="1"/>
        <v>2</v>
      </c>
      <c r="T47" s="60">
        <f>MONTH(dataset_1!B:B)</f>
        <v>1</v>
      </c>
      <c r="U47" s="60">
        <f t="shared" si="2"/>
        <v>2011</v>
      </c>
      <c r="V47" s="59" t="str">
        <f>TEXT(F47/24,"H AM/PM")</f>
        <v>10 PM</v>
      </c>
      <c r="W47" s="59" t="str">
        <f>IF(H47=6,"Saturday",IF(H47=0,"Sunday",IF(H47=1,"Monday",IF(H47=2,"Tuesday",IF(H47=3,"Wednesday",IF(H47=4,"Thursday",IF(H47=5,"Friday")))))))</f>
        <v>Sunday</v>
      </c>
      <c r="X47" s="59" t="str">
        <f>IF(G47=FALSE,"Working day", IF(G47=TRUE,"Holiday"))</f>
        <v>Working day</v>
      </c>
    </row>
    <row r="48" spans="1:24" x14ac:dyDescent="0.25">
      <c r="A48" s="32">
        <v>47</v>
      </c>
      <c r="B48" s="33">
        <v>40545</v>
      </c>
      <c r="C48" s="26">
        <v>1</v>
      </c>
      <c r="D48" s="26">
        <v>0</v>
      </c>
      <c r="E48" s="26">
        <v>1</v>
      </c>
      <c r="F48" s="26">
        <v>23</v>
      </c>
      <c r="G48" s="26" t="b">
        <v>0</v>
      </c>
      <c r="H48" s="26">
        <v>0</v>
      </c>
      <c r="I48" s="26">
        <v>1</v>
      </c>
      <c r="J48" s="26">
        <v>0.22</v>
      </c>
      <c r="K48" s="26">
        <v>0.2273</v>
      </c>
      <c r="L48" s="26">
        <v>0.47</v>
      </c>
      <c r="M48">
        <v>0.16420000000000001</v>
      </c>
      <c r="N48" s="26">
        <v>0</v>
      </c>
      <c r="O48" s="26">
        <v>8</v>
      </c>
      <c r="P48" s="26">
        <v>8</v>
      </c>
      <c r="Q48" s="34" t="str">
        <f t="shared" si="0"/>
        <v>Clear</v>
      </c>
      <c r="R48" s="41" t="str">
        <f>IF(I48=1,"Normal",IF(I48=2,"Yellow Alert",IF(I48=3,"Orange Alert",IF(I48=4,"Red Alert"))))</f>
        <v>Normal</v>
      </c>
      <c r="S48" s="60">
        <f t="shared" si="1"/>
        <v>2</v>
      </c>
      <c r="T48" s="60">
        <f>MONTH(dataset_1!B:B)</f>
        <v>1</v>
      </c>
      <c r="U48" s="60">
        <f t="shared" si="2"/>
        <v>2011</v>
      </c>
      <c r="V48" s="59" t="str">
        <f>TEXT(F48/24,"H AM/PM")</f>
        <v>11 PM</v>
      </c>
      <c r="W48" s="59" t="str">
        <f>IF(H48=6,"Saturday",IF(H48=0,"Sunday",IF(H48=1,"Monday",IF(H48=2,"Tuesday",IF(H48=3,"Wednesday",IF(H48=4,"Thursday",IF(H48=5,"Friday")))))))</f>
        <v>Sunday</v>
      </c>
      <c r="X48" s="59" t="str">
        <f>IF(G48=FALSE,"Working day", IF(G48=TRUE,"Holiday"))</f>
        <v>Working day</v>
      </c>
    </row>
    <row r="49" spans="1:24" x14ac:dyDescent="0.25">
      <c r="A49" s="32">
        <v>48</v>
      </c>
      <c r="B49" s="33">
        <v>40546</v>
      </c>
      <c r="C49" s="26">
        <v>1</v>
      </c>
      <c r="D49" s="26">
        <v>0</v>
      </c>
      <c r="E49" s="26">
        <v>1</v>
      </c>
      <c r="F49" s="26">
        <v>0</v>
      </c>
      <c r="G49" s="26" t="b">
        <v>0</v>
      </c>
      <c r="H49" s="26">
        <v>1</v>
      </c>
      <c r="I49" s="26">
        <v>1</v>
      </c>
      <c r="J49" s="26">
        <v>0.22</v>
      </c>
      <c r="K49" s="26">
        <v>0.19700000000000001</v>
      </c>
      <c r="L49" s="26">
        <v>0.44</v>
      </c>
      <c r="M49">
        <v>0.35820000000000002</v>
      </c>
      <c r="N49" s="26">
        <v>0</v>
      </c>
      <c r="O49" s="26">
        <v>5</v>
      </c>
      <c r="P49" s="26">
        <v>5</v>
      </c>
      <c r="Q49" s="34" t="str">
        <f t="shared" si="0"/>
        <v>Clear</v>
      </c>
      <c r="R49" s="41" t="str">
        <f>IF(I49=1,"Normal",IF(I49=2,"Yellow Alert",IF(I49=3,"Orange Alert",IF(I49=4,"Red Alert"))))</f>
        <v>Normal</v>
      </c>
      <c r="S49" s="60">
        <f t="shared" si="1"/>
        <v>3</v>
      </c>
      <c r="T49" s="60">
        <f>MONTH(dataset_1!B:B)</f>
        <v>1</v>
      </c>
      <c r="U49" s="60">
        <f t="shared" si="2"/>
        <v>2011</v>
      </c>
      <c r="V49" s="59" t="str">
        <f>TEXT(F49/24,"H AM/PM")</f>
        <v>12 AM</v>
      </c>
      <c r="W49" s="59" t="str">
        <f>IF(H49=6,"Saturday",IF(H49=0,"Sunday",IF(H49=1,"Monday",IF(H49=2,"Tuesday",IF(H49=3,"Wednesday",IF(H49=4,"Thursday",IF(H49=5,"Friday")))))))</f>
        <v>Monday</v>
      </c>
      <c r="X49" s="59" t="str">
        <f>IF(G49=FALSE,"Working day", IF(G49=TRUE,"Holiday"))</f>
        <v>Working day</v>
      </c>
    </row>
    <row r="50" spans="1:24" x14ac:dyDescent="0.25">
      <c r="A50" s="32">
        <v>49</v>
      </c>
      <c r="B50" s="33">
        <v>40546</v>
      </c>
      <c r="C50" s="26">
        <v>1</v>
      </c>
      <c r="D50" s="26">
        <v>0</v>
      </c>
      <c r="E50" s="26">
        <v>1</v>
      </c>
      <c r="F50" s="26">
        <v>1</v>
      </c>
      <c r="G50" s="26" t="b">
        <v>0</v>
      </c>
      <c r="H50" s="26">
        <v>1</v>
      </c>
      <c r="I50" s="26">
        <v>1</v>
      </c>
      <c r="J50" s="26">
        <v>0.2</v>
      </c>
      <c r="K50" s="26">
        <v>0.19700000000000001</v>
      </c>
      <c r="L50" s="26">
        <v>0.44</v>
      </c>
      <c r="M50">
        <v>0.41789999999999999</v>
      </c>
      <c r="N50" s="26">
        <v>0</v>
      </c>
      <c r="O50" s="26">
        <v>2</v>
      </c>
      <c r="P50" s="26">
        <v>2</v>
      </c>
      <c r="Q50" s="34" t="str">
        <f t="shared" si="0"/>
        <v>Clear</v>
      </c>
      <c r="R50" s="41" t="str">
        <f>IF(I50=1,"Normal",IF(I50=2,"Yellow Alert",IF(I50=3,"Orange Alert",IF(I50=4,"Red Alert"))))</f>
        <v>Normal</v>
      </c>
      <c r="S50" s="60">
        <f t="shared" si="1"/>
        <v>3</v>
      </c>
      <c r="T50" s="60">
        <f>MONTH(dataset_1!B:B)</f>
        <v>1</v>
      </c>
      <c r="U50" s="60">
        <f t="shared" si="2"/>
        <v>2011</v>
      </c>
      <c r="V50" s="59" t="str">
        <f>TEXT(F50/24,"H AM/PM")</f>
        <v>1 AM</v>
      </c>
      <c r="W50" s="59" t="str">
        <f>IF(H50=6,"Saturday",IF(H50=0,"Sunday",IF(H50=1,"Monday",IF(H50=2,"Tuesday",IF(H50=3,"Wednesday",IF(H50=4,"Thursday",IF(H50=5,"Friday")))))))</f>
        <v>Monday</v>
      </c>
      <c r="X50" s="59" t="str">
        <f>IF(G50=FALSE,"Working day", IF(G50=TRUE,"Holiday"))</f>
        <v>Working day</v>
      </c>
    </row>
    <row r="51" spans="1:24" x14ac:dyDescent="0.25">
      <c r="A51" s="32">
        <v>50</v>
      </c>
      <c r="B51" s="33">
        <v>40546</v>
      </c>
      <c r="C51" s="26">
        <v>1</v>
      </c>
      <c r="D51" s="26">
        <v>0</v>
      </c>
      <c r="E51" s="26">
        <v>1</v>
      </c>
      <c r="F51" s="26">
        <v>4</v>
      </c>
      <c r="G51" s="26" t="b">
        <v>0</v>
      </c>
      <c r="H51" s="26">
        <v>1</v>
      </c>
      <c r="I51" s="26">
        <v>1</v>
      </c>
      <c r="J51" s="26">
        <v>0.16</v>
      </c>
      <c r="K51" s="26">
        <v>0.13639999999999999</v>
      </c>
      <c r="L51" s="26">
        <v>0.47</v>
      </c>
      <c r="M51">
        <v>0.3881</v>
      </c>
      <c r="N51" s="26">
        <v>0</v>
      </c>
      <c r="O51" s="26">
        <v>1</v>
      </c>
      <c r="P51" s="26">
        <v>1</v>
      </c>
      <c r="Q51" s="34" t="str">
        <f t="shared" si="0"/>
        <v>Clear</v>
      </c>
      <c r="R51" s="41" t="str">
        <f>IF(I51=1,"Normal",IF(I51=2,"Yellow Alert",IF(I51=3,"Orange Alert",IF(I51=4,"Red Alert"))))</f>
        <v>Normal</v>
      </c>
      <c r="S51" s="60">
        <f t="shared" si="1"/>
        <v>3</v>
      </c>
      <c r="T51" s="60">
        <f>MONTH(dataset_1!B:B)</f>
        <v>1</v>
      </c>
      <c r="U51" s="60">
        <f t="shared" si="2"/>
        <v>2011</v>
      </c>
      <c r="V51" s="59" t="str">
        <f>TEXT(F51/24,"H AM/PM")</f>
        <v>4 AM</v>
      </c>
      <c r="W51" s="59" t="str">
        <f>IF(H51=6,"Saturday",IF(H51=0,"Sunday",IF(H51=1,"Monday",IF(H51=2,"Tuesday",IF(H51=3,"Wednesday",IF(H51=4,"Thursday",IF(H51=5,"Friday")))))))</f>
        <v>Monday</v>
      </c>
      <c r="X51" s="59" t="str">
        <f>IF(G51=FALSE,"Working day", IF(G51=TRUE,"Holiday"))</f>
        <v>Working day</v>
      </c>
    </row>
    <row r="52" spans="1:24" x14ac:dyDescent="0.25">
      <c r="A52" s="32">
        <v>51</v>
      </c>
      <c r="B52" s="33">
        <v>40546</v>
      </c>
      <c r="C52" s="26">
        <v>1</v>
      </c>
      <c r="D52" s="26">
        <v>0</v>
      </c>
      <c r="E52" s="26">
        <v>1</v>
      </c>
      <c r="F52" s="26">
        <v>5</v>
      </c>
      <c r="G52" s="26" t="b">
        <v>0</v>
      </c>
      <c r="H52" s="26">
        <v>1</v>
      </c>
      <c r="I52" s="26">
        <v>1</v>
      </c>
      <c r="J52" s="26">
        <v>0.16</v>
      </c>
      <c r="K52" s="26">
        <v>0.13639999999999999</v>
      </c>
      <c r="L52" s="26">
        <v>0.47</v>
      </c>
      <c r="M52">
        <v>0.28360000000000002</v>
      </c>
      <c r="N52" s="26">
        <v>0</v>
      </c>
      <c r="O52" s="26">
        <v>3</v>
      </c>
      <c r="P52" s="26">
        <v>3</v>
      </c>
      <c r="Q52" s="34" t="str">
        <f t="shared" si="0"/>
        <v>Clear</v>
      </c>
      <c r="R52" s="41" t="str">
        <f>IF(I52=1,"Normal",IF(I52=2,"Yellow Alert",IF(I52=3,"Orange Alert",IF(I52=4,"Red Alert"))))</f>
        <v>Normal</v>
      </c>
      <c r="S52" s="60">
        <f t="shared" si="1"/>
        <v>3</v>
      </c>
      <c r="T52" s="60">
        <f>MONTH(dataset_1!B:B)</f>
        <v>1</v>
      </c>
      <c r="U52" s="60">
        <f t="shared" si="2"/>
        <v>2011</v>
      </c>
      <c r="V52" s="59" t="str">
        <f>TEXT(F52/24,"H AM/PM")</f>
        <v>5 AM</v>
      </c>
      <c r="W52" s="59" t="str">
        <f>IF(H52=6,"Saturday",IF(H52=0,"Sunday",IF(H52=1,"Monday",IF(H52=2,"Tuesday",IF(H52=3,"Wednesday",IF(H52=4,"Thursday",IF(H52=5,"Friday")))))))</f>
        <v>Monday</v>
      </c>
      <c r="X52" s="59" t="str">
        <f>IF(G52=FALSE,"Working day", IF(G52=TRUE,"Holiday"))</f>
        <v>Working day</v>
      </c>
    </row>
    <row r="53" spans="1:24" x14ac:dyDescent="0.25">
      <c r="A53" s="32">
        <v>52</v>
      </c>
      <c r="B53" s="33">
        <v>40546</v>
      </c>
      <c r="C53" s="26">
        <v>1</v>
      </c>
      <c r="D53" s="26">
        <v>0</v>
      </c>
      <c r="E53" s="26">
        <v>1</v>
      </c>
      <c r="F53" s="26">
        <v>6</v>
      </c>
      <c r="G53" s="26" t="b">
        <v>0</v>
      </c>
      <c r="H53" s="26">
        <v>1</v>
      </c>
      <c r="I53" s="26">
        <v>1</v>
      </c>
      <c r="J53" s="26">
        <v>0.14000000000000001</v>
      </c>
      <c r="K53" s="26">
        <v>0.1061</v>
      </c>
      <c r="L53" s="26">
        <v>0.5</v>
      </c>
      <c r="M53">
        <v>0.3881</v>
      </c>
      <c r="N53" s="26">
        <v>0</v>
      </c>
      <c r="O53" s="26">
        <v>30</v>
      </c>
      <c r="P53" s="26">
        <v>30</v>
      </c>
      <c r="Q53" s="34" t="str">
        <f t="shared" si="0"/>
        <v>Clear</v>
      </c>
      <c r="R53" s="41" t="str">
        <f>IF(I53=1,"Normal",IF(I53=2,"Yellow Alert",IF(I53=3,"Orange Alert",IF(I53=4,"Red Alert"))))</f>
        <v>Normal</v>
      </c>
      <c r="S53" s="60">
        <f t="shared" si="1"/>
        <v>3</v>
      </c>
      <c r="T53" s="60">
        <f>MONTH(dataset_1!B:B)</f>
        <v>1</v>
      </c>
      <c r="U53" s="60">
        <f t="shared" si="2"/>
        <v>2011</v>
      </c>
      <c r="V53" s="59" t="str">
        <f>TEXT(F53/24,"H AM/PM")</f>
        <v>6 AM</v>
      </c>
      <c r="W53" s="59" t="str">
        <f>IF(H53=6,"Saturday",IF(H53=0,"Sunday",IF(H53=1,"Monday",IF(H53=2,"Tuesday",IF(H53=3,"Wednesday",IF(H53=4,"Thursday",IF(H53=5,"Friday")))))))</f>
        <v>Monday</v>
      </c>
      <c r="X53" s="59" t="str">
        <f>IF(G53=FALSE,"Working day", IF(G53=TRUE,"Holiday"))</f>
        <v>Working day</v>
      </c>
    </row>
    <row r="54" spans="1:24" x14ac:dyDescent="0.25">
      <c r="A54" s="32">
        <v>53</v>
      </c>
      <c r="B54" s="33">
        <v>40546</v>
      </c>
      <c r="C54" s="26">
        <v>1</v>
      </c>
      <c r="D54" s="26">
        <v>0</v>
      </c>
      <c r="E54" s="26">
        <v>1</v>
      </c>
      <c r="F54" s="26">
        <v>7</v>
      </c>
      <c r="G54" s="26" t="b">
        <v>0</v>
      </c>
      <c r="H54" s="26">
        <v>1</v>
      </c>
      <c r="I54" s="26">
        <v>1</v>
      </c>
      <c r="J54" s="26">
        <v>0.14000000000000001</v>
      </c>
      <c r="K54" s="26">
        <v>0.13639999999999999</v>
      </c>
      <c r="L54" s="26">
        <v>0.5</v>
      </c>
      <c r="M54">
        <v>0.19400000000000001</v>
      </c>
      <c r="N54" s="26">
        <v>1</v>
      </c>
      <c r="O54" s="26">
        <v>63</v>
      </c>
      <c r="P54" s="26">
        <v>64</v>
      </c>
      <c r="Q54" s="34" t="str">
        <f t="shared" si="0"/>
        <v>Clear</v>
      </c>
      <c r="R54" s="41" t="str">
        <f>IF(I54=1,"Normal",IF(I54=2,"Yellow Alert",IF(I54=3,"Orange Alert",IF(I54=4,"Red Alert"))))</f>
        <v>Normal</v>
      </c>
      <c r="S54" s="60">
        <f t="shared" si="1"/>
        <v>3</v>
      </c>
      <c r="T54" s="60">
        <f>MONTH(dataset_1!B:B)</f>
        <v>1</v>
      </c>
      <c r="U54" s="60">
        <f t="shared" si="2"/>
        <v>2011</v>
      </c>
      <c r="V54" s="59" t="str">
        <f>TEXT(F54/24,"H AM/PM")</f>
        <v>7 AM</v>
      </c>
      <c r="W54" s="59" t="str">
        <f>IF(H54=6,"Saturday",IF(H54=0,"Sunday",IF(H54=1,"Monday",IF(H54=2,"Tuesday",IF(H54=3,"Wednesday",IF(H54=4,"Thursday",IF(H54=5,"Friday")))))))</f>
        <v>Monday</v>
      </c>
      <c r="X54" s="59" t="str">
        <f>IF(G54=FALSE,"Working day", IF(G54=TRUE,"Holiday"))</f>
        <v>Working day</v>
      </c>
    </row>
    <row r="55" spans="1:24" x14ac:dyDescent="0.25">
      <c r="A55" s="32">
        <v>54</v>
      </c>
      <c r="B55" s="33">
        <v>40546</v>
      </c>
      <c r="C55" s="26">
        <v>1</v>
      </c>
      <c r="D55" s="26">
        <v>0</v>
      </c>
      <c r="E55" s="26">
        <v>1</v>
      </c>
      <c r="F55" s="26">
        <v>8</v>
      </c>
      <c r="G55" s="26" t="b">
        <v>0</v>
      </c>
      <c r="H55" s="26">
        <v>1</v>
      </c>
      <c r="I55" s="26">
        <v>1</v>
      </c>
      <c r="J55" s="26">
        <v>0.14000000000000001</v>
      </c>
      <c r="K55" s="26">
        <v>0.1212</v>
      </c>
      <c r="L55" s="26">
        <v>0.5</v>
      </c>
      <c r="M55">
        <v>0.28360000000000002</v>
      </c>
      <c r="N55" s="26">
        <v>1</v>
      </c>
      <c r="O55" s="26">
        <v>153</v>
      </c>
      <c r="P55" s="26">
        <v>154</v>
      </c>
      <c r="Q55" s="34" t="str">
        <f t="shared" si="0"/>
        <v>Clear</v>
      </c>
      <c r="R55" s="41" t="str">
        <f>IF(I55=1,"Normal",IF(I55=2,"Yellow Alert",IF(I55=3,"Orange Alert",IF(I55=4,"Red Alert"))))</f>
        <v>Normal</v>
      </c>
      <c r="S55" s="60">
        <f t="shared" si="1"/>
        <v>3</v>
      </c>
      <c r="T55" s="60">
        <f>MONTH(dataset_1!B:B)</f>
        <v>1</v>
      </c>
      <c r="U55" s="60">
        <f t="shared" si="2"/>
        <v>2011</v>
      </c>
      <c r="V55" s="59" t="str">
        <f>TEXT(F55/24,"H AM/PM")</f>
        <v>8 AM</v>
      </c>
      <c r="W55" s="59" t="str">
        <f>IF(H55=6,"Saturday",IF(H55=0,"Sunday",IF(H55=1,"Monday",IF(H55=2,"Tuesday",IF(H55=3,"Wednesday",IF(H55=4,"Thursday",IF(H55=5,"Friday")))))))</f>
        <v>Monday</v>
      </c>
      <c r="X55" s="59" t="str">
        <f>IF(G55=FALSE,"Working day", IF(G55=TRUE,"Holiday"))</f>
        <v>Working day</v>
      </c>
    </row>
    <row r="56" spans="1:24" x14ac:dyDescent="0.25">
      <c r="A56" s="32">
        <v>55</v>
      </c>
      <c r="B56" s="33">
        <v>40546</v>
      </c>
      <c r="C56" s="26">
        <v>1</v>
      </c>
      <c r="D56" s="26">
        <v>0</v>
      </c>
      <c r="E56" s="26">
        <v>1</v>
      </c>
      <c r="F56" s="26">
        <v>9</v>
      </c>
      <c r="G56" s="26" t="b">
        <v>0</v>
      </c>
      <c r="H56" s="26">
        <v>1</v>
      </c>
      <c r="I56" s="26">
        <v>1</v>
      </c>
      <c r="J56" s="26">
        <v>0.16</v>
      </c>
      <c r="K56" s="26">
        <v>0.13639999999999999</v>
      </c>
      <c r="L56" s="26">
        <v>0.43</v>
      </c>
      <c r="M56">
        <v>0.3881</v>
      </c>
      <c r="N56" s="26">
        <v>7</v>
      </c>
      <c r="O56" s="26">
        <v>81</v>
      </c>
      <c r="P56" s="26">
        <v>88</v>
      </c>
      <c r="Q56" s="34" t="str">
        <f t="shared" si="0"/>
        <v>Clear</v>
      </c>
      <c r="R56" s="41" t="str">
        <f>IF(I56=1,"Normal",IF(I56=2,"Yellow Alert",IF(I56=3,"Orange Alert",IF(I56=4,"Red Alert"))))</f>
        <v>Normal</v>
      </c>
      <c r="S56" s="60">
        <f t="shared" si="1"/>
        <v>3</v>
      </c>
      <c r="T56" s="60">
        <f>MONTH(dataset_1!B:B)</f>
        <v>1</v>
      </c>
      <c r="U56" s="60">
        <f t="shared" si="2"/>
        <v>2011</v>
      </c>
      <c r="V56" s="59" t="str">
        <f>TEXT(F56/24,"H AM/PM")</f>
        <v>9 AM</v>
      </c>
      <c r="W56" s="59" t="str">
        <f>IF(H56=6,"Saturday",IF(H56=0,"Sunday",IF(H56=1,"Monday",IF(H56=2,"Tuesday",IF(H56=3,"Wednesday",IF(H56=4,"Thursday",IF(H56=5,"Friday")))))))</f>
        <v>Monday</v>
      </c>
      <c r="X56" s="59" t="str">
        <f>IF(G56=FALSE,"Working day", IF(G56=TRUE,"Holiday"))</f>
        <v>Working day</v>
      </c>
    </row>
    <row r="57" spans="1:24" x14ac:dyDescent="0.25">
      <c r="A57" s="32">
        <v>56</v>
      </c>
      <c r="B57" s="33">
        <v>40546</v>
      </c>
      <c r="C57" s="26">
        <v>1</v>
      </c>
      <c r="D57" s="26">
        <v>0</v>
      </c>
      <c r="E57" s="26">
        <v>1</v>
      </c>
      <c r="F57" s="26">
        <v>10</v>
      </c>
      <c r="G57" s="26" t="b">
        <v>0</v>
      </c>
      <c r="H57" s="26">
        <v>1</v>
      </c>
      <c r="I57" s="26">
        <v>1</v>
      </c>
      <c r="J57" s="26">
        <v>0.18</v>
      </c>
      <c r="K57" s="26">
        <v>0.16669999999999999</v>
      </c>
      <c r="L57" s="26">
        <v>0.43</v>
      </c>
      <c r="M57">
        <v>0.25369999999999998</v>
      </c>
      <c r="N57" s="26">
        <v>11</v>
      </c>
      <c r="O57" s="26">
        <v>33</v>
      </c>
      <c r="P57" s="26">
        <v>44</v>
      </c>
      <c r="Q57" s="34" t="str">
        <f t="shared" si="0"/>
        <v>Clear</v>
      </c>
      <c r="R57" s="41" t="str">
        <f>IF(I57=1,"Normal",IF(I57=2,"Yellow Alert",IF(I57=3,"Orange Alert",IF(I57=4,"Red Alert"))))</f>
        <v>Normal</v>
      </c>
      <c r="S57" s="60">
        <f t="shared" si="1"/>
        <v>3</v>
      </c>
      <c r="T57" s="60">
        <f>MONTH(dataset_1!B:B)</f>
        <v>1</v>
      </c>
      <c r="U57" s="60">
        <f t="shared" si="2"/>
        <v>2011</v>
      </c>
      <c r="V57" s="59" t="str">
        <f>TEXT(F57/24,"H AM/PM")</f>
        <v>10 AM</v>
      </c>
      <c r="W57" s="59" t="str">
        <f>IF(H57=6,"Saturday",IF(H57=0,"Sunday",IF(H57=1,"Monday",IF(H57=2,"Tuesday",IF(H57=3,"Wednesday",IF(H57=4,"Thursday",IF(H57=5,"Friday")))))))</f>
        <v>Monday</v>
      </c>
      <c r="X57" s="59" t="str">
        <f>IF(G57=FALSE,"Working day", IF(G57=TRUE,"Holiday"))</f>
        <v>Working day</v>
      </c>
    </row>
    <row r="58" spans="1:24" x14ac:dyDescent="0.25">
      <c r="A58" s="32">
        <v>57</v>
      </c>
      <c r="B58" s="33">
        <v>40546</v>
      </c>
      <c r="C58" s="26">
        <v>1</v>
      </c>
      <c r="D58" s="26">
        <v>0</v>
      </c>
      <c r="E58" s="26">
        <v>1</v>
      </c>
      <c r="F58" s="26">
        <v>11</v>
      </c>
      <c r="G58" s="26" t="b">
        <v>0</v>
      </c>
      <c r="H58" s="26">
        <v>1</v>
      </c>
      <c r="I58" s="26">
        <v>1</v>
      </c>
      <c r="J58" s="26">
        <v>0.2</v>
      </c>
      <c r="K58" s="26">
        <v>0.18179999999999999</v>
      </c>
      <c r="L58" s="26">
        <v>0.4</v>
      </c>
      <c r="M58">
        <v>0.32840000000000003</v>
      </c>
      <c r="N58" s="26">
        <v>10</v>
      </c>
      <c r="O58" s="26">
        <v>41</v>
      </c>
      <c r="P58" s="26">
        <v>51</v>
      </c>
      <c r="Q58" s="34" t="str">
        <f t="shared" si="0"/>
        <v>Clear</v>
      </c>
      <c r="R58" s="41" t="str">
        <f>IF(I58=1,"Normal",IF(I58=2,"Yellow Alert",IF(I58=3,"Orange Alert",IF(I58=4,"Red Alert"))))</f>
        <v>Normal</v>
      </c>
      <c r="S58" s="60">
        <f t="shared" si="1"/>
        <v>3</v>
      </c>
      <c r="T58" s="60">
        <f>MONTH(dataset_1!B:B)</f>
        <v>1</v>
      </c>
      <c r="U58" s="60">
        <f t="shared" si="2"/>
        <v>2011</v>
      </c>
      <c r="V58" s="59" t="str">
        <f>TEXT(F58/24,"H AM/PM")</f>
        <v>11 AM</v>
      </c>
      <c r="W58" s="59" t="str">
        <f>IF(H58=6,"Saturday",IF(H58=0,"Sunday",IF(H58=1,"Monday",IF(H58=2,"Tuesday",IF(H58=3,"Wednesday",IF(H58=4,"Thursday",IF(H58=5,"Friday")))))))</f>
        <v>Monday</v>
      </c>
      <c r="X58" s="59" t="str">
        <f>IF(G58=FALSE,"Working day", IF(G58=TRUE,"Holiday"))</f>
        <v>Working day</v>
      </c>
    </row>
    <row r="59" spans="1:24" x14ac:dyDescent="0.25">
      <c r="A59" s="32">
        <v>58</v>
      </c>
      <c r="B59" s="33">
        <v>40546</v>
      </c>
      <c r="C59" s="26">
        <v>1</v>
      </c>
      <c r="D59" s="26">
        <v>0</v>
      </c>
      <c r="E59" s="26">
        <v>1</v>
      </c>
      <c r="F59" s="26">
        <v>12</v>
      </c>
      <c r="G59" s="26" t="b">
        <v>0</v>
      </c>
      <c r="H59" s="26">
        <v>1</v>
      </c>
      <c r="I59" s="26">
        <v>1</v>
      </c>
      <c r="J59" s="26">
        <v>0.22</v>
      </c>
      <c r="K59" s="26">
        <v>0.21210000000000001</v>
      </c>
      <c r="L59" s="26">
        <v>0.35</v>
      </c>
      <c r="M59">
        <v>0.29849999999999999</v>
      </c>
      <c r="N59" s="26">
        <v>13</v>
      </c>
      <c r="O59" s="26">
        <v>48</v>
      </c>
      <c r="P59" s="26">
        <v>61</v>
      </c>
      <c r="Q59" s="34" t="str">
        <f t="shared" si="0"/>
        <v>Clear</v>
      </c>
      <c r="R59" s="41" t="str">
        <f>IF(I59=1,"Normal",IF(I59=2,"Yellow Alert",IF(I59=3,"Orange Alert",IF(I59=4,"Red Alert"))))</f>
        <v>Normal</v>
      </c>
      <c r="S59" s="60">
        <f t="shared" si="1"/>
        <v>3</v>
      </c>
      <c r="T59" s="60">
        <f>MONTH(dataset_1!B:B)</f>
        <v>1</v>
      </c>
      <c r="U59" s="60">
        <f t="shared" si="2"/>
        <v>2011</v>
      </c>
      <c r="V59" s="59" t="str">
        <f>TEXT(F59/24,"H AM/PM")</f>
        <v>12 PM</v>
      </c>
      <c r="W59" s="59" t="str">
        <f>IF(H59=6,"Saturday",IF(H59=0,"Sunday",IF(H59=1,"Monday",IF(H59=2,"Tuesday",IF(H59=3,"Wednesday",IF(H59=4,"Thursday",IF(H59=5,"Friday")))))))</f>
        <v>Monday</v>
      </c>
      <c r="X59" s="59" t="str">
        <f>IF(G59=FALSE,"Working day", IF(G59=TRUE,"Holiday"))</f>
        <v>Working day</v>
      </c>
    </row>
    <row r="60" spans="1:24" x14ac:dyDescent="0.25">
      <c r="A60" s="32">
        <v>59</v>
      </c>
      <c r="B60" s="33">
        <v>40546</v>
      </c>
      <c r="C60" s="26">
        <v>1</v>
      </c>
      <c r="D60" s="26">
        <v>0</v>
      </c>
      <c r="E60" s="26">
        <v>1</v>
      </c>
      <c r="F60" s="26">
        <v>13</v>
      </c>
      <c r="G60" s="26" t="b">
        <v>0</v>
      </c>
      <c r="H60" s="26">
        <v>1</v>
      </c>
      <c r="I60" s="26">
        <v>1</v>
      </c>
      <c r="J60" s="26">
        <v>0.24</v>
      </c>
      <c r="K60" s="26">
        <v>0.19700000000000001</v>
      </c>
      <c r="L60" s="26">
        <v>0.35</v>
      </c>
      <c r="M60">
        <v>0.28360000000000002</v>
      </c>
      <c r="N60" s="26">
        <v>8</v>
      </c>
      <c r="O60" s="26">
        <v>53</v>
      </c>
      <c r="P60" s="26">
        <v>61</v>
      </c>
      <c r="Q60" s="34" t="str">
        <f t="shared" si="0"/>
        <v>Clear</v>
      </c>
      <c r="R60" s="41" t="str">
        <f>IF(I60=1,"Normal",IF(I60=2,"Yellow Alert",IF(I60=3,"Orange Alert",IF(I60=4,"Red Alert"))))</f>
        <v>Normal</v>
      </c>
      <c r="S60" s="60">
        <f t="shared" si="1"/>
        <v>3</v>
      </c>
      <c r="T60" s="60">
        <f>MONTH(dataset_1!B:B)</f>
        <v>1</v>
      </c>
      <c r="U60" s="60">
        <f t="shared" si="2"/>
        <v>2011</v>
      </c>
      <c r="V60" s="59" t="str">
        <f>TEXT(F60/24,"H AM/PM")</f>
        <v>1 PM</v>
      </c>
      <c r="W60" s="59" t="str">
        <f>IF(H60=6,"Saturday",IF(H60=0,"Sunday",IF(H60=1,"Monday",IF(H60=2,"Tuesday",IF(H60=3,"Wednesday",IF(H60=4,"Thursday",IF(H60=5,"Friday")))))))</f>
        <v>Monday</v>
      </c>
      <c r="X60" s="59" t="str">
        <f>IF(G60=FALSE,"Working day", IF(G60=TRUE,"Holiday"))</f>
        <v>Working day</v>
      </c>
    </row>
    <row r="61" spans="1:24" x14ac:dyDescent="0.25">
      <c r="A61" s="32">
        <v>60</v>
      </c>
      <c r="B61" s="33">
        <v>40546</v>
      </c>
      <c r="C61" s="26">
        <v>1</v>
      </c>
      <c r="D61" s="26">
        <v>0</v>
      </c>
      <c r="E61" s="26">
        <v>1</v>
      </c>
      <c r="F61" s="26">
        <v>14</v>
      </c>
      <c r="G61" s="26" t="b">
        <v>0</v>
      </c>
      <c r="H61" s="26">
        <v>1</v>
      </c>
      <c r="I61" s="26">
        <v>1</v>
      </c>
      <c r="J61" s="26">
        <v>0.26</v>
      </c>
      <c r="K61" s="26">
        <v>0.2424</v>
      </c>
      <c r="L61" s="26">
        <v>0.3</v>
      </c>
      <c r="M61">
        <v>0.28360000000000002</v>
      </c>
      <c r="N61" s="26">
        <v>11</v>
      </c>
      <c r="O61" s="26">
        <v>66</v>
      </c>
      <c r="P61" s="26">
        <v>77</v>
      </c>
      <c r="Q61" s="34" t="str">
        <f t="shared" si="0"/>
        <v>Clear</v>
      </c>
      <c r="R61" s="41" t="str">
        <f>IF(I61=1,"Normal",IF(I61=2,"Yellow Alert",IF(I61=3,"Orange Alert",IF(I61=4,"Red Alert"))))</f>
        <v>Normal</v>
      </c>
      <c r="S61" s="60">
        <f t="shared" si="1"/>
        <v>3</v>
      </c>
      <c r="T61" s="60">
        <f>MONTH(dataset_1!B:B)</f>
        <v>1</v>
      </c>
      <c r="U61" s="60">
        <f t="shared" si="2"/>
        <v>2011</v>
      </c>
      <c r="V61" s="59" t="str">
        <f>TEXT(F61/24,"H AM/PM")</f>
        <v>2 PM</v>
      </c>
      <c r="W61" s="59" t="str">
        <f>IF(H61=6,"Saturday",IF(H61=0,"Sunday",IF(H61=1,"Monday",IF(H61=2,"Tuesday",IF(H61=3,"Wednesday",IF(H61=4,"Thursday",IF(H61=5,"Friday")))))))</f>
        <v>Monday</v>
      </c>
      <c r="X61" s="59" t="str">
        <f>IF(G61=FALSE,"Working day", IF(G61=TRUE,"Holiday"))</f>
        <v>Working day</v>
      </c>
    </row>
    <row r="62" spans="1:24" x14ac:dyDescent="0.25">
      <c r="A62" s="32">
        <v>61</v>
      </c>
      <c r="B62" s="33">
        <v>40546</v>
      </c>
      <c r="C62" s="26">
        <v>1</v>
      </c>
      <c r="D62" s="26">
        <v>0</v>
      </c>
      <c r="E62" s="26">
        <v>1</v>
      </c>
      <c r="F62" s="26">
        <v>15</v>
      </c>
      <c r="G62" s="26" t="b">
        <v>0</v>
      </c>
      <c r="H62" s="26">
        <v>1</v>
      </c>
      <c r="I62" s="26">
        <v>1</v>
      </c>
      <c r="J62" s="26">
        <v>0.26</v>
      </c>
      <c r="K62" s="26">
        <v>0.2424</v>
      </c>
      <c r="L62" s="26">
        <v>0.3</v>
      </c>
      <c r="M62">
        <v>0.25369999999999998</v>
      </c>
      <c r="N62" s="26">
        <v>14</v>
      </c>
      <c r="O62" s="26">
        <v>58</v>
      </c>
      <c r="P62" s="26">
        <v>72</v>
      </c>
      <c r="Q62" s="34" t="str">
        <f t="shared" si="0"/>
        <v>Clear</v>
      </c>
      <c r="R62" s="41" t="str">
        <f>IF(I62=1,"Normal",IF(I62=2,"Yellow Alert",IF(I62=3,"Orange Alert",IF(I62=4,"Red Alert"))))</f>
        <v>Normal</v>
      </c>
      <c r="S62" s="60">
        <f t="shared" si="1"/>
        <v>3</v>
      </c>
      <c r="T62" s="60">
        <f>MONTH(dataset_1!B:B)</f>
        <v>1</v>
      </c>
      <c r="U62" s="60">
        <f t="shared" si="2"/>
        <v>2011</v>
      </c>
      <c r="V62" s="59" t="str">
        <f>TEXT(F62/24,"H AM/PM")</f>
        <v>3 PM</v>
      </c>
      <c r="W62" s="59" t="str">
        <f>IF(H62=6,"Saturday",IF(H62=0,"Sunday",IF(H62=1,"Monday",IF(H62=2,"Tuesday",IF(H62=3,"Wednesday",IF(H62=4,"Thursday",IF(H62=5,"Friday")))))))</f>
        <v>Monday</v>
      </c>
      <c r="X62" s="59" t="str">
        <f>IF(G62=FALSE,"Working day", IF(G62=TRUE,"Holiday"))</f>
        <v>Working day</v>
      </c>
    </row>
    <row r="63" spans="1:24" x14ac:dyDescent="0.25">
      <c r="A63" s="32">
        <v>62</v>
      </c>
      <c r="B63" s="33">
        <v>40546</v>
      </c>
      <c r="C63" s="26">
        <v>1</v>
      </c>
      <c r="D63" s="26">
        <v>0</v>
      </c>
      <c r="E63" s="26">
        <v>1</v>
      </c>
      <c r="F63" s="26">
        <v>16</v>
      </c>
      <c r="G63" s="26" t="b">
        <v>0</v>
      </c>
      <c r="H63" s="26">
        <v>1</v>
      </c>
      <c r="I63" s="26">
        <v>1</v>
      </c>
      <c r="J63" s="26">
        <v>0.26</v>
      </c>
      <c r="K63" s="26">
        <v>0.2424</v>
      </c>
      <c r="L63" s="26">
        <v>0.3</v>
      </c>
      <c r="M63">
        <v>0.25369999999999998</v>
      </c>
      <c r="N63" s="26">
        <v>9</v>
      </c>
      <c r="O63" s="26">
        <v>67</v>
      </c>
      <c r="P63" s="26">
        <v>76</v>
      </c>
      <c r="Q63" s="34" t="str">
        <f t="shared" si="0"/>
        <v>Clear</v>
      </c>
      <c r="R63" s="41" t="str">
        <f>IF(I63=1,"Normal",IF(I63=2,"Yellow Alert",IF(I63=3,"Orange Alert",IF(I63=4,"Red Alert"))))</f>
        <v>Normal</v>
      </c>
      <c r="S63" s="60">
        <f t="shared" si="1"/>
        <v>3</v>
      </c>
      <c r="T63" s="60">
        <f>MONTH(dataset_1!B:B)</f>
        <v>1</v>
      </c>
      <c r="U63" s="60">
        <f t="shared" si="2"/>
        <v>2011</v>
      </c>
      <c r="V63" s="59" t="str">
        <f>TEXT(F63/24,"H AM/PM")</f>
        <v>4 PM</v>
      </c>
      <c r="W63" s="59" t="str">
        <f>IF(H63=6,"Saturday",IF(H63=0,"Sunday",IF(H63=1,"Monday",IF(H63=2,"Tuesday",IF(H63=3,"Wednesday",IF(H63=4,"Thursday",IF(H63=5,"Friday")))))))</f>
        <v>Monday</v>
      </c>
      <c r="X63" s="59" t="str">
        <f>IF(G63=FALSE,"Working day", IF(G63=TRUE,"Holiday"))</f>
        <v>Working day</v>
      </c>
    </row>
    <row r="64" spans="1:24" x14ac:dyDescent="0.25">
      <c r="A64" s="32">
        <v>63</v>
      </c>
      <c r="B64" s="33">
        <v>40546</v>
      </c>
      <c r="C64" s="26">
        <v>1</v>
      </c>
      <c r="D64" s="26">
        <v>0</v>
      </c>
      <c r="E64" s="26">
        <v>1</v>
      </c>
      <c r="F64" s="26">
        <v>17</v>
      </c>
      <c r="G64" s="26" t="b">
        <v>0</v>
      </c>
      <c r="H64" s="26">
        <v>1</v>
      </c>
      <c r="I64" s="26">
        <v>1</v>
      </c>
      <c r="J64" s="26">
        <v>0.24</v>
      </c>
      <c r="K64" s="26">
        <v>0.2273</v>
      </c>
      <c r="L64" s="26">
        <v>0.3</v>
      </c>
      <c r="M64">
        <v>0.22389999999999999</v>
      </c>
      <c r="N64" s="26">
        <v>11</v>
      </c>
      <c r="O64" s="26">
        <v>146</v>
      </c>
      <c r="P64" s="26">
        <v>157</v>
      </c>
      <c r="Q64" s="34" t="str">
        <f t="shared" si="0"/>
        <v>Clear</v>
      </c>
      <c r="R64" s="41" t="str">
        <f>IF(I64=1,"Normal",IF(I64=2,"Yellow Alert",IF(I64=3,"Orange Alert",IF(I64=4,"Red Alert"))))</f>
        <v>Normal</v>
      </c>
      <c r="S64" s="60">
        <f t="shared" si="1"/>
        <v>3</v>
      </c>
      <c r="T64" s="60">
        <f>MONTH(dataset_1!B:B)</f>
        <v>1</v>
      </c>
      <c r="U64" s="60">
        <f t="shared" si="2"/>
        <v>2011</v>
      </c>
      <c r="V64" s="59" t="str">
        <f>TEXT(F64/24,"H AM/PM")</f>
        <v>5 PM</v>
      </c>
      <c r="W64" s="59" t="str">
        <f>IF(H64=6,"Saturday",IF(H64=0,"Sunday",IF(H64=1,"Monday",IF(H64=2,"Tuesday",IF(H64=3,"Wednesday",IF(H64=4,"Thursday",IF(H64=5,"Friday")))))))</f>
        <v>Monday</v>
      </c>
      <c r="X64" s="59" t="str">
        <f>IF(G64=FALSE,"Working day", IF(G64=TRUE,"Holiday"))</f>
        <v>Working day</v>
      </c>
    </row>
    <row r="65" spans="1:24" x14ac:dyDescent="0.25">
      <c r="A65" s="32">
        <v>64</v>
      </c>
      <c r="B65" s="33">
        <v>40546</v>
      </c>
      <c r="C65" s="26">
        <v>1</v>
      </c>
      <c r="D65" s="26">
        <v>0</v>
      </c>
      <c r="E65" s="26">
        <v>1</v>
      </c>
      <c r="F65" s="26">
        <v>18</v>
      </c>
      <c r="G65" s="26" t="b">
        <v>0</v>
      </c>
      <c r="H65" s="26">
        <v>1</v>
      </c>
      <c r="I65" s="26">
        <v>1</v>
      </c>
      <c r="J65" s="26">
        <v>0.24</v>
      </c>
      <c r="K65" s="26">
        <v>0.2576</v>
      </c>
      <c r="L65" s="26">
        <v>0.32</v>
      </c>
      <c r="M65">
        <v>0.1045</v>
      </c>
      <c r="N65" s="26">
        <v>9</v>
      </c>
      <c r="O65" s="26">
        <v>148</v>
      </c>
      <c r="P65" s="26">
        <v>157</v>
      </c>
      <c r="Q65" s="34" t="str">
        <f t="shared" si="0"/>
        <v>Clear</v>
      </c>
      <c r="R65" s="41" t="str">
        <f>IF(I65=1,"Normal",IF(I65=2,"Yellow Alert",IF(I65=3,"Orange Alert",IF(I65=4,"Red Alert"))))</f>
        <v>Normal</v>
      </c>
      <c r="S65" s="60">
        <f t="shared" si="1"/>
        <v>3</v>
      </c>
      <c r="T65" s="60">
        <f>MONTH(dataset_1!B:B)</f>
        <v>1</v>
      </c>
      <c r="U65" s="60">
        <f t="shared" si="2"/>
        <v>2011</v>
      </c>
      <c r="V65" s="59" t="str">
        <f>TEXT(F65/24,"H AM/PM")</f>
        <v>6 PM</v>
      </c>
      <c r="W65" s="59" t="str">
        <f>IF(H65=6,"Saturday",IF(H65=0,"Sunday",IF(H65=1,"Monday",IF(H65=2,"Tuesday",IF(H65=3,"Wednesday",IF(H65=4,"Thursday",IF(H65=5,"Friday")))))))</f>
        <v>Monday</v>
      </c>
      <c r="X65" s="59" t="str">
        <f>IF(G65=FALSE,"Working day", IF(G65=TRUE,"Holiday"))</f>
        <v>Working day</v>
      </c>
    </row>
    <row r="66" spans="1:24" x14ac:dyDescent="0.25">
      <c r="A66" s="32">
        <v>65</v>
      </c>
      <c r="B66" s="33">
        <v>40546</v>
      </c>
      <c r="C66" s="26">
        <v>1</v>
      </c>
      <c r="D66" s="26">
        <v>0</v>
      </c>
      <c r="E66" s="26">
        <v>1</v>
      </c>
      <c r="F66" s="26">
        <v>19</v>
      </c>
      <c r="G66" s="26" t="b">
        <v>0</v>
      </c>
      <c r="H66" s="26">
        <v>1</v>
      </c>
      <c r="I66" s="26">
        <v>1</v>
      </c>
      <c r="J66" s="26">
        <v>0.2</v>
      </c>
      <c r="K66" s="26">
        <v>0.2576</v>
      </c>
      <c r="L66" s="26">
        <v>0.47</v>
      </c>
      <c r="M66">
        <v>0</v>
      </c>
      <c r="N66" s="26">
        <v>8</v>
      </c>
      <c r="O66" s="26">
        <v>102</v>
      </c>
      <c r="P66" s="26">
        <v>110</v>
      </c>
      <c r="Q66" s="34" t="str">
        <f t="shared" ref="Q66:Q129" si="3">IF(I66=1,"Clear",IF(I66=2,"Cloudy",IF(I66=3,"Light Rain",IF(I66=4,"Heavy Rain"))))</f>
        <v>Clear</v>
      </c>
      <c r="R66" s="41" t="str">
        <f>IF(I66=1,"Normal",IF(I66=2,"Yellow Alert",IF(I66=3,"Orange Alert",IF(I66=4,"Red Alert"))))</f>
        <v>Normal</v>
      </c>
      <c r="S66" s="60">
        <f t="shared" ref="S66:S129" si="4">DAY(B:B)</f>
        <v>3</v>
      </c>
      <c r="T66" s="60">
        <f>MONTH(dataset_1!B:B)</f>
        <v>1</v>
      </c>
      <c r="U66" s="60">
        <f t="shared" ref="U66:U129" si="5">YEAR(B:B)</f>
        <v>2011</v>
      </c>
      <c r="V66" s="59" t="str">
        <f>TEXT(F66/24,"H AM/PM")</f>
        <v>7 PM</v>
      </c>
      <c r="W66" s="59" t="str">
        <f>IF(H66=6,"Saturday",IF(H66=0,"Sunday",IF(H66=1,"Monday",IF(H66=2,"Tuesday",IF(H66=3,"Wednesday",IF(H66=4,"Thursday",IF(H66=5,"Friday")))))))</f>
        <v>Monday</v>
      </c>
      <c r="X66" s="59" t="str">
        <f>IF(G66=FALSE,"Working day", IF(G66=TRUE,"Holiday"))</f>
        <v>Working day</v>
      </c>
    </row>
    <row r="67" spans="1:24" x14ac:dyDescent="0.25">
      <c r="A67" s="32">
        <v>66</v>
      </c>
      <c r="B67" s="33">
        <v>40546</v>
      </c>
      <c r="C67" s="26">
        <v>1</v>
      </c>
      <c r="D67" s="26">
        <v>0</v>
      </c>
      <c r="E67" s="26">
        <v>1</v>
      </c>
      <c r="F67" s="26">
        <v>20</v>
      </c>
      <c r="G67" s="26" t="b">
        <v>0</v>
      </c>
      <c r="H67" s="26">
        <v>1</v>
      </c>
      <c r="I67" s="26">
        <v>1</v>
      </c>
      <c r="J67" s="26">
        <v>0.2</v>
      </c>
      <c r="K67" s="26">
        <v>0.19700000000000001</v>
      </c>
      <c r="L67" s="26">
        <v>0.47</v>
      </c>
      <c r="M67">
        <v>0.1045</v>
      </c>
      <c r="N67" s="26">
        <v>3</v>
      </c>
      <c r="O67" s="26">
        <v>49</v>
      </c>
      <c r="P67" s="26">
        <v>52</v>
      </c>
      <c r="Q67" s="34" t="str">
        <f t="shared" si="3"/>
        <v>Clear</v>
      </c>
      <c r="R67" s="41" t="str">
        <f>IF(I67=1,"Normal",IF(I67=2,"Yellow Alert",IF(I67=3,"Orange Alert",IF(I67=4,"Red Alert"))))</f>
        <v>Normal</v>
      </c>
      <c r="S67" s="60">
        <f t="shared" si="4"/>
        <v>3</v>
      </c>
      <c r="T67" s="60">
        <f>MONTH(dataset_1!B:B)</f>
        <v>1</v>
      </c>
      <c r="U67" s="60">
        <f t="shared" si="5"/>
        <v>2011</v>
      </c>
      <c r="V67" s="59" t="str">
        <f>TEXT(F67/24,"H AM/PM")</f>
        <v>8 PM</v>
      </c>
      <c r="W67" s="59" t="str">
        <f>IF(H67=6,"Saturday",IF(H67=0,"Sunday",IF(H67=1,"Monday",IF(H67=2,"Tuesday",IF(H67=3,"Wednesday",IF(H67=4,"Thursday",IF(H67=5,"Friday")))))))</f>
        <v>Monday</v>
      </c>
      <c r="X67" s="59" t="str">
        <f>IF(G67=FALSE,"Working day", IF(G67=TRUE,"Holiday"))</f>
        <v>Working day</v>
      </c>
    </row>
    <row r="68" spans="1:24" x14ac:dyDescent="0.25">
      <c r="A68" s="32">
        <v>67</v>
      </c>
      <c r="B68" s="33">
        <v>40546</v>
      </c>
      <c r="C68" s="26">
        <v>1</v>
      </c>
      <c r="D68" s="26">
        <v>0</v>
      </c>
      <c r="E68" s="26">
        <v>1</v>
      </c>
      <c r="F68" s="26">
        <v>21</v>
      </c>
      <c r="G68" s="26" t="b">
        <v>0</v>
      </c>
      <c r="H68" s="26">
        <v>1</v>
      </c>
      <c r="I68" s="26">
        <v>1</v>
      </c>
      <c r="J68" s="26">
        <v>0.18</v>
      </c>
      <c r="K68" s="26">
        <v>0.1515</v>
      </c>
      <c r="L68" s="26">
        <v>0.64</v>
      </c>
      <c r="M68">
        <v>0.1343</v>
      </c>
      <c r="N68" s="26">
        <v>3</v>
      </c>
      <c r="O68" s="26">
        <v>49</v>
      </c>
      <c r="P68" s="26">
        <v>52</v>
      </c>
      <c r="Q68" s="34" t="str">
        <f t="shared" si="3"/>
        <v>Clear</v>
      </c>
      <c r="R68" s="41" t="str">
        <f>IF(I68=1,"Normal",IF(I68=2,"Yellow Alert",IF(I68=3,"Orange Alert",IF(I68=4,"Red Alert"))))</f>
        <v>Normal</v>
      </c>
      <c r="S68" s="60">
        <f t="shared" si="4"/>
        <v>3</v>
      </c>
      <c r="T68" s="60">
        <f>MONTH(dataset_1!B:B)</f>
        <v>1</v>
      </c>
      <c r="U68" s="60">
        <f t="shared" si="5"/>
        <v>2011</v>
      </c>
      <c r="V68" s="59" t="str">
        <f>TEXT(F68/24,"H AM/PM")</f>
        <v>9 PM</v>
      </c>
      <c r="W68" s="59" t="str">
        <f>IF(H68=6,"Saturday",IF(H68=0,"Sunday",IF(H68=1,"Monday",IF(H68=2,"Tuesday",IF(H68=3,"Wednesday",IF(H68=4,"Thursday",IF(H68=5,"Friday")))))))</f>
        <v>Monday</v>
      </c>
      <c r="X68" s="59" t="str">
        <f>IF(G68=FALSE,"Working day", IF(G68=TRUE,"Holiday"))</f>
        <v>Working day</v>
      </c>
    </row>
    <row r="69" spans="1:24" x14ac:dyDescent="0.25">
      <c r="A69" s="32">
        <v>68</v>
      </c>
      <c r="B69" s="33">
        <v>40546</v>
      </c>
      <c r="C69" s="26">
        <v>1</v>
      </c>
      <c r="D69" s="26">
        <v>0</v>
      </c>
      <c r="E69" s="26">
        <v>1</v>
      </c>
      <c r="F69" s="26">
        <v>22</v>
      </c>
      <c r="G69" s="26" t="b">
        <v>0</v>
      </c>
      <c r="H69" s="26">
        <v>1</v>
      </c>
      <c r="I69" s="26">
        <v>1</v>
      </c>
      <c r="J69" s="26">
        <v>0.14000000000000001</v>
      </c>
      <c r="K69" s="26">
        <v>0.21210000000000001</v>
      </c>
      <c r="L69" s="26">
        <v>0.69</v>
      </c>
      <c r="M69">
        <v>0.1343</v>
      </c>
      <c r="N69" s="26">
        <v>0</v>
      </c>
      <c r="O69" s="26">
        <v>20</v>
      </c>
      <c r="P69" s="26">
        <v>20</v>
      </c>
      <c r="Q69" s="34" t="str">
        <f t="shared" si="3"/>
        <v>Clear</v>
      </c>
      <c r="R69" s="41" t="str">
        <f>IF(I69=1,"Normal",IF(I69=2,"Yellow Alert",IF(I69=3,"Orange Alert",IF(I69=4,"Red Alert"))))</f>
        <v>Normal</v>
      </c>
      <c r="S69" s="60">
        <f t="shared" si="4"/>
        <v>3</v>
      </c>
      <c r="T69" s="60">
        <f>MONTH(dataset_1!B:B)</f>
        <v>1</v>
      </c>
      <c r="U69" s="60">
        <f t="shared" si="5"/>
        <v>2011</v>
      </c>
      <c r="V69" s="59" t="str">
        <f>TEXT(F69/24,"H AM/PM")</f>
        <v>10 PM</v>
      </c>
      <c r="W69" s="59" t="str">
        <f>IF(H69=6,"Saturday",IF(H69=0,"Sunday",IF(H69=1,"Monday",IF(H69=2,"Tuesday",IF(H69=3,"Wednesday",IF(H69=4,"Thursday",IF(H69=5,"Friday")))))))</f>
        <v>Monday</v>
      </c>
      <c r="X69" s="59" t="str">
        <f>IF(G69=FALSE,"Working day", IF(G69=TRUE,"Holiday"))</f>
        <v>Working day</v>
      </c>
    </row>
    <row r="70" spans="1:24" x14ac:dyDescent="0.25">
      <c r="A70" s="32">
        <v>69</v>
      </c>
      <c r="B70" s="33">
        <v>40546</v>
      </c>
      <c r="C70" s="26">
        <v>1</v>
      </c>
      <c r="D70" s="26">
        <v>0</v>
      </c>
      <c r="E70" s="26">
        <v>1</v>
      </c>
      <c r="F70" s="26">
        <v>23</v>
      </c>
      <c r="G70" s="26" t="b">
        <v>0</v>
      </c>
      <c r="H70" s="26">
        <v>1</v>
      </c>
      <c r="I70" s="26">
        <v>1</v>
      </c>
      <c r="J70" s="26">
        <v>0.18</v>
      </c>
      <c r="K70" s="26">
        <v>0.19700000000000001</v>
      </c>
      <c r="L70" s="26">
        <v>0.55000000000000004</v>
      </c>
      <c r="M70">
        <v>0.1045</v>
      </c>
      <c r="N70" s="26">
        <v>1</v>
      </c>
      <c r="O70" s="26">
        <v>11</v>
      </c>
      <c r="P70" s="26">
        <v>12</v>
      </c>
      <c r="Q70" s="34" t="str">
        <f t="shared" si="3"/>
        <v>Clear</v>
      </c>
      <c r="R70" s="41" t="str">
        <f>IF(I70=1,"Normal",IF(I70=2,"Yellow Alert",IF(I70=3,"Orange Alert",IF(I70=4,"Red Alert"))))</f>
        <v>Normal</v>
      </c>
      <c r="S70" s="60">
        <f t="shared" si="4"/>
        <v>3</v>
      </c>
      <c r="T70" s="60">
        <f>MONTH(dataset_1!B:B)</f>
        <v>1</v>
      </c>
      <c r="U70" s="60">
        <f t="shared" si="5"/>
        <v>2011</v>
      </c>
      <c r="V70" s="59" t="str">
        <f>TEXT(F70/24,"H AM/PM")</f>
        <v>11 PM</v>
      </c>
      <c r="W70" s="59" t="str">
        <f>IF(H70=6,"Saturday",IF(H70=0,"Sunday",IF(H70=1,"Monday",IF(H70=2,"Tuesday",IF(H70=3,"Wednesday",IF(H70=4,"Thursday",IF(H70=5,"Friday")))))))</f>
        <v>Monday</v>
      </c>
      <c r="X70" s="59" t="str">
        <f>IF(G70=FALSE,"Working day", IF(G70=TRUE,"Holiday"))</f>
        <v>Working day</v>
      </c>
    </row>
    <row r="71" spans="1:24" x14ac:dyDescent="0.25">
      <c r="A71" s="32">
        <v>70</v>
      </c>
      <c r="B71" s="33">
        <v>40547</v>
      </c>
      <c r="C71" s="26">
        <v>1</v>
      </c>
      <c r="D71" s="26">
        <v>0</v>
      </c>
      <c r="E71" s="26">
        <v>1</v>
      </c>
      <c r="F71" s="26">
        <v>0</v>
      </c>
      <c r="G71" s="26" t="b">
        <v>0</v>
      </c>
      <c r="H71" s="26">
        <v>2</v>
      </c>
      <c r="I71" s="26">
        <v>1</v>
      </c>
      <c r="J71" s="26">
        <v>0.16</v>
      </c>
      <c r="K71" s="26">
        <v>0.18179999999999999</v>
      </c>
      <c r="L71" s="26">
        <v>0.55000000000000004</v>
      </c>
      <c r="M71">
        <v>0.1045</v>
      </c>
      <c r="N71" s="26">
        <v>0</v>
      </c>
      <c r="O71" s="26">
        <v>5</v>
      </c>
      <c r="P71" s="26">
        <v>5</v>
      </c>
      <c r="Q71" s="34" t="str">
        <f t="shared" si="3"/>
        <v>Clear</v>
      </c>
      <c r="R71" s="41" t="str">
        <f>IF(I71=1,"Normal",IF(I71=2,"Yellow Alert",IF(I71=3,"Orange Alert",IF(I71=4,"Red Alert"))))</f>
        <v>Normal</v>
      </c>
      <c r="S71" s="60">
        <f t="shared" si="4"/>
        <v>4</v>
      </c>
      <c r="T71" s="60">
        <f>MONTH(dataset_1!B:B)</f>
        <v>1</v>
      </c>
      <c r="U71" s="60">
        <f t="shared" si="5"/>
        <v>2011</v>
      </c>
      <c r="V71" s="59" t="str">
        <f>TEXT(F71/24,"H AM/PM")</f>
        <v>12 AM</v>
      </c>
      <c r="W71" s="59" t="str">
        <f>IF(H71=6,"Saturday",IF(H71=0,"Sunday",IF(H71=1,"Monday",IF(H71=2,"Tuesday",IF(H71=3,"Wednesday",IF(H71=4,"Thursday",IF(H71=5,"Friday")))))))</f>
        <v>Tuesday</v>
      </c>
      <c r="X71" s="59" t="str">
        <f>IF(G71=FALSE,"Working day", IF(G71=TRUE,"Holiday"))</f>
        <v>Working day</v>
      </c>
    </row>
    <row r="72" spans="1:24" x14ac:dyDescent="0.25">
      <c r="A72" s="32">
        <v>71</v>
      </c>
      <c r="B72" s="33">
        <v>40547</v>
      </c>
      <c r="C72" s="26">
        <v>1</v>
      </c>
      <c r="D72" s="26">
        <v>0</v>
      </c>
      <c r="E72" s="26">
        <v>1</v>
      </c>
      <c r="F72" s="26">
        <v>1</v>
      </c>
      <c r="G72" s="26" t="b">
        <v>0</v>
      </c>
      <c r="H72" s="26">
        <v>2</v>
      </c>
      <c r="I72" s="26">
        <v>1</v>
      </c>
      <c r="J72" s="26">
        <v>0.16</v>
      </c>
      <c r="K72" s="26">
        <v>0.1515</v>
      </c>
      <c r="L72" s="26">
        <v>0.59</v>
      </c>
      <c r="M72">
        <v>0.1045</v>
      </c>
      <c r="N72" s="26">
        <v>0</v>
      </c>
      <c r="O72" s="26">
        <v>2</v>
      </c>
      <c r="P72" s="26">
        <v>2</v>
      </c>
      <c r="Q72" s="34" t="str">
        <f t="shared" si="3"/>
        <v>Clear</v>
      </c>
      <c r="R72" s="41" t="str">
        <f>IF(I72=1,"Normal",IF(I72=2,"Yellow Alert",IF(I72=3,"Orange Alert",IF(I72=4,"Red Alert"))))</f>
        <v>Normal</v>
      </c>
      <c r="S72" s="60">
        <f t="shared" si="4"/>
        <v>4</v>
      </c>
      <c r="T72" s="60">
        <f>MONTH(dataset_1!B:B)</f>
        <v>1</v>
      </c>
      <c r="U72" s="60">
        <f t="shared" si="5"/>
        <v>2011</v>
      </c>
      <c r="V72" s="59" t="str">
        <f>TEXT(F72/24,"H AM/PM")</f>
        <v>1 AM</v>
      </c>
      <c r="W72" s="59" t="str">
        <f>IF(H72=6,"Saturday",IF(H72=0,"Sunday",IF(H72=1,"Monday",IF(H72=2,"Tuesday",IF(H72=3,"Wednesday",IF(H72=4,"Thursday",IF(H72=5,"Friday")))))))</f>
        <v>Tuesday</v>
      </c>
      <c r="X72" s="59" t="str">
        <f>IF(G72=FALSE,"Working day", IF(G72=TRUE,"Holiday"))</f>
        <v>Working day</v>
      </c>
    </row>
    <row r="73" spans="1:24" x14ac:dyDescent="0.25">
      <c r="A73" s="32">
        <v>72</v>
      </c>
      <c r="B73" s="33">
        <v>40547</v>
      </c>
      <c r="C73" s="26">
        <v>1</v>
      </c>
      <c r="D73" s="26">
        <v>0</v>
      </c>
      <c r="E73" s="26">
        <v>1</v>
      </c>
      <c r="F73" s="26">
        <v>2</v>
      </c>
      <c r="G73" s="26" t="b">
        <v>0</v>
      </c>
      <c r="H73" s="26">
        <v>2</v>
      </c>
      <c r="I73" s="26">
        <v>1</v>
      </c>
      <c r="J73" s="26">
        <v>0.14000000000000001</v>
      </c>
      <c r="K73" s="26">
        <v>0.18179999999999999</v>
      </c>
      <c r="L73" s="26">
        <v>0.63</v>
      </c>
      <c r="M73">
        <v>0.1343</v>
      </c>
      <c r="N73" s="26">
        <v>0</v>
      </c>
      <c r="O73" s="26">
        <v>1</v>
      </c>
      <c r="P73" s="26">
        <v>1</v>
      </c>
      <c r="Q73" s="34" t="str">
        <f t="shared" si="3"/>
        <v>Clear</v>
      </c>
      <c r="R73" s="41" t="str">
        <f>IF(I73=1,"Normal",IF(I73=2,"Yellow Alert",IF(I73=3,"Orange Alert",IF(I73=4,"Red Alert"))))</f>
        <v>Normal</v>
      </c>
      <c r="S73" s="60">
        <f t="shared" si="4"/>
        <v>4</v>
      </c>
      <c r="T73" s="60">
        <f>MONTH(dataset_1!B:B)</f>
        <v>1</v>
      </c>
      <c r="U73" s="60">
        <f t="shared" si="5"/>
        <v>2011</v>
      </c>
      <c r="V73" s="59" t="str">
        <f>TEXT(F73/24,"H AM/PM")</f>
        <v>2 AM</v>
      </c>
      <c r="W73" s="59" t="str">
        <f>IF(H73=6,"Saturday",IF(H73=0,"Sunday",IF(H73=1,"Monday",IF(H73=2,"Tuesday",IF(H73=3,"Wednesday",IF(H73=4,"Thursday",IF(H73=5,"Friday")))))))</f>
        <v>Tuesday</v>
      </c>
      <c r="X73" s="59" t="str">
        <f>IF(G73=FALSE,"Working day", IF(G73=TRUE,"Holiday"))</f>
        <v>Working day</v>
      </c>
    </row>
    <row r="74" spans="1:24" x14ac:dyDescent="0.25">
      <c r="A74" s="32">
        <v>73</v>
      </c>
      <c r="B74" s="33">
        <v>40547</v>
      </c>
      <c r="C74" s="26">
        <v>1</v>
      </c>
      <c r="D74" s="26">
        <v>0</v>
      </c>
      <c r="E74" s="26">
        <v>1</v>
      </c>
      <c r="F74" s="26">
        <v>4</v>
      </c>
      <c r="G74" s="26" t="b">
        <v>0</v>
      </c>
      <c r="H74" s="26">
        <v>2</v>
      </c>
      <c r="I74" s="26">
        <v>1</v>
      </c>
      <c r="J74" s="26">
        <v>0.14000000000000001</v>
      </c>
      <c r="K74" s="26">
        <v>0.1515</v>
      </c>
      <c r="L74" s="26">
        <v>0.63</v>
      </c>
      <c r="M74">
        <v>8.9599999999999999E-2</v>
      </c>
      <c r="N74" s="26">
        <v>0</v>
      </c>
      <c r="O74" s="26">
        <v>2</v>
      </c>
      <c r="P74" s="26">
        <v>2</v>
      </c>
      <c r="Q74" s="34" t="str">
        <f t="shared" si="3"/>
        <v>Clear</v>
      </c>
      <c r="R74" s="41" t="str">
        <f>IF(I74=1,"Normal",IF(I74=2,"Yellow Alert",IF(I74=3,"Orange Alert",IF(I74=4,"Red Alert"))))</f>
        <v>Normal</v>
      </c>
      <c r="S74" s="60">
        <f t="shared" si="4"/>
        <v>4</v>
      </c>
      <c r="T74" s="60">
        <f>MONTH(dataset_1!B:B)</f>
        <v>1</v>
      </c>
      <c r="U74" s="60">
        <f t="shared" si="5"/>
        <v>2011</v>
      </c>
      <c r="V74" s="59" t="str">
        <f>TEXT(F74/24,"H AM/PM")</f>
        <v>4 AM</v>
      </c>
      <c r="W74" s="59" t="str">
        <f>IF(H74=6,"Saturday",IF(H74=0,"Sunday",IF(H74=1,"Monday",IF(H74=2,"Tuesday",IF(H74=3,"Wednesday",IF(H74=4,"Thursday",IF(H74=5,"Friday")))))))</f>
        <v>Tuesday</v>
      </c>
      <c r="X74" s="59" t="str">
        <f>IF(G74=FALSE,"Working day", IF(G74=TRUE,"Holiday"))</f>
        <v>Working day</v>
      </c>
    </row>
    <row r="75" spans="1:24" x14ac:dyDescent="0.25">
      <c r="A75" s="32">
        <v>74</v>
      </c>
      <c r="B75" s="33">
        <v>40547</v>
      </c>
      <c r="C75" s="26">
        <v>1</v>
      </c>
      <c r="D75" s="26">
        <v>0</v>
      </c>
      <c r="E75" s="26">
        <v>1</v>
      </c>
      <c r="F75" s="26">
        <v>5</v>
      </c>
      <c r="G75" s="26" t="b">
        <v>0</v>
      </c>
      <c r="H75" s="26">
        <v>2</v>
      </c>
      <c r="I75" s="26">
        <v>1</v>
      </c>
      <c r="J75" s="26">
        <v>0.12</v>
      </c>
      <c r="K75" s="26">
        <v>0.1515</v>
      </c>
      <c r="L75" s="26">
        <v>0.68</v>
      </c>
      <c r="M75">
        <v>0.1045</v>
      </c>
      <c r="N75" s="26">
        <v>0</v>
      </c>
      <c r="O75" s="26">
        <v>4</v>
      </c>
      <c r="P75" s="26">
        <v>4</v>
      </c>
      <c r="Q75" s="34" t="str">
        <f t="shared" si="3"/>
        <v>Clear</v>
      </c>
      <c r="R75" s="41" t="str">
        <f>IF(I75=1,"Normal",IF(I75=2,"Yellow Alert",IF(I75=3,"Orange Alert",IF(I75=4,"Red Alert"))))</f>
        <v>Normal</v>
      </c>
      <c r="S75" s="60">
        <f t="shared" si="4"/>
        <v>4</v>
      </c>
      <c r="T75" s="60">
        <f>MONTH(dataset_1!B:B)</f>
        <v>1</v>
      </c>
      <c r="U75" s="60">
        <f t="shared" si="5"/>
        <v>2011</v>
      </c>
      <c r="V75" s="59" t="str">
        <f>TEXT(F75/24,"H AM/PM")</f>
        <v>5 AM</v>
      </c>
      <c r="W75" s="59" t="str">
        <f>IF(H75=6,"Saturday",IF(H75=0,"Sunday",IF(H75=1,"Monday",IF(H75=2,"Tuesday",IF(H75=3,"Wednesday",IF(H75=4,"Thursday",IF(H75=5,"Friday")))))))</f>
        <v>Tuesday</v>
      </c>
      <c r="X75" s="59" t="str">
        <f>IF(G75=FALSE,"Working day", IF(G75=TRUE,"Holiday"))</f>
        <v>Working day</v>
      </c>
    </row>
    <row r="76" spans="1:24" x14ac:dyDescent="0.25">
      <c r="A76" s="32">
        <v>75</v>
      </c>
      <c r="B76" s="33">
        <v>40547</v>
      </c>
      <c r="C76" s="26">
        <v>1</v>
      </c>
      <c r="D76" s="26">
        <v>0</v>
      </c>
      <c r="E76" s="26">
        <v>1</v>
      </c>
      <c r="F76" s="26">
        <v>6</v>
      </c>
      <c r="G76" s="26" t="b">
        <v>0</v>
      </c>
      <c r="H76" s="26">
        <v>2</v>
      </c>
      <c r="I76" s="26">
        <v>1</v>
      </c>
      <c r="J76" s="26">
        <v>0.12</v>
      </c>
      <c r="K76" s="26">
        <v>0.1515</v>
      </c>
      <c r="L76" s="26">
        <v>0.74</v>
      </c>
      <c r="M76">
        <v>0.1045</v>
      </c>
      <c r="N76" s="26">
        <v>0</v>
      </c>
      <c r="O76" s="26">
        <v>36</v>
      </c>
      <c r="P76" s="26">
        <v>36</v>
      </c>
      <c r="Q76" s="34" t="str">
        <f t="shared" si="3"/>
        <v>Clear</v>
      </c>
      <c r="R76" s="41" t="str">
        <f>IF(I76=1,"Normal",IF(I76=2,"Yellow Alert",IF(I76=3,"Orange Alert",IF(I76=4,"Red Alert"))))</f>
        <v>Normal</v>
      </c>
      <c r="S76" s="60">
        <f t="shared" si="4"/>
        <v>4</v>
      </c>
      <c r="T76" s="60">
        <f>MONTH(dataset_1!B:B)</f>
        <v>1</v>
      </c>
      <c r="U76" s="60">
        <f t="shared" si="5"/>
        <v>2011</v>
      </c>
      <c r="V76" s="59" t="str">
        <f>TEXT(F76/24,"H AM/PM")</f>
        <v>6 AM</v>
      </c>
      <c r="W76" s="59" t="str">
        <f>IF(H76=6,"Saturday",IF(H76=0,"Sunday",IF(H76=1,"Monday",IF(H76=2,"Tuesday",IF(H76=3,"Wednesday",IF(H76=4,"Thursday",IF(H76=5,"Friday")))))))</f>
        <v>Tuesday</v>
      </c>
      <c r="X76" s="59" t="str">
        <f>IF(G76=FALSE,"Working day", IF(G76=TRUE,"Holiday"))</f>
        <v>Working day</v>
      </c>
    </row>
    <row r="77" spans="1:24" x14ac:dyDescent="0.25">
      <c r="A77" s="32">
        <v>76</v>
      </c>
      <c r="B77" s="33">
        <v>40547</v>
      </c>
      <c r="C77" s="26">
        <v>1</v>
      </c>
      <c r="D77" s="26">
        <v>0</v>
      </c>
      <c r="E77" s="26">
        <v>1</v>
      </c>
      <c r="F77" s="26">
        <v>7</v>
      </c>
      <c r="G77" s="26" t="b">
        <v>0</v>
      </c>
      <c r="H77" s="26">
        <v>2</v>
      </c>
      <c r="I77" s="26">
        <v>1</v>
      </c>
      <c r="J77" s="26">
        <v>0.12</v>
      </c>
      <c r="K77" s="26">
        <v>0.1515</v>
      </c>
      <c r="L77" s="26">
        <v>0.74</v>
      </c>
      <c r="M77">
        <v>0.1343</v>
      </c>
      <c r="N77" s="26">
        <v>2</v>
      </c>
      <c r="O77" s="26">
        <v>92</v>
      </c>
      <c r="P77" s="26">
        <v>94</v>
      </c>
      <c r="Q77" s="34" t="str">
        <f t="shared" si="3"/>
        <v>Clear</v>
      </c>
      <c r="R77" s="41" t="str">
        <f>IF(I77=1,"Normal",IF(I77=2,"Yellow Alert",IF(I77=3,"Orange Alert",IF(I77=4,"Red Alert"))))</f>
        <v>Normal</v>
      </c>
      <c r="S77" s="60">
        <f t="shared" si="4"/>
        <v>4</v>
      </c>
      <c r="T77" s="60">
        <f>MONTH(dataset_1!B:B)</f>
        <v>1</v>
      </c>
      <c r="U77" s="60">
        <f t="shared" si="5"/>
        <v>2011</v>
      </c>
      <c r="V77" s="59" t="str">
        <f>TEXT(F77/24,"H AM/PM")</f>
        <v>7 AM</v>
      </c>
      <c r="W77" s="59" t="str">
        <f>IF(H77=6,"Saturday",IF(H77=0,"Sunday",IF(H77=1,"Monday",IF(H77=2,"Tuesday",IF(H77=3,"Wednesday",IF(H77=4,"Thursday",IF(H77=5,"Friday")))))))</f>
        <v>Tuesday</v>
      </c>
      <c r="X77" s="59" t="str">
        <f>IF(G77=FALSE,"Working day", IF(G77=TRUE,"Holiday"))</f>
        <v>Working day</v>
      </c>
    </row>
    <row r="78" spans="1:24" x14ac:dyDescent="0.25">
      <c r="A78" s="32">
        <v>77</v>
      </c>
      <c r="B78" s="33">
        <v>40547</v>
      </c>
      <c r="C78" s="26">
        <v>1</v>
      </c>
      <c r="D78" s="26">
        <v>0</v>
      </c>
      <c r="E78" s="26">
        <v>1</v>
      </c>
      <c r="F78" s="26">
        <v>8</v>
      </c>
      <c r="G78" s="26" t="b">
        <v>0</v>
      </c>
      <c r="H78" s="26">
        <v>2</v>
      </c>
      <c r="I78" s="26">
        <v>1</v>
      </c>
      <c r="J78" s="26">
        <v>0.14000000000000001</v>
      </c>
      <c r="K78" s="26">
        <v>0.1515</v>
      </c>
      <c r="L78" s="26">
        <v>0.69</v>
      </c>
      <c r="M78">
        <v>0.16420000000000001</v>
      </c>
      <c r="N78" s="26">
        <v>2</v>
      </c>
      <c r="O78" s="26">
        <v>177</v>
      </c>
      <c r="P78" s="26">
        <v>179</v>
      </c>
      <c r="Q78" s="34" t="str">
        <f t="shared" si="3"/>
        <v>Clear</v>
      </c>
      <c r="R78" s="41" t="str">
        <f>IF(I78=1,"Normal",IF(I78=2,"Yellow Alert",IF(I78=3,"Orange Alert",IF(I78=4,"Red Alert"))))</f>
        <v>Normal</v>
      </c>
      <c r="S78" s="60">
        <f t="shared" si="4"/>
        <v>4</v>
      </c>
      <c r="T78" s="60">
        <f>MONTH(dataset_1!B:B)</f>
        <v>1</v>
      </c>
      <c r="U78" s="60">
        <f t="shared" si="5"/>
        <v>2011</v>
      </c>
      <c r="V78" s="59" t="str">
        <f>TEXT(F78/24,"H AM/PM")</f>
        <v>8 AM</v>
      </c>
      <c r="W78" s="59" t="str">
        <f>IF(H78=6,"Saturday",IF(H78=0,"Sunday",IF(H78=1,"Monday",IF(H78=2,"Tuesday",IF(H78=3,"Wednesday",IF(H78=4,"Thursday",IF(H78=5,"Friday")))))))</f>
        <v>Tuesday</v>
      </c>
      <c r="X78" s="59" t="str">
        <f>IF(G78=FALSE,"Working day", IF(G78=TRUE,"Holiday"))</f>
        <v>Working day</v>
      </c>
    </row>
    <row r="79" spans="1:24" x14ac:dyDescent="0.25">
      <c r="A79" s="32">
        <v>78</v>
      </c>
      <c r="B79" s="33">
        <v>40547</v>
      </c>
      <c r="C79" s="26">
        <v>1</v>
      </c>
      <c r="D79" s="26">
        <v>0</v>
      </c>
      <c r="E79" s="26">
        <v>1</v>
      </c>
      <c r="F79" s="26">
        <v>9</v>
      </c>
      <c r="G79" s="26" t="b">
        <v>0</v>
      </c>
      <c r="H79" s="26">
        <v>2</v>
      </c>
      <c r="I79" s="26">
        <v>1</v>
      </c>
      <c r="J79" s="26">
        <v>0.16</v>
      </c>
      <c r="K79" s="26">
        <v>0.13639999999999999</v>
      </c>
      <c r="L79" s="26">
        <v>0.64</v>
      </c>
      <c r="M79">
        <v>0.22389999999999999</v>
      </c>
      <c r="N79" s="26">
        <v>2</v>
      </c>
      <c r="O79" s="26">
        <v>98</v>
      </c>
      <c r="P79" s="26">
        <v>100</v>
      </c>
      <c r="Q79" s="34" t="str">
        <f t="shared" si="3"/>
        <v>Clear</v>
      </c>
      <c r="R79" s="41" t="str">
        <f>IF(I79=1,"Normal",IF(I79=2,"Yellow Alert",IF(I79=3,"Orange Alert",IF(I79=4,"Red Alert"))))</f>
        <v>Normal</v>
      </c>
      <c r="S79" s="60">
        <f t="shared" si="4"/>
        <v>4</v>
      </c>
      <c r="T79" s="60">
        <f>MONTH(dataset_1!B:B)</f>
        <v>1</v>
      </c>
      <c r="U79" s="60">
        <f t="shared" si="5"/>
        <v>2011</v>
      </c>
      <c r="V79" s="59" t="str">
        <f>TEXT(F79/24,"H AM/PM")</f>
        <v>9 AM</v>
      </c>
      <c r="W79" s="59" t="str">
        <f>IF(H79=6,"Saturday",IF(H79=0,"Sunday",IF(H79=1,"Monday",IF(H79=2,"Tuesday",IF(H79=3,"Wednesday",IF(H79=4,"Thursday",IF(H79=5,"Friday")))))))</f>
        <v>Tuesday</v>
      </c>
      <c r="X79" s="59" t="str">
        <f>IF(G79=FALSE,"Working day", IF(G79=TRUE,"Holiday"))</f>
        <v>Working day</v>
      </c>
    </row>
    <row r="80" spans="1:24" x14ac:dyDescent="0.25">
      <c r="A80" s="32">
        <v>79</v>
      </c>
      <c r="B80" s="33">
        <v>40547</v>
      </c>
      <c r="C80" s="26">
        <v>1</v>
      </c>
      <c r="D80" s="26">
        <v>0</v>
      </c>
      <c r="E80" s="26">
        <v>1</v>
      </c>
      <c r="F80" s="26">
        <v>10</v>
      </c>
      <c r="G80" s="26" t="b">
        <v>0</v>
      </c>
      <c r="H80" s="26">
        <v>2</v>
      </c>
      <c r="I80" s="26">
        <v>2</v>
      </c>
      <c r="J80" s="26">
        <v>0.16</v>
      </c>
      <c r="K80" s="26">
        <v>0.21210000000000001</v>
      </c>
      <c r="L80" s="26">
        <v>0.69</v>
      </c>
      <c r="M80">
        <v>0.32840000000000003</v>
      </c>
      <c r="N80" s="26">
        <v>5</v>
      </c>
      <c r="O80" s="26">
        <v>37</v>
      </c>
      <c r="P80" s="26">
        <v>42</v>
      </c>
      <c r="Q80" s="34" t="str">
        <f t="shared" si="3"/>
        <v>Cloudy</v>
      </c>
      <c r="R80" s="41" t="str">
        <f>IF(I80=1,"Normal",IF(I80=2,"Yellow Alert",IF(I80=3,"Orange Alert",IF(I80=4,"Red Alert"))))</f>
        <v>Yellow Alert</v>
      </c>
      <c r="S80" s="60">
        <f t="shared" si="4"/>
        <v>4</v>
      </c>
      <c r="T80" s="60">
        <f>MONTH(dataset_1!B:B)</f>
        <v>1</v>
      </c>
      <c r="U80" s="60">
        <f t="shared" si="5"/>
        <v>2011</v>
      </c>
      <c r="V80" s="59" t="str">
        <f>TEXT(F80/24,"H AM/PM")</f>
        <v>10 AM</v>
      </c>
      <c r="W80" s="59" t="str">
        <f>IF(H80=6,"Saturday",IF(H80=0,"Sunday",IF(H80=1,"Monday",IF(H80=2,"Tuesday",IF(H80=3,"Wednesday",IF(H80=4,"Thursday",IF(H80=5,"Friday")))))))</f>
        <v>Tuesday</v>
      </c>
      <c r="X80" s="59" t="str">
        <f>IF(G80=FALSE,"Working day", IF(G80=TRUE,"Holiday"))</f>
        <v>Working day</v>
      </c>
    </row>
    <row r="81" spans="1:24" x14ac:dyDescent="0.25">
      <c r="A81" s="32">
        <v>80</v>
      </c>
      <c r="B81" s="33">
        <v>40547</v>
      </c>
      <c r="C81" s="26">
        <v>1</v>
      </c>
      <c r="D81" s="26">
        <v>0</v>
      </c>
      <c r="E81" s="26">
        <v>1</v>
      </c>
      <c r="F81" s="26">
        <v>11</v>
      </c>
      <c r="G81" s="26" t="b">
        <v>0</v>
      </c>
      <c r="H81" s="26">
        <v>2</v>
      </c>
      <c r="I81" s="26">
        <v>1</v>
      </c>
      <c r="J81" s="26">
        <v>0.22</v>
      </c>
      <c r="K81" s="26">
        <v>0.2273</v>
      </c>
      <c r="L81" s="26">
        <v>0.51</v>
      </c>
      <c r="M81">
        <v>0.29849999999999999</v>
      </c>
      <c r="N81" s="26">
        <v>7</v>
      </c>
      <c r="O81" s="26">
        <v>50</v>
      </c>
      <c r="P81" s="26">
        <v>57</v>
      </c>
      <c r="Q81" s="34" t="str">
        <f t="shared" si="3"/>
        <v>Clear</v>
      </c>
      <c r="R81" s="41" t="str">
        <f>IF(I81=1,"Normal",IF(I81=2,"Yellow Alert",IF(I81=3,"Orange Alert",IF(I81=4,"Red Alert"))))</f>
        <v>Normal</v>
      </c>
      <c r="S81" s="60">
        <f t="shared" si="4"/>
        <v>4</v>
      </c>
      <c r="T81" s="60">
        <f>MONTH(dataset_1!B:B)</f>
        <v>1</v>
      </c>
      <c r="U81" s="60">
        <f t="shared" si="5"/>
        <v>2011</v>
      </c>
      <c r="V81" s="59" t="str">
        <f>TEXT(F81/24,"H AM/PM")</f>
        <v>11 AM</v>
      </c>
      <c r="W81" s="59" t="str">
        <f>IF(H81=6,"Saturday",IF(H81=0,"Sunday",IF(H81=1,"Monday",IF(H81=2,"Tuesday",IF(H81=3,"Wednesday",IF(H81=4,"Thursday",IF(H81=5,"Friday")))))))</f>
        <v>Tuesday</v>
      </c>
      <c r="X81" s="59" t="str">
        <f>IF(G81=FALSE,"Working day", IF(G81=TRUE,"Holiday"))</f>
        <v>Working day</v>
      </c>
    </row>
    <row r="82" spans="1:24" x14ac:dyDescent="0.25">
      <c r="A82" s="32">
        <v>81</v>
      </c>
      <c r="B82" s="33">
        <v>40547</v>
      </c>
      <c r="C82" s="26">
        <v>1</v>
      </c>
      <c r="D82" s="26">
        <v>0</v>
      </c>
      <c r="E82" s="26">
        <v>1</v>
      </c>
      <c r="F82" s="26">
        <v>12</v>
      </c>
      <c r="G82" s="26" t="b">
        <v>0</v>
      </c>
      <c r="H82" s="26">
        <v>2</v>
      </c>
      <c r="I82" s="26">
        <v>1</v>
      </c>
      <c r="J82" s="26">
        <v>0.22</v>
      </c>
      <c r="K82" s="26">
        <v>0.2273</v>
      </c>
      <c r="L82" s="26">
        <v>0.51</v>
      </c>
      <c r="M82">
        <v>0.16420000000000001</v>
      </c>
      <c r="N82" s="26">
        <v>12</v>
      </c>
      <c r="O82" s="26">
        <v>66</v>
      </c>
      <c r="P82" s="26">
        <v>78</v>
      </c>
      <c r="Q82" s="34" t="str">
        <f t="shared" si="3"/>
        <v>Clear</v>
      </c>
      <c r="R82" s="41" t="str">
        <f>IF(I82=1,"Normal",IF(I82=2,"Yellow Alert",IF(I82=3,"Orange Alert",IF(I82=4,"Red Alert"))))</f>
        <v>Normal</v>
      </c>
      <c r="S82" s="60">
        <f t="shared" si="4"/>
        <v>4</v>
      </c>
      <c r="T82" s="60">
        <f>MONTH(dataset_1!B:B)</f>
        <v>1</v>
      </c>
      <c r="U82" s="60">
        <f t="shared" si="5"/>
        <v>2011</v>
      </c>
      <c r="V82" s="59" t="str">
        <f>TEXT(F82/24,"H AM/PM")</f>
        <v>12 PM</v>
      </c>
      <c r="W82" s="59" t="str">
        <f>IF(H82=6,"Saturday",IF(H82=0,"Sunday",IF(H82=1,"Monday",IF(H82=2,"Tuesday",IF(H82=3,"Wednesday",IF(H82=4,"Thursday",IF(H82=5,"Friday")))))))</f>
        <v>Tuesday</v>
      </c>
      <c r="X82" s="59" t="str">
        <f>IF(G82=FALSE,"Working day", IF(G82=TRUE,"Holiday"))</f>
        <v>Working day</v>
      </c>
    </row>
    <row r="83" spans="1:24" x14ac:dyDescent="0.25">
      <c r="A83" s="32">
        <v>82</v>
      </c>
      <c r="B83" s="33">
        <v>40547</v>
      </c>
      <c r="C83" s="26">
        <v>1</v>
      </c>
      <c r="D83" s="26">
        <v>0</v>
      </c>
      <c r="E83" s="26">
        <v>1</v>
      </c>
      <c r="F83" s="26">
        <v>13</v>
      </c>
      <c r="G83" s="26" t="b">
        <v>0</v>
      </c>
      <c r="H83" s="26">
        <v>2</v>
      </c>
      <c r="I83" s="26">
        <v>1</v>
      </c>
      <c r="J83" s="26">
        <v>0.24</v>
      </c>
      <c r="K83" s="26">
        <v>0.2576</v>
      </c>
      <c r="L83" s="26">
        <v>0.56000000000000005</v>
      </c>
      <c r="M83">
        <v>0.19400000000000001</v>
      </c>
      <c r="N83" s="26">
        <v>18</v>
      </c>
      <c r="O83" s="26">
        <v>79</v>
      </c>
      <c r="P83" s="26">
        <v>97</v>
      </c>
      <c r="Q83" s="34" t="str">
        <f t="shared" si="3"/>
        <v>Clear</v>
      </c>
      <c r="R83" s="41" t="str">
        <f>IF(I83=1,"Normal",IF(I83=2,"Yellow Alert",IF(I83=3,"Orange Alert",IF(I83=4,"Red Alert"))))</f>
        <v>Normal</v>
      </c>
      <c r="S83" s="60">
        <f t="shared" si="4"/>
        <v>4</v>
      </c>
      <c r="T83" s="60">
        <f>MONTH(dataset_1!B:B)</f>
        <v>1</v>
      </c>
      <c r="U83" s="60">
        <f t="shared" si="5"/>
        <v>2011</v>
      </c>
      <c r="V83" s="59" t="str">
        <f>TEXT(F83/24,"H AM/PM")</f>
        <v>1 PM</v>
      </c>
      <c r="W83" s="59" t="str">
        <f>IF(H83=6,"Saturday",IF(H83=0,"Sunday",IF(H83=1,"Monday",IF(H83=2,"Tuesday",IF(H83=3,"Wednesday",IF(H83=4,"Thursday",IF(H83=5,"Friday")))))))</f>
        <v>Tuesday</v>
      </c>
      <c r="X83" s="59" t="str">
        <f>IF(G83=FALSE,"Working day", IF(G83=TRUE,"Holiday"))</f>
        <v>Working day</v>
      </c>
    </row>
    <row r="84" spans="1:24" x14ac:dyDescent="0.25">
      <c r="A84" s="32">
        <v>83</v>
      </c>
      <c r="B84" s="33">
        <v>40547</v>
      </c>
      <c r="C84" s="26">
        <v>1</v>
      </c>
      <c r="D84" s="26">
        <v>0</v>
      </c>
      <c r="E84" s="26">
        <v>1</v>
      </c>
      <c r="F84" s="26">
        <v>14</v>
      </c>
      <c r="G84" s="26" t="b">
        <v>0</v>
      </c>
      <c r="H84" s="26">
        <v>2</v>
      </c>
      <c r="I84" s="26">
        <v>1</v>
      </c>
      <c r="J84" s="26">
        <v>0.26</v>
      </c>
      <c r="K84" s="26">
        <v>0.2727</v>
      </c>
      <c r="L84" s="26">
        <v>0.52</v>
      </c>
      <c r="M84">
        <v>0.22389999999999999</v>
      </c>
      <c r="N84" s="26">
        <v>9</v>
      </c>
      <c r="O84" s="26">
        <v>54</v>
      </c>
      <c r="P84" s="26">
        <v>63</v>
      </c>
      <c r="Q84" s="34" t="str">
        <f t="shared" si="3"/>
        <v>Clear</v>
      </c>
      <c r="R84" s="41" t="str">
        <f>IF(I84=1,"Normal",IF(I84=2,"Yellow Alert",IF(I84=3,"Orange Alert",IF(I84=4,"Red Alert"))))</f>
        <v>Normal</v>
      </c>
      <c r="S84" s="60">
        <f t="shared" si="4"/>
        <v>4</v>
      </c>
      <c r="T84" s="60">
        <f>MONTH(dataset_1!B:B)</f>
        <v>1</v>
      </c>
      <c r="U84" s="60">
        <f t="shared" si="5"/>
        <v>2011</v>
      </c>
      <c r="V84" s="59" t="str">
        <f>TEXT(F84/24,"H AM/PM")</f>
        <v>2 PM</v>
      </c>
      <c r="W84" s="59" t="str">
        <f>IF(H84=6,"Saturday",IF(H84=0,"Sunday",IF(H84=1,"Monday",IF(H84=2,"Tuesday",IF(H84=3,"Wednesday",IF(H84=4,"Thursday",IF(H84=5,"Friday")))))))</f>
        <v>Tuesday</v>
      </c>
      <c r="X84" s="59" t="str">
        <f>IF(G84=FALSE,"Working day", IF(G84=TRUE,"Holiday"))</f>
        <v>Working day</v>
      </c>
    </row>
    <row r="85" spans="1:24" x14ac:dyDescent="0.25">
      <c r="A85" s="32">
        <v>84</v>
      </c>
      <c r="B85" s="33">
        <v>40547</v>
      </c>
      <c r="C85" s="26">
        <v>1</v>
      </c>
      <c r="D85" s="26">
        <v>0</v>
      </c>
      <c r="E85" s="26">
        <v>1</v>
      </c>
      <c r="F85" s="26">
        <v>15</v>
      </c>
      <c r="G85" s="26" t="b">
        <v>0</v>
      </c>
      <c r="H85" s="26">
        <v>2</v>
      </c>
      <c r="I85" s="26">
        <v>1</v>
      </c>
      <c r="J85" s="26">
        <v>0.28000000000000003</v>
      </c>
      <c r="K85" s="26">
        <v>0.28789999999999999</v>
      </c>
      <c r="L85" s="26">
        <v>0.52</v>
      </c>
      <c r="M85">
        <v>0.25369999999999998</v>
      </c>
      <c r="N85" s="26">
        <v>17</v>
      </c>
      <c r="O85" s="26">
        <v>48</v>
      </c>
      <c r="P85" s="26">
        <v>65</v>
      </c>
      <c r="Q85" s="34" t="str">
        <f t="shared" si="3"/>
        <v>Clear</v>
      </c>
      <c r="R85" s="41" t="str">
        <f>IF(I85=1,"Normal",IF(I85=2,"Yellow Alert",IF(I85=3,"Orange Alert",IF(I85=4,"Red Alert"))))</f>
        <v>Normal</v>
      </c>
      <c r="S85" s="60">
        <f t="shared" si="4"/>
        <v>4</v>
      </c>
      <c r="T85" s="60">
        <f>MONTH(dataset_1!B:B)</f>
        <v>1</v>
      </c>
      <c r="U85" s="60">
        <f t="shared" si="5"/>
        <v>2011</v>
      </c>
      <c r="V85" s="59" t="str">
        <f>TEXT(F85/24,"H AM/PM")</f>
        <v>3 PM</v>
      </c>
      <c r="W85" s="59" t="str">
        <f>IF(H85=6,"Saturday",IF(H85=0,"Sunday",IF(H85=1,"Monday",IF(H85=2,"Tuesday",IF(H85=3,"Wednesday",IF(H85=4,"Thursday",IF(H85=5,"Friday")))))))</f>
        <v>Tuesday</v>
      </c>
      <c r="X85" s="59" t="str">
        <f>IF(G85=FALSE,"Working day", IF(G85=TRUE,"Holiday"))</f>
        <v>Working day</v>
      </c>
    </row>
    <row r="86" spans="1:24" x14ac:dyDescent="0.25">
      <c r="A86" s="32">
        <v>85</v>
      </c>
      <c r="B86" s="33">
        <v>40547</v>
      </c>
      <c r="C86" s="26">
        <v>1</v>
      </c>
      <c r="D86" s="26">
        <v>0</v>
      </c>
      <c r="E86" s="26">
        <v>1</v>
      </c>
      <c r="F86" s="26">
        <v>16</v>
      </c>
      <c r="G86" s="26" t="b">
        <v>0</v>
      </c>
      <c r="H86" s="26">
        <v>2</v>
      </c>
      <c r="I86" s="26">
        <v>1</v>
      </c>
      <c r="J86" s="26">
        <v>0.3</v>
      </c>
      <c r="K86" s="26">
        <v>0.2727</v>
      </c>
      <c r="L86" s="26">
        <v>0.49</v>
      </c>
      <c r="M86">
        <v>0.25369999999999998</v>
      </c>
      <c r="N86" s="26">
        <v>15</v>
      </c>
      <c r="O86" s="26">
        <v>68</v>
      </c>
      <c r="P86" s="26">
        <v>83</v>
      </c>
      <c r="Q86" s="34" t="str">
        <f t="shared" si="3"/>
        <v>Clear</v>
      </c>
      <c r="R86" s="41" t="str">
        <f>IF(I86=1,"Normal",IF(I86=2,"Yellow Alert",IF(I86=3,"Orange Alert",IF(I86=4,"Red Alert"))))</f>
        <v>Normal</v>
      </c>
      <c r="S86" s="60">
        <f t="shared" si="4"/>
        <v>4</v>
      </c>
      <c r="T86" s="60">
        <f>MONTH(dataset_1!B:B)</f>
        <v>1</v>
      </c>
      <c r="U86" s="60">
        <f t="shared" si="5"/>
        <v>2011</v>
      </c>
      <c r="V86" s="59" t="str">
        <f>TEXT(F86/24,"H AM/PM")</f>
        <v>4 PM</v>
      </c>
      <c r="W86" s="59" t="str">
        <f>IF(H86=6,"Saturday",IF(H86=0,"Sunday",IF(H86=1,"Monday",IF(H86=2,"Tuesday",IF(H86=3,"Wednesday",IF(H86=4,"Thursday",IF(H86=5,"Friday")))))))</f>
        <v>Tuesday</v>
      </c>
      <c r="X86" s="59" t="str">
        <f>IF(G86=FALSE,"Working day", IF(G86=TRUE,"Holiday"))</f>
        <v>Working day</v>
      </c>
    </row>
    <row r="87" spans="1:24" x14ac:dyDescent="0.25">
      <c r="A87" s="32">
        <v>86</v>
      </c>
      <c r="B87" s="33">
        <v>40547</v>
      </c>
      <c r="C87" s="26">
        <v>1</v>
      </c>
      <c r="D87" s="26">
        <v>0</v>
      </c>
      <c r="E87" s="26">
        <v>1</v>
      </c>
      <c r="F87" s="26">
        <v>17</v>
      </c>
      <c r="G87" s="26" t="b">
        <v>0</v>
      </c>
      <c r="H87" s="26">
        <v>2</v>
      </c>
      <c r="I87" s="26">
        <v>1</v>
      </c>
      <c r="J87" s="26">
        <v>0.28000000000000003</v>
      </c>
      <c r="K87" s="26">
        <v>0.2576</v>
      </c>
      <c r="L87" s="26">
        <v>0.48</v>
      </c>
      <c r="M87">
        <v>0.22389999999999999</v>
      </c>
      <c r="N87" s="26">
        <v>10</v>
      </c>
      <c r="O87" s="26">
        <v>202</v>
      </c>
      <c r="P87" s="26">
        <v>212</v>
      </c>
      <c r="Q87" s="34" t="str">
        <f t="shared" si="3"/>
        <v>Clear</v>
      </c>
      <c r="R87" s="41" t="str">
        <f>IF(I87=1,"Normal",IF(I87=2,"Yellow Alert",IF(I87=3,"Orange Alert",IF(I87=4,"Red Alert"))))</f>
        <v>Normal</v>
      </c>
      <c r="S87" s="60">
        <f t="shared" si="4"/>
        <v>4</v>
      </c>
      <c r="T87" s="60">
        <f>MONTH(dataset_1!B:B)</f>
        <v>1</v>
      </c>
      <c r="U87" s="60">
        <f t="shared" si="5"/>
        <v>2011</v>
      </c>
      <c r="V87" s="59" t="str">
        <f>TEXT(F87/24,"H AM/PM")</f>
        <v>5 PM</v>
      </c>
      <c r="W87" s="59" t="str">
        <f>IF(H87=6,"Saturday",IF(H87=0,"Sunday",IF(H87=1,"Monday",IF(H87=2,"Tuesday",IF(H87=3,"Wednesday",IF(H87=4,"Thursday",IF(H87=5,"Friday")))))))</f>
        <v>Tuesday</v>
      </c>
      <c r="X87" s="59" t="str">
        <f>IF(G87=FALSE,"Working day", IF(G87=TRUE,"Holiday"))</f>
        <v>Working day</v>
      </c>
    </row>
    <row r="88" spans="1:24" x14ac:dyDescent="0.25">
      <c r="A88" s="32">
        <v>87</v>
      </c>
      <c r="B88" s="33">
        <v>40547</v>
      </c>
      <c r="C88" s="26">
        <v>1</v>
      </c>
      <c r="D88" s="26">
        <v>0</v>
      </c>
      <c r="E88" s="26">
        <v>1</v>
      </c>
      <c r="F88" s="26">
        <v>18</v>
      </c>
      <c r="G88" s="26" t="b">
        <v>0</v>
      </c>
      <c r="H88" s="26">
        <v>2</v>
      </c>
      <c r="I88" s="26">
        <v>1</v>
      </c>
      <c r="J88" s="26">
        <v>0.26</v>
      </c>
      <c r="K88" s="26">
        <v>0.2576</v>
      </c>
      <c r="L88" s="26">
        <v>0.48</v>
      </c>
      <c r="M88">
        <v>0.19400000000000001</v>
      </c>
      <c r="N88" s="26">
        <v>3</v>
      </c>
      <c r="O88" s="26">
        <v>179</v>
      </c>
      <c r="P88" s="26">
        <v>182</v>
      </c>
      <c r="Q88" s="34" t="str">
        <f t="shared" si="3"/>
        <v>Clear</v>
      </c>
      <c r="R88" s="41" t="str">
        <f>IF(I88=1,"Normal",IF(I88=2,"Yellow Alert",IF(I88=3,"Orange Alert",IF(I88=4,"Red Alert"))))</f>
        <v>Normal</v>
      </c>
      <c r="S88" s="60">
        <f t="shared" si="4"/>
        <v>4</v>
      </c>
      <c r="T88" s="60">
        <f>MONTH(dataset_1!B:B)</f>
        <v>1</v>
      </c>
      <c r="U88" s="60">
        <f t="shared" si="5"/>
        <v>2011</v>
      </c>
      <c r="V88" s="59" t="str">
        <f>TEXT(F88/24,"H AM/PM")</f>
        <v>6 PM</v>
      </c>
      <c r="W88" s="59" t="str">
        <f>IF(H88=6,"Saturday",IF(H88=0,"Sunday",IF(H88=1,"Monday",IF(H88=2,"Tuesday",IF(H88=3,"Wednesday",IF(H88=4,"Thursday",IF(H88=5,"Friday")))))))</f>
        <v>Tuesday</v>
      </c>
      <c r="X88" s="59" t="str">
        <f>IF(G88=FALSE,"Working day", IF(G88=TRUE,"Holiday"))</f>
        <v>Working day</v>
      </c>
    </row>
    <row r="89" spans="1:24" x14ac:dyDescent="0.25">
      <c r="A89" s="32">
        <v>88</v>
      </c>
      <c r="B89" s="33">
        <v>40547</v>
      </c>
      <c r="C89" s="26">
        <v>1</v>
      </c>
      <c r="D89" s="26">
        <v>0</v>
      </c>
      <c r="E89" s="26">
        <v>1</v>
      </c>
      <c r="F89" s="26">
        <v>19</v>
      </c>
      <c r="G89" s="26" t="b">
        <v>0</v>
      </c>
      <c r="H89" s="26">
        <v>2</v>
      </c>
      <c r="I89" s="26">
        <v>1</v>
      </c>
      <c r="J89" s="26">
        <v>0.24</v>
      </c>
      <c r="K89" s="26">
        <v>0.2576</v>
      </c>
      <c r="L89" s="26">
        <v>0.48</v>
      </c>
      <c r="M89">
        <v>0.1045</v>
      </c>
      <c r="N89" s="26">
        <v>2</v>
      </c>
      <c r="O89" s="26">
        <v>110</v>
      </c>
      <c r="P89" s="26">
        <v>112</v>
      </c>
      <c r="Q89" s="34" t="str">
        <f t="shared" si="3"/>
        <v>Clear</v>
      </c>
      <c r="R89" s="41" t="str">
        <f>IF(I89=1,"Normal",IF(I89=2,"Yellow Alert",IF(I89=3,"Orange Alert",IF(I89=4,"Red Alert"))))</f>
        <v>Normal</v>
      </c>
      <c r="S89" s="60">
        <f t="shared" si="4"/>
        <v>4</v>
      </c>
      <c r="T89" s="60">
        <f>MONTH(dataset_1!B:B)</f>
        <v>1</v>
      </c>
      <c r="U89" s="60">
        <f t="shared" si="5"/>
        <v>2011</v>
      </c>
      <c r="V89" s="59" t="str">
        <f>TEXT(F89/24,"H AM/PM")</f>
        <v>7 PM</v>
      </c>
      <c r="W89" s="59" t="str">
        <f>IF(H89=6,"Saturday",IF(H89=0,"Sunday",IF(H89=1,"Monday",IF(H89=2,"Tuesday",IF(H89=3,"Wednesday",IF(H89=4,"Thursday",IF(H89=5,"Friday")))))))</f>
        <v>Tuesday</v>
      </c>
      <c r="X89" s="59" t="str">
        <f>IF(G89=FALSE,"Working day", IF(G89=TRUE,"Holiday"))</f>
        <v>Working day</v>
      </c>
    </row>
    <row r="90" spans="1:24" x14ac:dyDescent="0.25">
      <c r="A90" s="32">
        <v>89</v>
      </c>
      <c r="B90" s="33">
        <v>40547</v>
      </c>
      <c r="C90" s="26">
        <v>1</v>
      </c>
      <c r="D90" s="26">
        <v>0</v>
      </c>
      <c r="E90" s="26">
        <v>1</v>
      </c>
      <c r="F90" s="26">
        <v>20</v>
      </c>
      <c r="G90" s="26" t="b">
        <v>0</v>
      </c>
      <c r="H90" s="26">
        <v>2</v>
      </c>
      <c r="I90" s="26">
        <v>1</v>
      </c>
      <c r="J90" s="26">
        <v>0.24</v>
      </c>
      <c r="K90" s="26">
        <v>0.2727</v>
      </c>
      <c r="L90" s="26">
        <v>0.48</v>
      </c>
      <c r="M90">
        <v>0.1045</v>
      </c>
      <c r="N90" s="26">
        <v>1</v>
      </c>
      <c r="O90" s="26">
        <v>53</v>
      </c>
      <c r="P90" s="26">
        <v>54</v>
      </c>
      <c r="Q90" s="34" t="str">
        <f t="shared" si="3"/>
        <v>Clear</v>
      </c>
      <c r="R90" s="41" t="str">
        <f>IF(I90=1,"Normal",IF(I90=2,"Yellow Alert",IF(I90=3,"Orange Alert",IF(I90=4,"Red Alert"))))</f>
        <v>Normal</v>
      </c>
      <c r="S90" s="60">
        <f t="shared" si="4"/>
        <v>4</v>
      </c>
      <c r="T90" s="60">
        <f>MONTH(dataset_1!B:B)</f>
        <v>1</v>
      </c>
      <c r="U90" s="60">
        <f t="shared" si="5"/>
        <v>2011</v>
      </c>
      <c r="V90" s="59" t="str">
        <f>TEXT(F90/24,"H AM/PM")</f>
        <v>8 PM</v>
      </c>
      <c r="W90" s="59" t="str">
        <f>IF(H90=6,"Saturday",IF(H90=0,"Sunday",IF(H90=1,"Monday",IF(H90=2,"Tuesday",IF(H90=3,"Wednesday",IF(H90=4,"Thursday",IF(H90=5,"Friday")))))))</f>
        <v>Tuesday</v>
      </c>
      <c r="X90" s="59" t="str">
        <f>IF(G90=FALSE,"Working day", IF(G90=TRUE,"Holiday"))</f>
        <v>Working day</v>
      </c>
    </row>
    <row r="91" spans="1:24" x14ac:dyDescent="0.25">
      <c r="A91" s="32">
        <v>90</v>
      </c>
      <c r="B91" s="33">
        <v>40547</v>
      </c>
      <c r="C91" s="26">
        <v>1</v>
      </c>
      <c r="D91" s="26">
        <v>0</v>
      </c>
      <c r="E91" s="26">
        <v>1</v>
      </c>
      <c r="F91" s="26">
        <v>21</v>
      </c>
      <c r="G91" s="26" t="b">
        <v>0</v>
      </c>
      <c r="H91" s="26">
        <v>2</v>
      </c>
      <c r="I91" s="26">
        <v>1</v>
      </c>
      <c r="J91" s="26">
        <v>0.22</v>
      </c>
      <c r="K91" s="26">
        <v>0.2576</v>
      </c>
      <c r="L91" s="26">
        <v>0.64</v>
      </c>
      <c r="M91">
        <v>0</v>
      </c>
      <c r="N91" s="26">
        <v>0</v>
      </c>
      <c r="O91" s="26">
        <v>48</v>
      </c>
      <c r="P91" s="26">
        <v>48</v>
      </c>
      <c r="Q91" s="34" t="str">
        <f t="shared" si="3"/>
        <v>Clear</v>
      </c>
      <c r="R91" s="41" t="str">
        <f>IF(I91=1,"Normal",IF(I91=2,"Yellow Alert",IF(I91=3,"Orange Alert",IF(I91=4,"Red Alert"))))</f>
        <v>Normal</v>
      </c>
      <c r="S91" s="60">
        <f t="shared" si="4"/>
        <v>4</v>
      </c>
      <c r="T91" s="60">
        <f>MONTH(dataset_1!B:B)</f>
        <v>1</v>
      </c>
      <c r="U91" s="60">
        <f t="shared" si="5"/>
        <v>2011</v>
      </c>
      <c r="V91" s="59" t="str">
        <f>TEXT(F91/24,"H AM/PM")</f>
        <v>9 PM</v>
      </c>
      <c r="W91" s="59" t="str">
        <f>IF(H91=6,"Saturday",IF(H91=0,"Sunday",IF(H91=1,"Monday",IF(H91=2,"Tuesday",IF(H91=3,"Wednesday",IF(H91=4,"Thursday",IF(H91=5,"Friday")))))))</f>
        <v>Tuesday</v>
      </c>
      <c r="X91" s="59" t="str">
        <f>IF(G91=FALSE,"Working day", IF(G91=TRUE,"Holiday"))</f>
        <v>Working day</v>
      </c>
    </row>
    <row r="92" spans="1:24" x14ac:dyDescent="0.25">
      <c r="A92" s="32">
        <v>91</v>
      </c>
      <c r="B92" s="33">
        <v>40547</v>
      </c>
      <c r="C92" s="26">
        <v>1</v>
      </c>
      <c r="D92" s="26">
        <v>0</v>
      </c>
      <c r="E92" s="26">
        <v>1</v>
      </c>
      <c r="F92" s="26">
        <v>22</v>
      </c>
      <c r="G92" s="26" t="b">
        <v>0</v>
      </c>
      <c r="H92" s="26">
        <v>2</v>
      </c>
      <c r="I92" s="26">
        <v>1</v>
      </c>
      <c r="J92" s="26">
        <v>0.22</v>
      </c>
      <c r="K92" s="26">
        <v>0.2273</v>
      </c>
      <c r="L92" s="26">
        <v>0.64</v>
      </c>
      <c r="M92">
        <v>8.9599999999999999E-2</v>
      </c>
      <c r="N92" s="26">
        <v>1</v>
      </c>
      <c r="O92" s="26">
        <v>34</v>
      </c>
      <c r="P92" s="26">
        <v>35</v>
      </c>
      <c r="Q92" s="34" t="str">
        <f t="shared" si="3"/>
        <v>Clear</v>
      </c>
      <c r="R92" s="41" t="str">
        <f>IF(I92=1,"Normal",IF(I92=2,"Yellow Alert",IF(I92=3,"Orange Alert",IF(I92=4,"Red Alert"))))</f>
        <v>Normal</v>
      </c>
      <c r="S92" s="60">
        <f t="shared" si="4"/>
        <v>4</v>
      </c>
      <c r="T92" s="60">
        <f>MONTH(dataset_1!B:B)</f>
        <v>1</v>
      </c>
      <c r="U92" s="60">
        <f t="shared" si="5"/>
        <v>2011</v>
      </c>
      <c r="V92" s="59" t="str">
        <f>TEXT(F92/24,"H AM/PM")</f>
        <v>10 PM</v>
      </c>
      <c r="W92" s="59" t="str">
        <f>IF(H92=6,"Saturday",IF(H92=0,"Sunday",IF(H92=1,"Monday",IF(H92=2,"Tuesday",IF(H92=3,"Wednesday",IF(H92=4,"Thursday",IF(H92=5,"Friday")))))))</f>
        <v>Tuesday</v>
      </c>
      <c r="X92" s="59" t="str">
        <f>IF(G92=FALSE,"Working day", IF(G92=TRUE,"Holiday"))</f>
        <v>Working day</v>
      </c>
    </row>
    <row r="93" spans="1:24" x14ac:dyDescent="0.25">
      <c r="A93" s="32">
        <v>92</v>
      </c>
      <c r="B93" s="33">
        <v>40547</v>
      </c>
      <c r="C93" s="26">
        <v>1</v>
      </c>
      <c r="D93" s="26">
        <v>0</v>
      </c>
      <c r="E93" s="26">
        <v>1</v>
      </c>
      <c r="F93" s="26">
        <v>23</v>
      </c>
      <c r="G93" s="26" t="b">
        <v>0</v>
      </c>
      <c r="H93" s="26">
        <v>2</v>
      </c>
      <c r="I93" s="26">
        <v>1</v>
      </c>
      <c r="J93" s="26">
        <v>0.2</v>
      </c>
      <c r="K93" s="26">
        <v>0.2576</v>
      </c>
      <c r="L93" s="26">
        <v>0.69</v>
      </c>
      <c r="M93">
        <v>8.9599999999999999E-2</v>
      </c>
      <c r="N93" s="26">
        <v>2</v>
      </c>
      <c r="O93" s="26">
        <v>9</v>
      </c>
      <c r="P93" s="26">
        <v>11</v>
      </c>
      <c r="Q93" s="34" t="str">
        <f t="shared" si="3"/>
        <v>Clear</v>
      </c>
      <c r="R93" s="41" t="str">
        <f>IF(I93=1,"Normal",IF(I93=2,"Yellow Alert",IF(I93=3,"Orange Alert",IF(I93=4,"Red Alert"))))</f>
        <v>Normal</v>
      </c>
      <c r="S93" s="60">
        <f t="shared" si="4"/>
        <v>4</v>
      </c>
      <c r="T93" s="60">
        <f>MONTH(dataset_1!B:B)</f>
        <v>1</v>
      </c>
      <c r="U93" s="60">
        <f t="shared" si="5"/>
        <v>2011</v>
      </c>
      <c r="V93" s="59" t="str">
        <f>TEXT(F93/24,"H AM/PM")</f>
        <v>11 PM</v>
      </c>
      <c r="W93" s="59" t="str">
        <f>IF(H93=6,"Saturday",IF(H93=0,"Sunday",IF(H93=1,"Monday",IF(H93=2,"Tuesday",IF(H93=3,"Wednesday",IF(H93=4,"Thursday",IF(H93=5,"Friday")))))))</f>
        <v>Tuesday</v>
      </c>
      <c r="X93" s="59" t="str">
        <f>IF(G93=FALSE,"Working day", IF(G93=TRUE,"Holiday"))</f>
        <v>Working day</v>
      </c>
    </row>
    <row r="94" spans="1:24" x14ac:dyDescent="0.25">
      <c r="A94" s="32">
        <v>93</v>
      </c>
      <c r="B94" s="33">
        <v>40548</v>
      </c>
      <c r="C94" s="26">
        <v>1</v>
      </c>
      <c r="D94" s="26">
        <v>0</v>
      </c>
      <c r="E94" s="26">
        <v>1</v>
      </c>
      <c r="F94" s="26">
        <v>0</v>
      </c>
      <c r="G94" s="26" t="b">
        <v>0</v>
      </c>
      <c r="H94" s="26">
        <v>3</v>
      </c>
      <c r="I94" s="26">
        <v>1</v>
      </c>
      <c r="J94" s="26">
        <v>0.2</v>
      </c>
      <c r="K94" s="26">
        <v>0.19700000000000001</v>
      </c>
      <c r="L94" s="26">
        <v>0.64</v>
      </c>
      <c r="M94">
        <v>0</v>
      </c>
      <c r="N94" s="26">
        <v>0</v>
      </c>
      <c r="O94" s="26">
        <v>6</v>
      </c>
      <c r="P94" s="26">
        <v>6</v>
      </c>
      <c r="Q94" s="34" t="str">
        <f t="shared" si="3"/>
        <v>Clear</v>
      </c>
      <c r="R94" s="41" t="str">
        <f>IF(I94=1,"Normal",IF(I94=2,"Yellow Alert",IF(I94=3,"Orange Alert",IF(I94=4,"Red Alert"))))</f>
        <v>Normal</v>
      </c>
      <c r="S94" s="60">
        <f t="shared" si="4"/>
        <v>5</v>
      </c>
      <c r="T94" s="60">
        <f>MONTH(dataset_1!B:B)</f>
        <v>1</v>
      </c>
      <c r="U94" s="60">
        <f t="shared" si="5"/>
        <v>2011</v>
      </c>
      <c r="V94" s="59" t="str">
        <f>TEXT(F94/24,"H AM/PM")</f>
        <v>12 AM</v>
      </c>
      <c r="W94" s="59" t="str">
        <f>IF(H94=6,"Saturday",IF(H94=0,"Sunday",IF(H94=1,"Monday",IF(H94=2,"Tuesday",IF(H94=3,"Wednesday",IF(H94=4,"Thursday",IF(H94=5,"Friday")))))))</f>
        <v>Wednesday</v>
      </c>
      <c r="X94" s="59" t="str">
        <f>IF(G94=FALSE,"Working day", IF(G94=TRUE,"Holiday"))</f>
        <v>Working day</v>
      </c>
    </row>
    <row r="95" spans="1:24" x14ac:dyDescent="0.25">
      <c r="A95" s="32">
        <v>94</v>
      </c>
      <c r="B95" s="33">
        <v>40548</v>
      </c>
      <c r="C95" s="26">
        <v>1</v>
      </c>
      <c r="D95" s="26">
        <v>0</v>
      </c>
      <c r="E95" s="26">
        <v>1</v>
      </c>
      <c r="F95" s="26">
        <v>1</v>
      </c>
      <c r="G95" s="26" t="b">
        <v>0</v>
      </c>
      <c r="H95" s="26">
        <v>3</v>
      </c>
      <c r="I95" s="26">
        <v>1</v>
      </c>
      <c r="J95" s="26">
        <v>0.16</v>
      </c>
      <c r="K95" s="26">
        <v>0.19700000000000001</v>
      </c>
      <c r="L95" s="26">
        <v>0.74</v>
      </c>
      <c r="M95">
        <v>8.9599999999999999E-2</v>
      </c>
      <c r="N95" s="26">
        <v>0</v>
      </c>
      <c r="O95" s="26">
        <v>6</v>
      </c>
      <c r="P95" s="26">
        <v>6</v>
      </c>
      <c r="Q95" s="34" t="str">
        <f t="shared" si="3"/>
        <v>Clear</v>
      </c>
      <c r="R95" s="41" t="str">
        <f>IF(I95=1,"Normal",IF(I95=2,"Yellow Alert",IF(I95=3,"Orange Alert",IF(I95=4,"Red Alert"))))</f>
        <v>Normal</v>
      </c>
      <c r="S95" s="60">
        <f t="shared" si="4"/>
        <v>5</v>
      </c>
      <c r="T95" s="60">
        <f>MONTH(dataset_1!B:B)</f>
        <v>1</v>
      </c>
      <c r="U95" s="60">
        <f t="shared" si="5"/>
        <v>2011</v>
      </c>
      <c r="V95" s="59" t="str">
        <f>TEXT(F95/24,"H AM/PM")</f>
        <v>1 AM</v>
      </c>
      <c r="W95" s="59" t="str">
        <f>IF(H95=6,"Saturday",IF(H95=0,"Sunday",IF(H95=1,"Monday",IF(H95=2,"Tuesday",IF(H95=3,"Wednesday",IF(H95=4,"Thursday",IF(H95=5,"Friday")))))))</f>
        <v>Wednesday</v>
      </c>
      <c r="X95" s="59" t="str">
        <f>IF(G95=FALSE,"Working day", IF(G95=TRUE,"Holiday"))</f>
        <v>Working day</v>
      </c>
    </row>
    <row r="96" spans="1:24" x14ac:dyDescent="0.25">
      <c r="A96" s="32">
        <v>95</v>
      </c>
      <c r="B96" s="33">
        <v>40548</v>
      </c>
      <c r="C96" s="26">
        <v>1</v>
      </c>
      <c r="D96" s="26">
        <v>0</v>
      </c>
      <c r="E96" s="26">
        <v>1</v>
      </c>
      <c r="F96" s="26">
        <v>2</v>
      </c>
      <c r="G96" s="26" t="b">
        <v>0</v>
      </c>
      <c r="H96" s="26">
        <v>3</v>
      </c>
      <c r="I96" s="26">
        <v>1</v>
      </c>
      <c r="J96" s="26">
        <v>0.16</v>
      </c>
      <c r="K96" s="26">
        <v>0.2273</v>
      </c>
      <c r="L96" s="26">
        <v>0.74</v>
      </c>
      <c r="M96">
        <v>8.9599999999999999E-2</v>
      </c>
      <c r="N96" s="26">
        <v>0</v>
      </c>
      <c r="O96" s="26">
        <v>2</v>
      </c>
      <c r="P96" s="26">
        <v>2</v>
      </c>
      <c r="Q96" s="34" t="str">
        <f t="shared" si="3"/>
        <v>Clear</v>
      </c>
      <c r="R96" s="41" t="str">
        <f>IF(I96=1,"Normal",IF(I96=2,"Yellow Alert",IF(I96=3,"Orange Alert",IF(I96=4,"Red Alert"))))</f>
        <v>Normal</v>
      </c>
      <c r="S96" s="60">
        <f t="shared" si="4"/>
        <v>5</v>
      </c>
      <c r="T96" s="60">
        <f>MONTH(dataset_1!B:B)</f>
        <v>1</v>
      </c>
      <c r="U96" s="60">
        <f t="shared" si="5"/>
        <v>2011</v>
      </c>
      <c r="V96" s="59" t="str">
        <f>TEXT(F96/24,"H AM/PM")</f>
        <v>2 AM</v>
      </c>
      <c r="W96" s="59" t="str">
        <f>IF(H96=6,"Saturday",IF(H96=0,"Sunday",IF(H96=1,"Monday",IF(H96=2,"Tuesday",IF(H96=3,"Wednesday",IF(H96=4,"Thursday",IF(H96=5,"Friday")))))))</f>
        <v>Wednesday</v>
      </c>
      <c r="X96" s="59" t="str">
        <f>IF(G96=FALSE,"Working day", IF(G96=TRUE,"Holiday"))</f>
        <v>Working day</v>
      </c>
    </row>
    <row r="97" spans="1:24" x14ac:dyDescent="0.25">
      <c r="A97" s="32">
        <v>96</v>
      </c>
      <c r="B97" s="33">
        <v>40548</v>
      </c>
      <c r="C97" s="26">
        <v>1</v>
      </c>
      <c r="D97" s="26">
        <v>0</v>
      </c>
      <c r="E97" s="26">
        <v>1</v>
      </c>
      <c r="F97" s="26">
        <v>4</v>
      </c>
      <c r="G97" s="26" t="b">
        <v>0</v>
      </c>
      <c r="H97" s="26">
        <v>3</v>
      </c>
      <c r="I97" s="26">
        <v>1</v>
      </c>
      <c r="J97" s="26">
        <v>0.24</v>
      </c>
      <c r="K97" s="26">
        <v>0.2273</v>
      </c>
      <c r="L97" s="26">
        <v>0.48</v>
      </c>
      <c r="M97">
        <v>0.22389999999999999</v>
      </c>
      <c r="N97" s="26">
        <v>0</v>
      </c>
      <c r="O97" s="26">
        <v>2</v>
      </c>
      <c r="P97" s="26">
        <v>2</v>
      </c>
      <c r="Q97" s="34" t="str">
        <f t="shared" si="3"/>
        <v>Clear</v>
      </c>
      <c r="R97" s="41" t="str">
        <f>IF(I97=1,"Normal",IF(I97=2,"Yellow Alert",IF(I97=3,"Orange Alert",IF(I97=4,"Red Alert"))))</f>
        <v>Normal</v>
      </c>
      <c r="S97" s="60">
        <f t="shared" si="4"/>
        <v>5</v>
      </c>
      <c r="T97" s="60">
        <f>MONTH(dataset_1!B:B)</f>
        <v>1</v>
      </c>
      <c r="U97" s="60">
        <f t="shared" si="5"/>
        <v>2011</v>
      </c>
      <c r="V97" s="59" t="str">
        <f>TEXT(F97/24,"H AM/PM")</f>
        <v>4 AM</v>
      </c>
      <c r="W97" s="59" t="str">
        <f>IF(H97=6,"Saturday",IF(H97=0,"Sunday",IF(H97=1,"Monday",IF(H97=2,"Tuesday",IF(H97=3,"Wednesday",IF(H97=4,"Thursday",IF(H97=5,"Friday")))))))</f>
        <v>Wednesday</v>
      </c>
      <c r="X97" s="59" t="str">
        <f>IF(G97=FALSE,"Working day", IF(G97=TRUE,"Holiday"))</f>
        <v>Working day</v>
      </c>
    </row>
    <row r="98" spans="1:24" x14ac:dyDescent="0.25">
      <c r="A98" s="32">
        <v>97</v>
      </c>
      <c r="B98" s="33">
        <v>40548</v>
      </c>
      <c r="C98" s="26">
        <v>1</v>
      </c>
      <c r="D98" s="26">
        <v>0</v>
      </c>
      <c r="E98" s="26">
        <v>1</v>
      </c>
      <c r="F98" s="26">
        <v>5</v>
      </c>
      <c r="G98" s="26" t="b">
        <v>0</v>
      </c>
      <c r="H98" s="26">
        <v>3</v>
      </c>
      <c r="I98" s="26">
        <v>1</v>
      </c>
      <c r="J98" s="26">
        <v>0.22</v>
      </c>
      <c r="K98" s="26">
        <v>0.19700000000000001</v>
      </c>
      <c r="L98" s="26">
        <v>0.47</v>
      </c>
      <c r="M98">
        <v>0.16420000000000001</v>
      </c>
      <c r="N98" s="26">
        <v>0</v>
      </c>
      <c r="O98" s="26">
        <v>3</v>
      </c>
      <c r="P98" s="26">
        <v>3</v>
      </c>
      <c r="Q98" s="34" t="str">
        <f t="shared" si="3"/>
        <v>Clear</v>
      </c>
      <c r="R98" s="41" t="str">
        <f>IF(I98=1,"Normal",IF(I98=2,"Yellow Alert",IF(I98=3,"Orange Alert",IF(I98=4,"Red Alert"))))</f>
        <v>Normal</v>
      </c>
      <c r="S98" s="60">
        <f t="shared" si="4"/>
        <v>5</v>
      </c>
      <c r="T98" s="60">
        <f>MONTH(dataset_1!B:B)</f>
        <v>1</v>
      </c>
      <c r="U98" s="60">
        <f t="shared" si="5"/>
        <v>2011</v>
      </c>
      <c r="V98" s="59" t="str">
        <f>TEXT(F98/24,"H AM/PM")</f>
        <v>5 AM</v>
      </c>
      <c r="W98" s="59" t="str">
        <f>IF(H98=6,"Saturday",IF(H98=0,"Sunday",IF(H98=1,"Monday",IF(H98=2,"Tuesday",IF(H98=3,"Wednesday",IF(H98=4,"Thursday",IF(H98=5,"Friday")))))))</f>
        <v>Wednesday</v>
      </c>
      <c r="X98" s="59" t="str">
        <f>IF(G98=FALSE,"Working day", IF(G98=TRUE,"Holiday"))</f>
        <v>Working day</v>
      </c>
    </row>
    <row r="99" spans="1:24" x14ac:dyDescent="0.25">
      <c r="A99" s="32">
        <v>98</v>
      </c>
      <c r="B99" s="33">
        <v>40548</v>
      </c>
      <c r="C99" s="26">
        <v>1</v>
      </c>
      <c r="D99" s="26">
        <v>0</v>
      </c>
      <c r="E99" s="26">
        <v>1</v>
      </c>
      <c r="F99" s="26">
        <v>6</v>
      </c>
      <c r="G99" s="26" t="b">
        <v>0</v>
      </c>
      <c r="H99" s="26">
        <v>3</v>
      </c>
      <c r="I99" s="26">
        <v>1</v>
      </c>
      <c r="J99" s="26">
        <v>0.2</v>
      </c>
      <c r="K99" s="26">
        <v>0.18179999999999999</v>
      </c>
      <c r="L99" s="26">
        <v>0.47</v>
      </c>
      <c r="M99">
        <v>0.22389999999999999</v>
      </c>
      <c r="N99" s="26">
        <v>0</v>
      </c>
      <c r="O99" s="26">
        <v>33</v>
      </c>
      <c r="P99" s="26">
        <v>33</v>
      </c>
      <c r="Q99" s="34" t="str">
        <f t="shared" si="3"/>
        <v>Clear</v>
      </c>
      <c r="R99" s="41" t="str">
        <f>IF(I99=1,"Normal",IF(I99=2,"Yellow Alert",IF(I99=3,"Orange Alert",IF(I99=4,"Red Alert"))))</f>
        <v>Normal</v>
      </c>
      <c r="S99" s="60">
        <f t="shared" si="4"/>
        <v>5</v>
      </c>
      <c r="T99" s="60">
        <f>MONTH(dataset_1!B:B)</f>
        <v>1</v>
      </c>
      <c r="U99" s="60">
        <f t="shared" si="5"/>
        <v>2011</v>
      </c>
      <c r="V99" s="59" t="str">
        <f>TEXT(F99/24,"H AM/PM")</f>
        <v>6 AM</v>
      </c>
      <c r="W99" s="59" t="str">
        <f>IF(H99=6,"Saturday",IF(H99=0,"Sunday",IF(H99=1,"Monday",IF(H99=2,"Tuesday",IF(H99=3,"Wednesday",IF(H99=4,"Thursday",IF(H99=5,"Friday")))))))</f>
        <v>Wednesday</v>
      </c>
      <c r="X99" s="59" t="str">
        <f>IF(G99=FALSE,"Working day", IF(G99=TRUE,"Holiday"))</f>
        <v>Working day</v>
      </c>
    </row>
    <row r="100" spans="1:24" x14ac:dyDescent="0.25">
      <c r="A100" s="32">
        <v>99</v>
      </c>
      <c r="B100" s="33">
        <v>40548</v>
      </c>
      <c r="C100" s="26">
        <v>1</v>
      </c>
      <c r="D100" s="26">
        <v>0</v>
      </c>
      <c r="E100" s="26">
        <v>1</v>
      </c>
      <c r="F100" s="26">
        <v>7</v>
      </c>
      <c r="G100" s="26" t="b">
        <v>0</v>
      </c>
      <c r="H100" s="26">
        <v>3</v>
      </c>
      <c r="I100" s="26">
        <v>1</v>
      </c>
      <c r="J100" s="26">
        <v>0.18</v>
      </c>
      <c r="K100" s="26">
        <v>0.18179999999999999</v>
      </c>
      <c r="L100" s="26">
        <v>0.43</v>
      </c>
      <c r="M100">
        <v>0.19400000000000001</v>
      </c>
      <c r="N100" s="26">
        <v>1</v>
      </c>
      <c r="O100" s="26">
        <v>87</v>
      </c>
      <c r="P100" s="26">
        <v>88</v>
      </c>
      <c r="Q100" s="34" t="str">
        <f t="shared" si="3"/>
        <v>Clear</v>
      </c>
      <c r="R100" s="41" t="str">
        <f>IF(I100=1,"Normal",IF(I100=2,"Yellow Alert",IF(I100=3,"Orange Alert",IF(I100=4,"Red Alert"))))</f>
        <v>Normal</v>
      </c>
      <c r="S100" s="60">
        <f t="shared" si="4"/>
        <v>5</v>
      </c>
      <c r="T100" s="60">
        <f>MONTH(dataset_1!B:B)</f>
        <v>1</v>
      </c>
      <c r="U100" s="60">
        <f t="shared" si="5"/>
        <v>2011</v>
      </c>
      <c r="V100" s="59" t="str">
        <f>TEXT(F100/24,"H AM/PM")</f>
        <v>7 AM</v>
      </c>
      <c r="W100" s="59" t="str">
        <f>IF(H100=6,"Saturday",IF(H100=0,"Sunday",IF(H100=1,"Monday",IF(H100=2,"Tuesday",IF(H100=3,"Wednesday",IF(H100=4,"Thursday",IF(H100=5,"Friday")))))))</f>
        <v>Wednesday</v>
      </c>
      <c r="X100" s="59" t="str">
        <f>IF(G100=FALSE,"Working day", IF(G100=TRUE,"Holiday"))</f>
        <v>Working day</v>
      </c>
    </row>
    <row r="101" spans="1:24" x14ac:dyDescent="0.25">
      <c r="A101" s="32">
        <v>100</v>
      </c>
      <c r="B101" s="33">
        <v>40548</v>
      </c>
      <c r="C101" s="26">
        <v>1</v>
      </c>
      <c r="D101" s="26">
        <v>0</v>
      </c>
      <c r="E101" s="26">
        <v>1</v>
      </c>
      <c r="F101" s="26">
        <v>8</v>
      </c>
      <c r="G101" s="26" t="b">
        <v>0</v>
      </c>
      <c r="H101" s="26">
        <v>3</v>
      </c>
      <c r="I101" s="26">
        <v>1</v>
      </c>
      <c r="J101" s="26">
        <v>0.2</v>
      </c>
      <c r="K101" s="26">
        <v>0.19700000000000001</v>
      </c>
      <c r="L101" s="26">
        <v>0.4</v>
      </c>
      <c r="M101">
        <v>0.29849999999999999</v>
      </c>
      <c r="N101" s="26">
        <v>3</v>
      </c>
      <c r="O101" s="26">
        <v>192</v>
      </c>
      <c r="P101" s="26">
        <v>195</v>
      </c>
      <c r="Q101" s="34" t="str">
        <f t="shared" si="3"/>
        <v>Clear</v>
      </c>
      <c r="R101" s="41" t="str">
        <f>IF(I101=1,"Normal",IF(I101=2,"Yellow Alert",IF(I101=3,"Orange Alert",IF(I101=4,"Red Alert"))))</f>
        <v>Normal</v>
      </c>
      <c r="S101" s="60">
        <f t="shared" si="4"/>
        <v>5</v>
      </c>
      <c r="T101" s="60">
        <f>MONTH(dataset_1!B:B)</f>
        <v>1</v>
      </c>
      <c r="U101" s="60">
        <f t="shared" si="5"/>
        <v>2011</v>
      </c>
      <c r="V101" s="59" t="str">
        <f>TEXT(F101/24,"H AM/PM")</f>
        <v>8 AM</v>
      </c>
      <c r="W101" s="59" t="str">
        <f>IF(H101=6,"Saturday",IF(H101=0,"Sunday",IF(H101=1,"Monday",IF(H101=2,"Tuesday",IF(H101=3,"Wednesday",IF(H101=4,"Thursday",IF(H101=5,"Friday")))))))</f>
        <v>Wednesday</v>
      </c>
      <c r="X101" s="59" t="str">
        <f>IF(G101=FALSE,"Working day", IF(G101=TRUE,"Holiday"))</f>
        <v>Working day</v>
      </c>
    </row>
    <row r="102" spans="1:24" x14ac:dyDescent="0.25">
      <c r="A102" s="32">
        <v>101</v>
      </c>
      <c r="B102" s="33">
        <v>40548</v>
      </c>
      <c r="C102" s="26">
        <v>1</v>
      </c>
      <c r="D102" s="26">
        <v>0</v>
      </c>
      <c r="E102" s="26">
        <v>1</v>
      </c>
      <c r="F102" s="26">
        <v>9</v>
      </c>
      <c r="G102" s="26" t="b">
        <v>0</v>
      </c>
      <c r="H102" s="26">
        <v>3</v>
      </c>
      <c r="I102" s="26">
        <v>1</v>
      </c>
      <c r="J102" s="26">
        <v>0.22</v>
      </c>
      <c r="K102" s="26">
        <v>0.19700000000000001</v>
      </c>
      <c r="L102" s="26">
        <v>0.37</v>
      </c>
      <c r="M102">
        <v>0.32840000000000003</v>
      </c>
      <c r="N102" s="26">
        <v>6</v>
      </c>
      <c r="O102" s="26">
        <v>109</v>
      </c>
      <c r="P102" s="26">
        <v>115</v>
      </c>
      <c r="Q102" s="34" t="str">
        <f t="shared" si="3"/>
        <v>Clear</v>
      </c>
      <c r="R102" s="41" t="str">
        <f>IF(I102=1,"Normal",IF(I102=2,"Yellow Alert",IF(I102=3,"Orange Alert",IF(I102=4,"Red Alert"))))</f>
        <v>Normal</v>
      </c>
      <c r="S102" s="60">
        <f t="shared" si="4"/>
        <v>5</v>
      </c>
      <c r="T102" s="60">
        <f>MONTH(dataset_1!B:B)</f>
        <v>1</v>
      </c>
      <c r="U102" s="60">
        <f t="shared" si="5"/>
        <v>2011</v>
      </c>
      <c r="V102" s="59" t="str">
        <f>TEXT(F102/24,"H AM/PM")</f>
        <v>9 AM</v>
      </c>
      <c r="W102" s="59" t="str">
        <f>IF(H102=6,"Saturday",IF(H102=0,"Sunday",IF(H102=1,"Monday",IF(H102=2,"Tuesday",IF(H102=3,"Wednesday",IF(H102=4,"Thursday",IF(H102=5,"Friday")))))))</f>
        <v>Wednesday</v>
      </c>
      <c r="X102" s="59" t="str">
        <f>IF(G102=FALSE,"Working day", IF(G102=TRUE,"Holiday"))</f>
        <v>Working day</v>
      </c>
    </row>
    <row r="103" spans="1:24" x14ac:dyDescent="0.25">
      <c r="A103" s="32">
        <v>102</v>
      </c>
      <c r="B103" s="33">
        <v>40548</v>
      </c>
      <c r="C103" s="26">
        <v>1</v>
      </c>
      <c r="D103" s="26">
        <v>0</v>
      </c>
      <c r="E103" s="26">
        <v>1</v>
      </c>
      <c r="F103" s="26">
        <v>10</v>
      </c>
      <c r="G103" s="26" t="b">
        <v>0</v>
      </c>
      <c r="H103" s="26">
        <v>3</v>
      </c>
      <c r="I103" s="26">
        <v>1</v>
      </c>
      <c r="J103" s="26">
        <v>0.22</v>
      </c>
      <c r="K103" s="26">
        <v>0.2273</v>
      </c>
      <c r="L103" s="26">
        <v>0.37</v>
      </c>
      <c r="M103">
        <v>0.32840000000000003</v>
      </c>
      <c r="N103" s="26">
        <v>4</v>
      </c>
      <c r="O103" s="26">
        <v>53</v>
      </c>
      <c r="P103" s="26">
        <v>57</v>
      </c>
      <c r="Q103" s="34" t="str">
        <f t="shared" si="3"/>
        <v>Clear</v>
      </c>
      <c r="R103" s="41" t="str">
        <f>IF(I103=1,"Normal",IF(I103=2,"Yellow Alert",IF(I103=3,"Orange Alert",IF(I103=4,"Red Alert"))))</f>
        <v>Normal</v>
      </c>
      <c r="S103" s="60">
        <f t="shared" si="4"/>
        <v>5</v>
      </c>
      <c r="T103" s="60">
        <f>MONTH(dataset_1!B:B)</f>
        <v>1</v>
      </c>
      <c r="U103" s="60">
        <f t="shared" si="5"/>
        <v>2011</v>
      </c>
      <c r="V103" s="59" t="str">
        <f>TEXT(F103/24,"H AM/PM")</f>
        <v>10 AM</v>
      </c>
      <c r="W103" s="59" t="str">
        <f>IF(H103=6,"Saturday",IF(H103=0,"Sunday",IF(H103=1,"Monday",IF(H103=2,"Tuesday",IF(H103=3,"Wednesday",IF(H103=4,"Thursday",IF(H103=5,"Friday")))))))</f>
        <v>Wednesday</v>
      </c>
      <c r="X103" s="59" t="str">
        <f>IF(G103=FALSE,"Working day", IF(G103=TRUE,"Holiday"))</f>
        <v>Working day</v>
      </c>
    </row>
    <row r="104" spans="1:24" x14ac:dyDescent="0.25">
      <c r="A104" s="32">
        <v>103</v>
      </c>
      <c r="B104" s="33">
        <v>40548</v>
      </c>
      <c r="C104" s="26">
        <v>1</v>
      </c>
      <c r="D104" s="26">
        <v>0</v>
      </c>
      <c r="E104" s="26">
        <v>1</v>
      </c>
      <c r="F104" s="26">
        <v>11</v>
      </c>
      <c r="G104" s="26" t="b">
        <v>0</v>
      </c>
      <c r="H104" s="26">
        <v>3</v>
      </c>
      <c r="I104" s="26">
        <v>1</v>
      </c>
      <c r="J104" s="26">
        <v>0.26</v>
      </c>
      <c r="K104" s="26">
        <v>0.2273</v>
      </c>
      <c r="L104" s="26">
        <v>0.33</v>
      </c>
      <c r="M104">
        <v>0.32840000000000003</v>
      </c>
      <c r="N104" s="26">
        <v>12</v>
      </c>
      <c r="O104" s="26">
        <v>34</v>
      </c>
      <c r="P104" s="26">
        <v>46</v>
      </c>
      <c r="Q104" s="34" t="str">
        <f t="shared" si="3"/>
        <v>Clear</v>
      </c>
      <c r="R104" s="41" t="str">
        <f>IF(I104=1,"Normal",IF(I104=2,"Yellow Alert",IF(I104=3,"Orange Alert",IF(I104=4,"Red Alert"))))</f>
        <v>Normal</v>
      </c>
      <c r="S104" s="60">
        <f t="shared" si="4"/>
        <v>5</v>
      </c>
      <c r="T104" s="60">
        <f>MONTH(dataset_1!B:B)</f>
        <v>1</v>
      </c>
      <c r="U104" s="60">
        <f t="shared" si="5"/>
        <v>2011</v>
      </c>
      <c r="V104" s="59" t="str">
        <f>TEXT(F104/24,"H AM/PM")</f>
        <v>11 AM</v>
      </c>
      <c r="W104" s="59" t="str">
        <f>IF(H104=6,"Saturday",IF(H104=0,"Sunday",IF(H104=1,"Monday",IF(H104=2,"Tuesday",IF(H104=3,"Wednesday",IF(H104=4,"Thursday",IF(H104=5,"Friday")))))))</f>
        <v>Wednesday</v>
      </c>
      <c r="X104" s="59" t="str">
        <f>IF(G104=FALSE,"Working day", IF(G104=TRUE,"Holiday"))</f>
        <v>Working day</v>
      </c>
    </row>
    <row r="105" spans="1:24" x14ac:dyDescent="0.25">
      <c r="A105" s="32">
        <v>104</v>
      </c>
      <c r="B105" s="33">
        <v>40548</v>
      </c>
      <c r="C105" s="26">
        <v>1</v>
      </c>
      <c r="D105" s="26">
        <v>0</v>
      </c>
      <c r="E105" s="26">
        <v>1</v>
      </c>
      <c r="F105" s="26">
        <v>12</v>
      </c>
      <c r="G105" s="26" t="b">
        <v>0</v>
      </c>
      <c r="H105" s="26">
        <v>3</v>
      </c>
      <c r="I105" s="26">
        <v>1</v>
      </c>
      <c r="J105" s="26">
        <v>0.26</v>
      </c>
      <c r="K105" s="26">
        <v>0.2576</v>
      </c>
      <c r="L105" s="26">
        <v>0.33</v>
      </c>
      <c r="M105">
        <v>0.32840000000000003</v>
      </c>
      <c r="N105" s="26">
        <v>5</v>
      </c>
      <c r="O105" s="26">
        <v>74</v>
      </c>
      <c r="P105" s="26">
        <v>79</v>
      </c>
      <c r="Q105" s="34" t="str">
        <f t="shared" si="3"/>
        <v>Clear</v>
      </c>
      <c r="R105" s="41" t="str">
        <f>IF(I105=1,"Normal",IF(I105=2,"Yellow Alert",IF(I105=3,"Orange Alert",IF(I105=4,"Red Alert"))))</f>
        <v>Normal</v>
      </c>
      <c r="S105" s="60">
        <f t="shared" si="4"/>
        <v>5</v>
      </c>
      <c r="T105" s="60">
        <f>MONTH(dataset_1!B:B)</f>
        <v>1</v>
      </c>
      <c r="U105" s="60">
        <f t="shared" si="5"/>
        <v>2011</v>
      </c>
      <c r="V105" s="59" t="str">
        <f>TEXT(F105/24,"H AM/PM")</f>
        <v>12 PM</v>
      </c>
      <c r="W105" s="59" t="str">
        <f>IF(H105=6,"Saturday",IF(H105=0,"Sunday",IF(H105=1,"Monday",IF(H105=2,"Tuesday",IF(H105=3,"Wednesday",IF(H105=4,"Thursday",IF(H105=5,"Friday")))))))</f>
        <v>Wednesday</v>
      </c>
      <c r="X105" s="59" t="str">
        <f>IF(G105=FALSE,"Working day", IF(G105=TRUE,"Holiday"))</f>
        <v>Working day</v>
      </c>
    </row>
    <row r="106" spans="1:24" x14ac:dyDescent="0.25">
      <c r="A106" s="32">
        <v>105</v>
      </c>
      <c r="B106" s="33">
        <v>40548</v>
      </c>
      <c r="C106" s="26">
        <v>1</v>
      </c>
      <c r="D106" s="26">
        <v>0</v>
      </c>
      <c r="E106" s="26">
        <v>1</v>
      </c>
      <c r="F106" s="26">
        <v>13</v>
      </c>
      <c r="G106" s="26" t="b">
        <v>0</v>
      </c>
      <c r="H106" s="26">
        <v>3</v>
      </c>
      <c r="I106" s="26">
        <v>1</v>
      </c>
      <c r="J106" s="26">
        <v>0.28000000000000003</v>
      </c>
      <c r="K106" s="26">
        <v>0.28789999999999999</v>
      </c>
      <c r="L106" s="26">
        <v>0.3</v>
      </c>
      <c r="M106">
        <v>0.29849999999999999</v>
      </c>
      <c r="N106" s="26">
        <v>6</v>
      </c>
      <c r="O106" s="26">
        <v>65</v>
      </c>
      <c r="P106" s="26">
        <v>71</v>
      </c>
      <c r="Q106" s="34" t="str">
        <f t="shared" si="3"/>
        <v>Clear</v>
      </c>
      <c r="R106" s="41" t="str">
        <f>IF(I106=1,"Normal",IF(I106=2,"Yellow Alert",IF(I106=3,"Orange Alert",IF(I106=4,"Red Alert"))))</f>
        <v>Normal</v>
      </c>
      <c r="S106" s="60">
        <f t="shared" si="4"/>
        <v>5</v>
      </c>
      <c r="T106" s="60">
        <f>MONTH(dataset_1!B:B)</f>
        <v>1</v>
      </c>
      <c r="U106" s="60">
        <f t="shared" si="5"/>
        <v>2011</v>
      </c>
      <c r="V106" s="59" t="str">
        <f>TEXT(F106/24,"H AM/PM")</f>
        <v>1 PM</v>
      </c>
      <c r="W106" s="59" t="str">
        <f>IF(H106=6,"Saturday",IF(H106=0,"Sunday",IF(H106=1,"Monday",IF(H106=2,"Tuesday",IF(H106=3,"Wednesday",IF(H106=4,"Thursday",IF(H106=5,"Friday")))))))</f>
        <v>Wednesday</v>
      </c>
      <c r="X106" s="59" t="str">
        <f>IF(G106=FALSE,"Working day", IF(G106=TRUE,"Holiday"))</f>
        <v>Working day</v>
      </c>
    </row>
    <row r="107" spans="1:24" x14ac:dyDescent="0.25">
      <c r="A107" s="32">
        <v>106</v>
      </c>
      <c r="B107" s="33">
        <v>40548</v>
      </c>
      <c r="C107" s="26">
        <v>1</v>
      </c>
      <c r="D107" s="26">
        <v>0</v>
      </c>
      <c r="E107" s="26">
        <v>1</v>
      </c>
      <c r="F107" s="26">
        <v>14</v>
      </c>
      <c r="G107" s="26" t="b">
        <v>0</v>
      </c>
      <c r="H107" s="26">
        <v>3</v>
      </c>
      <c r="I107" s="26">
        <v>1</v>
      </c>
      <c r="J107" s="26">
        <v>0.3</v>
      </c>
      <c r="K107" s="26">
        <v>0.28789999999999999</v>
      </c>
      <c r="L107" s="26">
        <v>0.28000000000000003</v>
      </c>
      <c r="M107">
        <v>0.19400000000000001</v>
      </c>
      <c r="N107" s="26">
        <v>10</v>
      </c>
      <c r="O107" s="26">
        <v>52</v>
      </c>
      <c r="P107" s="26">
        <v>62</v>
      </c>
      <c r="Q107" s="34" t="str">
        <f t="shared" si="3"/>
        <v>Clear</v>
      </c>
      <c r="R107" s="41" t="str">
        <f>IF(I107=1,"Normal",IF(I107=2,"Yellow Alert",IF(I107=3,"Orange Alert",IF(I107=4,"Red Alert"))))</f>
        <v>Normal</v>
      </c>
      <c r="S107" s="60">
        <f t="shared" si="4"/>
        <v>5</v>
      </c>
      <c r="T107" s="60">
        <f>MONTH(dataset_1!B:B)</f>
        <v>1</v>
      </c>
      <c r="U107" s="60">
        <f t="shared" si="5"/>
        <v>2011</v>
      </c>
      <c r="V107" s="59" t="str">
        <f>TEXT(F107/24,"H AM/PM")</f>
        <v>2 PM</v>
      </c>
      <c r="W107" s="59" t="str">
        <f>IF(H107=6,"Saturday",IF(H107=0,"Sunday",IF(H107=1,"Monday",IF(H107=2,"Tuesday",IF(H107=3,"Wednesday",IF(H107=4,"Thursday",IF(H107=5,"Friday")))))))</f>
        <v>Wednesday</v>
      </c>
      <c r="X107" s="59" t="str">
        <f>IF(G107=FALSE,"Working day", IF(G107=TRUE,"Holiday"))</f>
        <v>Working day</v>
      </c>
    </row>
    <row r="108" spans="1:24" x14ac:dyDescent="0.25">
      <c r="A108" s="32">
        <v>107</v>
      </c>
      <c r="B108" s="33">
        <v>40548</v>
      </c>
      <c r="C108" s="26">
        <v>1</v>
      </c>
      <c r="D108" s="26">
        <v>0</v>
      </c>
      <c r="E108" s="26">
        <v>1</v>
      </c>
      <c r="F108" s="26">
        <v>15</v>
      </c>
      <c r="G108" s="26" t="b">
        <v>0</v>
      </c>
      <c r="H108" s="26">
        <v>3</v>
      </c>
      <c r="I108" s="26">
        <v>1</v>
      </c>
      <c r="J108" s="26">
        <v>0.3</v>
      </c>
      <c r="K108" s="26">
        <v>0.31819999999999998</v>
      </c>
      <c r="L108" s="26">
        <v>0.28000000000000003</v>
      </c>
      <c r="M108">
        <v>0.19400000000000001</v>
      </c>
      <c r="N108" s="26">
        <v>7</v>
      </c>
      <c r="O108" s="26">
        <v>55</v>
      </c>
      <c r="P108" s="26">
        <v>62</v>
      </c>
      <c r="Q108" s="34" t="str">
        <f t="shared" si="3"/>
        <v>Clear</v>
      </c>
      <c r="R108" s="41" t="str">
        <f>IF(I108=1,"Normal",IF(I108=2,"Yellow Alert",IF(I108=3,"Orange Alert",IF(I108=4,"Red Alert"))))</f>
        <v>Normal</v>
      </c>
      <c r="S108" s="60">
        <f t="shared" si="4"/>
        <v>5</v>
      </c>
      <c r="T108" s="60">
        <f>MONTH(dataset_1!B:B)</f>
        <v>1</v>
      </c>
      <c r="U108" s="60">
        <f t="shared" si="5"/>
        <v>2011</v>
      </c>
      <c r="V108" s="59" t="str">
        <f>TEXT(F108/24,"H AM/PM")</f>
        <v>3 PM</v>
      </c>
      <c r="W108" s="59" t="str">
        <f>IF(H108=6,"Saturday",IF(H108=0,"Sunday",IF(H108=1,"Monday",IF(H108=2,"Tuesday",IF(H108=3,"Wednesday",IF(H108=4,"Thursday",IF(H108=5,"Friday")))))))</f>
        <v>Wednesday</v>
      </c>
      <c r="X108" s="59" t="str">
        <f>IF(G108=FALSE,"Working day", IF(G108=TRUE,"Holiday"))</f>
        <v>Working day</v>
      </c>
    </row>
    <row r="109" spans="1:24" x14ac:dyDescent="0.25">
      <c r="A109" s="32">
        <v>108</v>
      </c>
      <c r="B109" s="33">
        <v>40548</v>
      </c>
      <c r="C109" s="26">
        <v>1</v>
      </c>
      <c r="D109" s="26">
        <v>0</v>
      </c>
      <c r="E109" s="26">
        <v>1</v>
      </c>
      <c r="F109" s="26">
        <v>16</v>
      </c>
      <c r="G109" s="26" t="b">
        <v>0</v>
      </c>
      <c r="H109" s="26">
        <v>3</v>
      </c>
      <c r="I109" s="26">
        <v>1</v>
      </c>
      <c r="J109" s="26">
        <v>0.3</v>
      </c>
      <c r="K109" s="26">
        <v>0.2273</v>
      </c>
      <c r="L109" s="26">
        <v>0.28000000000000003</v>
      </c>
      <c r="M109">
        <v>8.9599999999999999E-2</v>
      </c>
      <c r="N109" s="26">
        <v>4</v>
      </c>
      <c r="O109" s="26">
        <v>85</v>
      </c>
      <c r="P109" s="26">
        <v>89</v>
      </c>
      <c r="Q109" s="34" t="str">
        <f t="shared" si="3"/>
        <v>Clear</v>
      </c>
      <c r="R109" s="41" t="str">
        <f>IF(I109=1,"Normal",IF(I109=2,"Yellow Alert",IF(I109=3,"Orange Alert",IF(I109=4,"Red Alert"))))</f>
        <v>Normal</v>
      </c>
      <c r="S109" s="60">
        <f t="shared" si="4"/>
        <v>5</v>
      </c>
      <c r="T109" s="60">
        <f>MONTH(dataset_1!B:B)</f>
        <v>1</v>
      </c>
      <c r="U109" s="60">
        <f t="shared" si="5"/>
        <v>2011</v>
      </c>
      <c r="V109" s="59" t="str">
        <f>TEXT(F109/24,"H AM/PM")</f>
        <v>4 PM</v>
      </c>
      <c r="W109" s="59" t="str">
        <f>IF(H109=6,"Saturday",IF(H109=0,"Sunday",IF(H109=1,"Monday",IF(H109=2,"Tuesday",IF(H109=3,"Wednesday",IF(H109=4,"Thursday",IF(H109=5,"Friday")))))))</f>
        <v>Wednesday</v>
      </c>
      <c r="X109" s="59" t="str">
        <f>IF(G109=FALSE,"Working day", IF(G109=TRUE,"Holiday"))</f>
        <v>Working day</v>
      </c>
    </row>
    <row r="110" spans="1:24" x14ac:dyDescent="0.25">
      <c r="A110" s="32">
        <v>109</v>
      </c>
      <c r="B110" s="33">
        <v>40548</v>
      </c>
      <c r="C110" s="26">
        <v>1</v>
      </c>
      <c r="D110" s="26">
        <v>0</v>
      </c>
      <c r="E110" s="26">
        <v>1</v>
      </c>
      <c r="F110" s="26">
        <v>17</v>
      </c>
      <c r="G110" s="26" t="b">
        <v>0</v>
      </c>
      <c r="H110" s="26">
        <v>3</v>
      </c>
      <c r="I110" s="26">
        <v>1</v>
      </c>
      <c r="J110" s="26">
        <v>0.24</v>
      </c>
      <c r="K110" s="26">
        <v>0.2424</v>
      </c>
      <c r="L110" s="26">
        <v>0.38</v>
      </c>
      <c r="M110">
        <v>0.19400000000000001</v>
      </c>
      <c r="N110" s="26">
        <v>4</v>
      </c>
      <c r="O110" s="26">
        <v>186</v>
      </c>
      <c r="P110" s="26">
        <v>190</v>
      </c>
      <c r="Q110" s="34" t="str">
        <f t="shared" si="3"/>
        <v>Clear</v>
      </c>
      <c r="R110" s="41" t="str">
        <f>IF(I110=1,"Normal",IF(I110=2,"Yellow Alert",IF(I110=3,"Orange Alert",IF(I110=4,"Red Alert"))))</f>
        <v>Normal</v>
      </c>
      <c r="S110" s="60">
        <f t="shared" si="4"/>
        <v>5</v>
      </c>
      <c r="T110" s="60">
        <f>MONTH(dataset_1!B:B)</f>
        <v>1</v>
      </c>
      <c r="U110" s="60">
        <f t="shared" si="5"/>
        <v>2011</v>
      </c>
      <c r="V110" s="59" t="str">
        <f>TEXT(F110/24,"H AM/PM")</f>
        <v>5 PM</v>
      </c>
      <c r="W110" s="59" t="str">
        <f>IF(H110=6,"Saturday",IF(H110=0,"Sunday",IF(H110=1,"Monday",IF(H110=2,"Tuesday",IF(H110=3,"Wednesday",IF(H110=4,"Thursday",IF(H110=5,"Friday")))))))</f>
        <v>Wednesday</v>
      </c>
      <c r="X110" s="59" t="str">
        <f>IF(G110=FALSE,"Working day", IF(G110=TRUE,"Holiday"))</f>
        <v>Working day</v>
      </c>
    </row>
    <row r="111" spans="1:24" x14ac:dyDescent="0.25">
      <c r="A111" s="32">
        <v>110</v>
      </c>
      <c r="B111" s="33">
        <v>40548</v>
      </c>
      <c r="C111" s="26">
        <v>1</v>
      </c>
      <c r="D111" s="26">
        <v>0</v>
      </c>
      <c r="E111" s="26">
        <v>1</v>
      </c>
      <c r="F111" s="26">
        <v>18</v>
      </c>
      <c r="G111" s="26" t="b">
        <v>0</v>
      </c>
      <c r="H111" s="26">
        <v>3</v>
      </c>
      <c r="I111" s="26">
        <v>1</v>
      </c>
      <c r="J111" s="26">
        <v>0.24</v>
      </c>
      <c r="K111" s="26">
        <v>0.2576</v>
      </c>
      <c r="L111" s="26">
        <v>0.38</v>
      </c>
      <c r="M111">
        <v>0.1343</v>
      </c>
      <c r="N111" s="26">
        <v>3</v>
      </c>
      <c r="O111" s="26">
        <v>166</v>
      </c>
      <c r="P111" s="26">
        <v>169</v>
      </c>
      <c r="Q111" s="34" t="str">
        <f t="shared" si="3"/>
        <v>Clear</v>
      </c>
      <c r="R111" s="41" t="str">
        <f>IF(I111=1,"Normal",IF(I111=2,"Yellow Alert",IF(I111=3,"Orange Alert",IF(I111=4,"Red Alert"))))</f>
        <v>Normal</v>
      </c>
      <c r="S111" s="60">
        <f t="shared" si="4"/>
        <v>5</v>
      </c>
      <c r="T111" s="60">
        <f>MONTH(dataset_1!B:B)</f>
        <v>1</v>
      </c>
      <c r="U111" s="60">
        <f t="shared" si="5"/>
        <v>2011</v>
      </c>
      <c r="V111" s="59" t="str">
        <f>TEXT(F111/24,"H AM/PM")</f>
        <v>6 PM</v>
      </c>
      <c r="W111" s="59" t="str">
        <f>IF(H111=6,"Saturday",IF(H111=0,"Sunday",IF(H111=1,"Monday",IF(H111=2,"Tuesday",IF(H111=3,"Wednesday",IF(H111=4,"Thursday",IF(H111=5,"Friday")))))))</f>
        <v>Wednesday</v>
      </c>
      <c r="X111" s="59" t="str">
        <f>IF(G111=FALSE,"Working day", IF(G111=TRUE,"Holiday"))</f>
        <v>Working day</v>
      </c>
    </row>
    <row r="112" spans="1:24" x14ac:dyDescent="0.25">
      <c r="A112" s="32">
        <v>111</v>
      </c>
      <c r="B112" s="33">
        <v>40548</v>
      </c>
      <c r="C112" s="26">
        <v>1</v>
      </c>
      <c r="D112" s="26">
        <v>0</v>
      </c>
      <c r="E112" s="26">
        <v>1</v>
      </c>
      <c r="F112" s="26">
        <v>19</v>
      </c>
      <c r="G112" s="26" t="b">
        <v>0</v>
      </c>
      <c r="H112" s="26">
        <v>3</v>
      </c>
      <c r="I112" s="26">
        <v>1</v>
      </c>
      <c r="J112" s="26">
        <v>0.24</v>
      </c>
      <c r="K112" s="26">
        <v>0.2273</v>
      </c>
      <c r="L112" s="26">
        <v>0.38</v>
      </c>
      <c r="M112">
        <v>0.1045</v>
      </c>
      <c r="N112" s="26">
        <v>5</v>
      </c>
      <c r="O112" s="26">
        <v>127</v>
      </c>
      <c r="P112" s="26">
        <v>132</v>
      </c>
      <c r="Q112" s="34" t="str">
        <f t="shared" si="3"/>
        <v>Clear</v>
      </c>
      <c r="R112" s="41" t="str">
        <f>IF(I112=1,"Normal",IF(I112=2,"Yellow Alert",IF(I112=3,"Orange Alert",IF(I112=4,"Red Alert"))))</f>
        <v>Normal</v>
      </c>
      <c r="S112" s="60">
        <f t="shared" si="4"/>
        <v>5</v>
      </c>
      <c r="T112" s="60">
        <f>MONTH(dataset_1!B:B)</f>
        <v>1</v>
      </c>
      <c r="U112" s="60">
        <f t="shared" si="5"/>
        <v>2011</v>
      </c>
      <c r="V112" s="59" t="str">
        <f>TEXT(F112/24,"H AM/PM")</f>
        <v>7 PM</v>
      </c>
      <c r="W112" s="59" t="str">
        <f>IF(H112=6,"Saturday",IF(H112=0,"Sunday",IF(H112=1,"Monday",IF(H112=2,"Tuesday",IF(H112=3,"Wednesday",IF(H112=4,"Thursday",IF(H112=5,"Friday")))))))</f>
        <v>Wednesday</v>
      </c>
      <c r="X112" s="59" t="str">
        <f>IF(G112=FALSE,"Working day", IF(G112=TRUE,"Holiday"))</f>
        <v>Working day</v>
      </c>
    </row>
    <row r="113" spans="1:24" x14ac:dyDescent="0.25">
      <c r="A113" s="32">
        <v>112</v>
      </c>
      <c r="B113" s="33">
        <v>40548</v>
      </c>
      <c r="C113" s="26">
        <v>1</v>
      </c>
      <c r="D113" s="26">
        <v>0</v>
      </c>
      <c r="E113" s="26">
        <v>1</v>
      </c>
      <c r="F113" s="26">
        <v>20</v>
      </c>
      <c r="G113" s="26" t="b">
        <v>0</v>
      </c>
      <c r="H113" s="26">
        <v>3</v>
      </c>
      <c r="I113" s="26">
        <v>1</v>
      </c>
      <c r="J113" s="26">
        <v>0.22</v>
      </c>
      <c r="K113" s="26">
        <v>0.19700000000000001</v>
      </c>
      <c r="L113" s="26">
        <v>0.47</v>
      </c>
      <c r="M113">
        <v>0.16420000000000001</v>
      </c>
      <c r="N113" s="26">
        <v>7</v>
      </c>
      <c r="O113" s="26">
        <v>82</v>
      </c>
      <c r="P113" s="26">
        <v>89</v>
      </c>
      <c r="Q113" s="34" t="str">
        <f t="shared" si="3"/>
        <v>Clear</v>
      </c>
      <c r="R113" s="41" t="str">
        <f>IF(I113=1,"Normal",IF(I113=2,"Yellow Alert",IF(I113=3,"Orange Alert",IF(I113=4,"Red Alert"))))</f>
        <v>Normal</v>
      </c>
      <c r="S113" s="60">
        <f t="shared" si="4"/>
        <v>5</v>
      </c>
      <c r="T113" s="60">
        <f>MONTH(dataset_1!B:B)</f>
        <v>1</v>
      </c>
      <c r="U113" s="60">
        <f t="shared" si="5"/>
        <v>2011</v>
      </c>
      <c r="V113" s="59" t="str">
        <f>TEXT(F113/24,"H AM/PM")</f>
        <v>8 PM</v>
      </c>
      <c r="W113" s="59" t="str">
        <f>IF(H113=6,"Saturday",IF(H113=0,"Sunday",IF(H113=1,"Monday",IF(H113=2,"Tuesday",IF(H113=3,"Wednesday",IF(H113=4,"Thursday",IF(H113=5,"Friday")))))))</f>
        <v>Wednesday</v>
      </c>
      <c r="X113" s="59" t="str">
        <f>IF(G113=FALSE,"Working day", IF(G113=TRUE,"Holiday"))</f>
        <v>Working day</v>
      </c>
    </row>
    <row r="114" spans="1:24" x14ac:dyDescent="0.25">
      <c r="A114" s="32">
        <v>113</v>
      </c>
      <c r="B114" s="33">
        <v>40548</v>
      </c>
      <c r="C114" s="26">
        <v>1</v>
      </c>
      <c r="D114" s="26">
        <v>0</v>
      </c>
      <c r="E114" s="26">
        <v>1</v>
      </c>
      <c r="F114" s="26">
        <v>21</v>
      </c>
      <c r="G114" s="26" t="b">
        <v>0</v>
      </c>
      <c r="H114" s="26">
        <v>3</v>
      </c>
      <c r="I114" s="26">
        <v>1</v>
      </c>
      <c r="J114" s="26">
        <v>0.2</v>
      </c>
      <c r="K114" s="26">
        <v>0.19700000000000001</v>
      </c>
      <c r="L114" s="26">
        <v>0.51</v>
      </c>
      <c r="M114">
        <v>0.19400000000000001</v>
      </c>
      <c r="N114" s="26">
        <v>3</v>
      </c>
      <c r="O114" s="26">
        <v>40</v>
      </c>
      <c r="P114" s="26">
        <v>43</v>
      </c>
      <c r="Q114" s="34" t="str">
        <f t="shared" si="3"/>
        <v>Clear</v>
      </c>
      <c r="R114" s="41" t="str">
        <f>IF(I114=1,"Normal",IF(I114=2,"Yellow Alert",IF(I114=3,"Orange Alert",IF(I114=4,"Red Alert"))))</f>
        <v>Normal</v>
      </c>
      <c r="S114" s="60">
        <f t="shared" si="4"/>
        <v>5</v>
      </c>
      <c r="T114" s="60">
        <f>MONTH(dataset_1!B:B)</f>
        <v>1</v>
      </c>
      <c r="U114" s="60">
        <f t="shared" si="5"/>
        <v>2011</v>
      </c>
      <c r="V114" s="59" t="str">
        <f>TEXT(F114/24,"H AM/PM")</f>
        <v>9 PM</v>
      </c>
      <c r="W114" s="59" t="str">
        <f>IF(H114=6,"Saturday",IF(H114=0,"Sunday",IF(H114=1,"Monday",IF(H114=2,"Tuesday",IF(H114=3,"Wednesday",IF(H114=4,"Thursday",IF(H114=5,"Friday")))))))</f>
        <v>Wednesday</v>
      </c>
      <c r="X114" s="59" t="str">
        <f>IF(G114=FALSE,"Working day", IF(G114=TRUE,"Holiday"))</f>
        <v>Working day</v>
      </c>
    </row>
    <row r="115" spans="1:24" x14ac:dyDescent="0.25">
      <c r="A115" s="32">
        <v>114</v>
      </c>
      <c r="B115" s="33">
        <v>40548</v>
      </c>
      <c r="C115" s="26">
        <v>1</v>
      </c>
      <c r="D115" s="26">
        <v>0</v>
      </c>
      <c r="E115" s="26">
        <v>1</v>
      </c>
      <c r="F115" s="26">
        <v>22</v>
      </c>
      <c r="G115" s="26" t="b">
        <v>0</v>
      </c>
      <c r="H115" s="26">
        <v>3</v>
      </c>
      <c r="I115" s="26">
        <v>1</v>
      </c>
      <c r="J115" s="26">
        <v>0.18</v>
      </c>
      <c r="K115" s="26">
        <v>0.2576</v>
      </c>
      <c r="L115" s="26">
        <v>0.55000000000000004</v>
      </c>
      <c r="M115">
        <v>0.1343</v>
      </c>
      <c r="N115" s="26">
        <v>1</v>
      </c>
      <c r="O115" s="26">
        <v>41</v>
      </c>
      <c r="P115" s="26">
        <v>42</v>
      </c>
      <c r="Q115" s="34" t="str">
        <f t="shared" si="3"/>
        <v>Clear</v>
      </c>
      <c r="R115" s="41" t="str">
        <f>IF(I115=1,"Normal",IF(I115=2,"Yellow Alert",IF(I115=3,"Orange Alert",IF(I115=4,"Red Alert"))))</f>
        <v>Normal</v>
      </c>
      <c r="S115" s="60">
        <f t="shared" si="4"/>
        <v>5</v>
      </c>
      <c r="T115" s="60">
        <f>MONTH(dataset_1!B:B)</f>
        <v>1</v>
      </c>
      <c r="U115" s="60">
        <f t="shared" si="5"/>
        <v>2011</v>
      </c>
      <c r="V115" s="59" t="str">
        <f>TEXT(F115/24,"H AM/PM")</f>
        <v>10 PM</v>
      </c>
      <c r="W115" s="59" t="str">
        <f>IF(H115=6,"Saturday",IF(H115=0,"Sunday",IF(H115=1,"Monday",IF(H115=2,"Tuesday",IF(H115=3,"Wednesday",IF(H115=4,"Thursday",IF(H115=5,"Friday")))))))</f>
        <v>Wednesday</v>
      </c>
      <c r="X115" s="59" t="str">
        <f>IF(G115=FALSE,"Working day", IF(G115=TRUE,"Holiday"))</f>
        <v>Working day</v>
      </c>
    </row>
    <row r="116" spans="1:24" x14ac:dyDescent="0.25">
      <c r="A116" s="32">
        <v>115</v>
      </c>
      <c r="B116" s="33">
        <v>40548</v>
      </c>
      <c r="C116" s="26">
        <v>1</v>
      </c>
      <c r="D116" s="26">
        <v>0</v>
      </c>
      <c r="E116" s="26">
        <v>1</v>
      </c>
      <c r="F116" s="26">
        <v>23</v>
      </c>
      <c r="G116" s="26" t="b">
        <v>0</v>
      </c>
      <c r="H116" s="26">
        <v>3</v>
      </c>
      <c r="I116" s="26">
        <v>1</v>
      </c>
      <c r="J116" s="26">
        <v>0.2</v>
      </c>
      <c r="K116" s="26">
        <v>0.2424</v>
      </c>
      <c r="L116" s="26">
        <v>0.47</v>
      </c>
      <c r="M116">
        <v>0</v>
      </c>
      <c r="N116" s="26">
        <v>1</v>
      </c>
      <c r="O116" s="26">
        <v>18</v>
      </c>
      <c r="P116" s="26">
        <v>19</v>
      </c>
      <c r="Q116" s="34" t="str">
        <f t="shared" si="3"/>
        <v>Clear</v>
      </c>
      <c r="R116" s="41" t="str">
        <f>IF(I116=1,"Normal",IF(I116=2,"Yellow Alert",IF(I116=3,"Orange Alert",IF(I116=4,"Red Alert"))))</f>
        <v>Normal</v>
      </c>
      <c r="S116" s="60">
        <f t="shared" si="4"/>
        <v>5</v>
      </c>
      <c r="T116" s="60">
        <f>MONTH(dataset_1!B:B)</f>
        <v>1</v>
      </c>
      <c r="U116" s="60">
        <f t="shared" si="5"/>
        <v>2011</v>
      </c>
      <c r="V116" s="59" t="str">
        <f>TEXT(F116/24,"H AM/PM")</f>
        <v>11 PM</v>
      </c>
      <c r="W116" s="59" t="str">
        <f>IF(H116=6,"Saturday",IF(H116=0,"Sunday",IF(H116=1,"Monday",IF(H116=2,"Tuesday",IF(H116=3,"Wednesday",IF(H116=4,"Thursday",IF(H116=5,"Friday")))))))</f>
        <v>Wednesday</v>
      </c>
      <c r="X116" s="59" t="str">
        <f>IF(G116=FALSE,"Working day", IF(G116=TRUE,"Holiday"))</f>
        <v>Working day</v>
      </c>
    </row>
    <row r="117" spans="1:24" x14ac:dyDescent="0.25">
      <c r="A117" s="32">
        <v>116</v>
      </c>
      <c r="B117" s="33">
        <v>40549</v>
      </c>
      <c r="C117" s="26">
        <v>1</v>
      </c>
      <c r="D117" s="26">
        <v>0</v>
      </c>
      <c r="E117" s="26">
        <v>1</v>
      </c>
      <c r="F117" s="26">
        <v>0</v>
      </c>
      <c r="G117" s="26" t="b">
        <v>0</v>
      </c>
      <c r="H117" s="26">
        <v>4</v>
      </c>
      <c r="I117" s="26">
        <v>1</v>
      </c>
      <c r="J117" s="26">
        <v>0.18</v>
      </c>
      <c r="K117" s="26">
        <v>0.2273</v>
      </c>
      <c r="L117" s="26">
        <v>0.55000000000000004</v>
      </c>
      <c r="M117">
        <v>0</v>
      </c>
      <c r="N117" s="26">
        <v>0</v>
      </c>
      <c r="O117" s="26">
        <v>11</v>
      </c>
      <c r="P117" s="26">
        <v>11</v>
      </c>
      <c r="Q117" s="34" t="str">
        <f t="shared" si="3"/>
        <v>Clear</v>
      </c>
      <c r="R117" s="41" t="str">
        <f>IF(I117=1,"Normal",IF(I117=2,"Yellow Alert",IF(I117=3,"Orange Alert",IF(I117=4,"Red Alert"))))</f>
        <v>Normal</v>
      </c>
      <c r="S117" s="60">
        <f t="shared" si="4"/>
        <v>6</v>
      </c>
      <c r="T117" s="60">
        <f>MONTH(dataset_1!B:B)</f>
        <v>1</v>
      </c>
      <c r="U117" s="60">
        <f t="shared" si="5"/>
        <v>2011</v>
      </c>
      <c r="V117" s="59" t="str">
        <f>TEXT(F117/24,"H AM/PM")</f>
        <v>12 AM</v>
      </c>
      <c r="W117" s="59" t="str">
        <f>IF(H117=6,"Saturday",IF(H117=0,"Sunday",IF(H117=1,"Monday",IF(H117=2,"Tuesday",IF(H117=3,"Wednesday",IF(H117=4,"Thursday",IF(H117=5,"Friday")))))))</f>
        <v>Thursday</v>
      </c>
      <c r="X117" s="59" t="str">
        <f>IF(G117=FALSE,"Working day", IF(G117=TRUE,"Holiday"))</f>
        <v>Working day</v>
      </c>
    </row>
    <row r="118" spans="1:24" x14ac:dyDescent="0.25">
      <c r="A118" s="32">
        <v>117</v>
      </c>
      <c r="B118" s="33">
        <v>40549</v>
      </c>
      <c r="C118" s="26">
        <v>1</v>
      </c>
      <c r="D118" s="26">
        <v>0</v>
      </c>
      <c r="E118" s="26">
        <v>1</v>
      </c>
      <c r="F118" s="26">
        <v>1</v>
      </c>
      <c r="G118" s="26" t="b">
        <v>0</v>
      </c>
      <c r="H118" s="26">
        <v>4</v>
      </c>
      <c r="I118" s="26">
        <v>1</v>
      </c>
      <c r="J118" s="26">
        <v>0.16</v>
      </c>
      <c r="K118" s="26">
        <v>0.2273</v>
      </c>
      <c r="L118" s="26">
        <v>0.64</v>
      </c>
      <c r="M118">
        <v>0</v>
      </c>
      <c r="N118" s="26">
        <v>0</v>
      </c>
      <c r="O118" s="26">
        <v>4</v>
      </c>
      <c r="P118" s="26">
        <v>4</v>
      </c>
      <c r="Q118" s="34" t="str">
        <f t="shared" si="3"/>
        <v>Clear</v>
      </c>
      <c r="R118" s="41" t="str">
        <f>IF(I118=1,"Normal",IF(I118=2,"Yellow Alert",IF(I118=3,"Orange Alert",IF(I118=4,"Red Alert"))))</f>
        <v>Normal</v>
      </c>
      <c r="S118" s="60">
        <f t="shared" si="4"/>
        <v>6</v>
      </c>
      <c r="T118" s="60">
        <f>MONTH(dataset_1!B:B)</f>
        <v>1</v>
      </c>
      <c r="U118" s="60">
        <f t="shared" si="5"/>
        <v>2011</v>
      </c>
      <c r="V118" s="59" t="str">
        <f>TEXT(F118/24,"H AM/PM")</f>
        <v>1 AM</v>
      </c>
      <c r="W118" s="59" t="str">
        <f>IF(H118=6,"Saturday",IF(H118=0,"Sunday",IF(H118=1,"Monday",IF(H118=2,"Tuesday",IF(H118=3,"Wednesday",IF(H118=4,"Thursday",IF(H118=5,"Friday")))))))</f>
        <v>Thursday</v>
      </c>
      <c r="X118" s="59" t="str">
        <f>IF(G118=FALSE,"Working day", IF(G118=TRUE,"Holiday"))</f>
        <v>Working day</v>
      </c>
    </row>
    <row r="119" spans="1:24" x14ac:dyDescent="0.25">
      <c r="A119" s="32">
        <v>118</v>
      </c>
      <c r="B119" s="33">
        <v>40549</v>
      </c>
      <c r="C119" s="26">
        <v>1</v>
      </c>
      <c r="D119" s="26">
        <v>0</v>
      </c>
      <c r="E119" s="26">
        <v>1</v>
      </c>
      <c r="F119" s="26">
        <v>2</v>
      </c>
      <c r="G119" s="26" t="b">
        <v>0</v>
      </c>
      <c r="H119" s="26">
        <v>4</v>
      </c>
      <c r="I119" s="26">
        <v>1</v>
      </c>
      <c r="J119" s="26">
        <v>0.16</v>
      </c>
      <c r="K119" s="26">
        <v>0.19700000000000001</v>
      </c>
      <c r="L119" s="26">
        <v>0.64</v>
      </c>
      <c r="M119">
        <v>0</v>
      </c>
      <c r="N119" s="26">
        <v>0</v>
      </c>
      <c r="O119" s="26">
        <v>2</v>
      </c>
      <c r="P119" s="26">
        <v>2</v>
      </c>
      <c r="Q119" s="34" t="str">
        <f t="shared" si="3"/>
        <v>Clear</v>
      </c>
      <c r="R119" s="41" t="str">
        <f>IF(I119=1,"Normal",IF(I119=2,"Yellow Alert",IF(I119=3,"Orange Alert",IF(I119=4,"Red Alert"))))</f>
        <v>Normal</v>
      </c>
      <c r="S119" s="60">
        <f t="shared" si="4"/>
        <v>6</v>
      </c>
      <c r="T119" s="60">
        <f>MONTH(dataset_1!B:B)</f>
        <v>1</v>
      </c>
      <c r="U119" s="60">
        <f t="shared" si="5"/>
        <v>2011</v>
      </c>
      <c r="V119" s="59" t="str">
        <f>TEXT(F119/24,"H AM/PM")</f>
        <v>2 AM</v>
      </c>
      <c r="W119" s="59" t="str">
        <f>IF(H119=6,"Saturday",IF(H119=0,"Sunday",IF(H119=1,"Monday",IF(H119=2,"Tuesday",IF(H119=3,"Wednesday",IF(H119=4,"Thursday",IF(H119=5,"Friday")))))))</f>
        <v>Thursday</v>
      </c>
      <c r="X119" s="59" t="str">
        <f>IF(G119=FALSE,"Working day", IF(G119=TRUE,"Holiday"))</f>
        <v>Working day</v>
      </c>
    </row>
    <row r="120" spans="1:24" x14ac:dyDescent="0.25">
      <c r="A120" s="32">
        <v>119</v>
      </c>
      <c r="B120" s="33">
        <v>40549</v>
      </c>
      <c r="C120" s="26">
        <v>1</v>
      </c>
      <c r="D120" s="26">
        <v>0</v>
      </c>
      <c r="E120" s="26">
        <v>1</v>
      </c>
      <c r="F120" s="26">
        <v>4</v>
      </c>
      <c r="G120" s="26" t="b">
        <v>0</v>
      </c>
      <c r="H120" s="26">
        <v>4</v>
      </c>
      <c r="I120" s="26">
        <v>2</v>
      </c>
      <c r="J120" s="26">
        <v>0.16</v>
      </c>
      <c r="K120" s="26">
        <v>0.18179999999999999</v>
      </c>
      <c r="L120" s="26">
        <v>0.64</v>
      </c>
      <c r="M120">
        <v>8.9599999999999999E-2</v>
      </c>
      <c r="N120" s="26">
        <v>0</v>
      </c>
      <c r="O120" s="26">
        <v>1</v>
      </c>
      <c r="P120" s="26">
        <v>1</v>
      </c>
      <c r="Q120" s="34" t="str">
        <f t="shared" si="3"/>
        <v>Cloudy</v>
      </c>
      <c r="R120" s="41" t="str">
        <f>IF(I120=1,"Normal",IF(I120=2,"Yellow Alert",IF(I120=3,"Orange Alert",IF(I120=4,"Red Alert"))))</f>
        <v>Yellow Alert</v>
      </c>
      <c r="S120" s="60">
        <f t="shared" si="4"/>
        <v>6</v>
      </c>
      <c r="T120" s="60">
        <f>MONTH(dataset_1!B:B)</f>
        <v>1</v>
      </c>
      <c r="U120" s="60">
        <f t="shared" si="5"/>
        <v>2011</v>
      </c>
      <c r="V120" s="59" t="str">
        <f>TEXT(F120/24,"H AM/PM")</f>
        <v>4 AM</v>
      </c>
      <c r="W120" s="59" t="str">
        <f>IF(H120=6,"Saturday",IF(H120=0,"Sunday",IF(H120=1,"Monday",IF(H120=2,"Tuesday",IF(H120=3,"Wednesday",IF(H120=4,"Thursday",IF(H120=5,"Friday")))))))</f>
        <v>Thursday</v>
      </c>
      <c r="X120" s="59" t="str">
        <f>IF(G120=FALSE,"Working day", IF(G120=TRUE,"Holiday"))</f>
        <v>Working day</v>
      </c>
    </row>
    <row r="121" spans="1:24" x14ac:dyDescent="0.25">
      <c r="A121" s="32">
        <v>120</v>
      </c>
      <c r="B121" s="33">
        <v>40549</v>
      </c>
      <c r="C121" s="26">
        <v>1</v>
      </c>
      <c r="D121" s="26">
        <v>0</v>
      </c>
      <c r="E121" s="26">
        <v>1</v>
      </c>
      <c r="F121" s="26">
        <v>5</v>
      </c>
      <c r="G121" s="26" t="b">
        <v>0</v>
      </c>
      <c r="H121" s="26">
        <v>4</v>
      </c>
      <c r="I121" s="26">
        <v>2</v>
      </c>
      <c r="J121" s="26">
        <v>0.14000000000000001</v>
      </c>
      <c r="K121" s="26">
        <v>0.16669999999999999</v>
      </c>
      <c r="L121" s="26">
        <v>0.69</v>
      </c>
      <c r="M121">
        <v>8.9599999999999999E-2</v>
      </c>
      <c r="N121" s="26">
        <v>0</v>
      </c>
      <c r="O121" s="26">
        <v>4</v>
      </c>
      <c r="P121" s="26">
        <v>4</v>
      </c>
      <c r="Q121" s="34" t="str">
        <f t="shared" si="3"/>
        <v>Cloudy</v>
      </c>
      <c r="R121" s="41" t="str">
        <f>IF(I121=1,"Normal",IF(I121=2,"Yellow Alert",IF(I121=3,"Orange Alert",IF(I121=4,"Red Alert"))))</f>
        <v>Yellow Alert</v>
      </c>
      <c r="S121" s="60">
        <f t="shared" si="4"/>
        <v>6</v>
      </c>
      <c r="T121" s="60">
        <f>MONTH(dataset_1!B:B)</f>
        <v>1</v>
      </c>
      <c r="U121" s="60">
        <f t="shared" si="5"/>
        <v>2011</v>
      </c>
      <c r="V121" s="59" t="str">
        <f>TEXT(F121/24,"H AM/PM")</f>
        <v>5 AM</v>
      </c>
      <c r="W121" s="59" t="str">
        <f>IF(H121=6,"Saturday",IF(H121=0,"Sunday",IF(H121=1,"Monday",IF(H121=2,"Tuesday",IF(H121=3,"Wednesday",IF(H121=4,"Thursday",IF(H121=5,"Friday")))))))</f>
        <v>Thursday</v>
      </c>
      <c r="X121" s="59" t="str">
        <f>IF(G121=FALSE,"Working day", IF(G121=TRUE,"Holiday"))</f>
        <v>Working day</v>
      </c>
    </row>
    <row r="122" spans="1:24" x14ac:dyDescent="0.25">
      <c r="A122" s="32">
        <v>121</v>
      </c>
      <c r="B122" s="33">
        <v>40549</v>
      </c>
      <c r="C122" s="26">
        <v>1</v>
      </c>
      <c r="D122" s="26">
        <v>0</v>
      </c>
      <c r="E122" s="26">
        <v>1</v>
      </c>
      <c r="F122" s="26">
        <v>6</v>
      </c>
      <c r="G122" s="26" t="b">
        <v>0</v>
      </c>
      <c r="H122" s="26">
        <v>4</v>
      </c>
      <c r="I122" s="26">
        <v>2</v>
      </c>
      <c r="J122" s="26">
        <v>0.14000000000000001</v>
      </c>
      <c r="K122" s="26">
        <v>0.2273</v>
      </c>
      <c r="L122" s="26">
        <v>0.63</v>
      </c>
      <c r="M122">
        <v>0.1045</v>
      </c>
      <c r="N122" s="26">
        <v>0</v>
      </c>
      <c r="O122" s="26">
        <v>36</v>
      </c>
      <c r="P122" s="26">
        <v>36</v>
      </c>
      <c r="Q122" s="34" t="str">
        <f t="shared" si="3"/>
        <v>Cloudy</v>
      </c>
      <c r="R122" s="41" t="str">
        <f>IF(I122=1,"Normal",IF(I122=2,"Yellow Alert",IF(I122=3,"Orange Alert",IF(I122=4,"Red Alert"))))</f>
        <v>Yellow Alert</v>
      </c>
      <c r="S122" s="60">
        <f t="shared" si="4"/>
        <v>6</v>
      </c>
      <c r="T122" s="60">
        <f>MONTH(dataset_1!B:B)</f>
        <v>1</v>
      </c>
      <c r="U122" s="60">
        <f t="shared" si="5"/>
        <v>2011</v>
      </c>
      <c r="V122" s="59" t="str">
        <f>TEXT(F122/24,"H AM/PM")</f>
        <v>6 AM</v>
      </c>
      <c r="W122" s="59" t="str">
        <f>IF(H122=6,"Saturday",IF(H122=0,"Sunday",IF(H122=1,"Monday",IF(H122=2,"Tuesday",IF(H122=3,"Wednesday",IF(H122=4,"Thursday",IF(H122=5,"Friday")))))))</f>
        <v>Thursday</v>
      </c>
      <c r="X122" s="59" t="str">
        <f>IF(G122=FALSE,"Working day", IF(G122=TRUE,"Holiday"))</f>
        <v>Working day</v>
      </c>
    </row>
    <row r="123" spans="1:24" x14ac:dyDescent="0.25">
      <c r="A123" s="32">
        <v>122</v>
      </c>
      <c r="B123" s="33">
        <v>40549</v>
      </c>
      <c r="C123" s="26">
        <v>1</v>
      </c>
      <c r="D123" s="26">
        <v>0</v>
      </c>
      <c r="E123" s="26">
        <v>1</v>
      </c>
      <c r="F123" s="26">
        <v>7</v>
      </c>
      <c r="G123" s="26" t="b">
        <v>0</v>
      </c>
      <c r="H123" s="26">
        <v>4</v>
      </c>
      <c r="I123" s="26">
        <v>2</v>
      </c>
      <c r="J123" s="26">
        <v>0.16</v>
      </c>
      <c r="K123" s="26">
        <v>0.2273</v>
      </c>
      <c r="L123" s="26">
        <v>0.59</v>
      </c>
      <c r="M123">
        <v>0</v>
      </c>
      <c r="N123" s="26">
        <v>0</v>
      </c>
      <c r="O123" s="26">
        <v>95</v>
      </c>
      <c r="P123" s="26">
        <v>95</v>
      </c>
      <c r="Q123" s="34" t="str">
        <f t="shared" si="3"/>
        <v>Cloudy</v>
      </c>
      <c r="R123" s="41" t="str">
        <f>IF(I123=1,"Normal",IF(I123=2,"Yellow Alert",IF(I123=3,"Orange Alert",IF(I123=4,"Red Alert"))))</f>
        <v>Yellow Alert</v>
      </c>
      <c r="S123" s="60">
        <f t="shared" si="4"/>
        <v>6</v>
      </c>
      <c r="T123" s="60">
        <f>MONTH(dataset_1!B:B)</f>
        <v>1</v>
      </c>
      <c r="U123" s="60">
        <f t="shared" si="5"/>
        <v>2011</v>
      </c>
      <c r="V123" s="59" t="str">
        <f>TEXT(F123/24,"H AM/PM")</f>
        <v>7 AM</v>
      </c>
      <c r="W123" s="59" t="str">
        <f>IF(H123=6,"Saturday",IF(H123=0,"Sunday",IF(H123=1,"Monday",IF(H123=2,"Tuesday",IF(H123=3,"Wednesday",IF(H123=4,"Thursday",IF(H123=5,"Friday")))))))</f>
        <v>Thursday</v>
      </c>
      <c r="X123" s="59" t="str">
        <f>IF(G123=FALSE,"Working day", IF(G123=TRUE,"Holiday"))</f>
        <v>Working day</v>
      </c>
    </row>
    <row r="124" spans="1:24" x14ac:dyDescent="0.25">
      <c r="A124" s="32">
        <v>123</v>
      </c>
      <c r="B124" s="33">
        <v>40549</v>
      </c>
      <c r="C124" s="26">
        <v>1</v>
      </c>
      <c r="D124" s="26">
        <v>0</v>
      </c>
      <c r="E124" s="26">
        <v>1</v>
      </c>
      <c r="F124" s="26">
        <v>8</v>
      </c>
      <c r="G124" s="26" t="b">
        <v>0</v>
      </c>
      <c r="H124" s="26">
        <v>4</v>
      </c>
      <c r="I124" s="26">
        <v>1</v>
      </c>
      <c r="J124" s="26">
        <v>0.16</v>
      </c>
      <c r="K124" s="26">
        <v>0.2424</v>
      </c>
      <c r="L124" s="26">
        <v>0.59</v>
      </c>
      <c r="M124">
        <v>0</v>
      </c>
      <c r="N124" s="26">
        <v>3</v>
      </c>
      <c r="O124" s="26">
        <v>216</v>
      </c>
      <c r="P124" s="26">
        <v>219</v>
      </c>
      <c r="Q124" s="34" t="str">
        <f t="shared" si="3"/>
        <v>Clear</v>
      </c>
      <c r="R124" s="41" t="str">
        <f>IF(I124=1,"Normal",IF(I124=2,"Yellow Alert",IF(I124=3,"Orange Alert",IF(I124=4,"Red Alert"))))</f>
        <v>Normal</v>
      </c>
      <c r="S124" s="60">
        <f t="shared" si="4"/>
        <v>6</v>
      </c>
      <c r="T124" s="60">
        <f>MONTH(dataset_1!B:B)</f>
        <v>1</v>
      </c>
      <c r="U124" s="60">
        <f t="shared" si="5"/>
        <v>2011</v>
      </c>
      <c r="V124" s="59" t="str">
        <f>TEXT(F124/24,"H AM/PM")</f>
        <v>8 AM</v>
      </c>
      <c r="W124" s="59" t="str">
        <f>IF(H124=6,"Saturday",IF(H124=0,"Sunday",IF(H124=1,"Monday",IF(H124=2,"Tuesday",IF(H124=3,"Wednesday",IF(H124=4,"Thursday",IF(H124=5,"Friday")))))))</f>
        <v>Thursday</v>
      </c>
      <c r="X124" s="59" t="str">
        <f>IF(G124=FALSE,"Working day", IF(G124=TRUE,"Holiday"))</f>
        <v>Working day</v>
      </c>
    </row>
    <row r="125" spans="1:24" x14ac:dyDescent="0.25">
      <c r="A125" s="32">
        <v>124</v>
      </c>
      <c r="B125" s="33">
        <v>40549</v>
      </c>
      <c r="C125" s="26">
        <v>1</v>
      </c>
      <c r="D125" s="26">
        <v>0</v>
      </c>
      <c r="E125" s="26">
        <v>1</v>
      </c>
      <c r="F125" s="26">
        <v>9</v>
      </c>
      <c r="G125" s="26" t="b">
        <v>0</v>
      </c>
      <c r="H125" s="26">
        <v>4</v>
      </c>
      <c r="I125" s="26">
        <v>2</v>
      </c>
      <c r="J125" s="26">
        <v>0.18</v>
      </c>
      <c r="K125" s="26">
        <v>0.2576</v>
      </c>
      <c r="L125" s="26">
        <v>0.51</v>
      </c>
      <c r="M125">
        <v>0</v>
      </c>
      <c r="N125" s="26">
        <v>6</v>
      </c>
      <c r="O125" s="26">
        <v>116</v>
      </c>
      <c r="P125" s="26">
        <v>122</v>
      </c>
      <c r="Q125" s="34" t="str">
        <f t="shared" si="3"/>
        <v>Cloudy</v>
      </c>
      <c r="R125" s="41" t="str">
        <f>IF(I125=1,"Normal",IF(I125=2,"Yellow Alert",IF(I125=3,"Orange Alert",IF(I125=4,"Red Alert"))))</f>
        <v>Yellow Alert</v>
      </c>
      <c r="S125" s="60">
        <f t="shared" si="4"/>
        <v>6</v>
      </c>
      <c r="T125" s="60">
        <f>MONTH(dataset_1!B:B)</f>
        <v>1</v>
      </c>
      <c r="U125" s="60">
        <f t="shared" si="5"/>
        <v>2011</v>
      </c>
      <c r="V125" s="59" t="str">
        <f>TEXT(F125/24,"H AM/PM")</f>
        <v>9 AM</v>
      </c>
      <c r="W125" s="59" t="str">
        <f>IF(H125=6,"Saturday",IF(H125=0,"Sunday",IF(H125=1,"Monday",IF(H125=2,"Tuesday",IF(H125=3,"Wednesday",IF(H125=4,"Thursday",IF(H125=5,"Friday")))))))</f>
        <v>Thursday</v>
      </c>
      <c r="X125" s="59" t="str">
        <f>IF(G125=FALSE,"Working day", IF(G125=TRUE,"Holiday"))</f>
        <v>Working day</v>
      </c>
    </row>
    <row r="126" spans="1:24" x14ac:dyDescent="0.25">
      <c r="A126" s="32">
        <v>125</v>
      </c>
      <c r="B126" s="33">
        <v>40549</v>
      </c>
      <c r="C126" s="26">
        <v>1</v>
      </c>
      <c r="D126" s="26">
        <v>0</v>
      </c>
      <c r="E126" s="26">
        <v>1</v>
      </c>
      <c r="F126" s="26">
        <v>10</v>
      </c>
      <c r="G126" s="26" t="b">
        <v>0</v>
      </c>
      <c r="H126" s="26">
        <v>4</v>
      </c>
      <c r="I126" s="26">
        <v>1</v>
      </c>
      <c r="J126" s="26">
        <v>0.2</v>
      </c>
      <c r="K126" s="26">
        <v>0.2576</v>
      </c>
      <c r="L126" s="26">
        <v>0.47</v>
      </c>
      <c r="M126">
        <v>0</v>
      </c>
      <c r="N126" s="26">
        <v>3</v>
      </c>
      <c r="O126" s="26">
        <v>42</v>
      </c>
      <c r="P126" s="26">
        <v>45</v>
      </c>
      <c r="Q126" s="34" t="str">
        <f t="shared" si="3"/>
        <v>Clear</v>
      </c>
      <c r="R126" s="41" t="str">
        <f>IF(I126=1,"Normal",IF(I126=2,"Yellow Alert",IF(I126=3,"Orange Alert",IF(I126=4,"Red Alert"))))</f>
        <v>Normal</v>
      </c>
      <c r="S126" s="60">
        <f t="shared" si="4"/>
        <v>6</v>
      </c>
      <c r="T126" s="60">
        <f>MONTH(dataset_1!B:B)</f>
        <v>1</v>
      </c>
      <c r="U126" s="60">
        <f t="shared" si="5"/>
        <v>2011</v>
      </c>
      <c r="V126" s="59" t="str">
        <f>TEXT(F126/24,"H AM/PM")</f>
        <v>10 AM</v>
      </c>
      <c r="W126" s="59" t="str">
        <f>IF(H126=6,"Saturday",IF(H126=0,"Sunday",IF(H126=1,"Monday",IF(H126=2,"Tuesday",IF(H126=3,"Wednesday",IF(H126=4,"Thursday",IF(H126=5,"Friday")))))))</f>
        <v>Thursday</v>
      </c>
      <c r="X126" s="59" t="str">
        <f>IF(G126=FALSE,"Working day", IF(G126=TRUE,"Holiday"))</f>
        <v>Working day</v>
      </c>
    </row>
    <row r="127" spans="1:24" x14ac:dyDescent="0.25">
      <c r="A127" s="32">
        <v>126</v>
      </c>
      <c r="B127" s="33">
        <v>40549</v>
      </c>
      <c r="C127" s="26">
        <v>1</v>
      </c>
      <c r="D127" s="26">
        <v>0</v>
      </c>
      <c r="E127" s="26">
        <v>1</v>
      </c>
      <c r="F127" s="26">
        <v>11</v>
      </c>
      <c r="G127" s="26" t="b">
        <v>0</v>
      </c>
      <c r="H127" s="26">
        <v>4</v>
      </c>
      <c r="I127" s="26">
        <v>1</v>
      </c>
      <c r="J127" s="26">
        <v>0.22</v>
      </c>
      <c r="K127" s="26">
        <v>0.28789999999999999</v>
      </c>
      <c r="L127" s="26">
        <v>0.44</v>
      </c>
      <c r="M127">
        <v>8.9599999999999999E-2</v>
      </c>
      <c r="N127" s="26">
        <v>2</v>
      </c>
      <c r="O127" s="26">
        <v>57</v>
      </c>
      <c r="P127" s="26">
        <v>59</v>
      </c>
      <c r="Q127" s="34" t="str">
        <f t="shared" si="3"/>
        <v>Clear</v>
      </c>
      <c r="R127" s="41" t="str">
        <f>IF(I127=1,"Normal",IF(I127=2,"Yellow Alert",IF(I127=3,"Orange Alert",IF(I127=4,"Red Alert"))))</f>
        <v>Normal</v>
      </c>
      <c r="S127" s="60">
        <f t="shared" si="4"/>
        <v>6</v>
      </c>
      <c r="T127" s="60">
        <f>MONTH(dataset_1!B:B)</f>
        <v>1</v>
      </c>
      <c r="U127" s="60">
        <f t="shared" si="5"/>
        <v>2011</v>
      </c>
      <c r="V127" s="59" t="str">
        <f>TEXT(F127/24,"H AM/PM")</f>
        <v>11 AM</v>
      </c>
      <c r="W127" s="59" t="str">
        <f>IF(H127=6,"Saturday",IF(H127=0,"Sunday",IF(H127=1,"Monday",IF(H127=2,"Tuesday",IF(H127=3,"Wednesday",IF(H127=4,"Thursday",IF(H127=5,"Friday")))))))</f>
        <v>Thursday</v>
      </c>
      <c r="X127" s="59" t="str">
        <f>IF(G127=FALSE,"Working day", IF(G127=TRUE,"Holiday"))</f>
        <v>Working day</v>
      </c>
    </row>
    <row r="128" spans="1:24" x14ac:dyDescent="0.25">
      <c r="A128" s="32">
        <v>127</v>
      </c>
      <c r="B128" s="33">
        <v>40549</v>
      </c>
      <c r="C128" s="26">
        <v>1</v>
      </c>
      <c r="D128" s="26">
        <v>0</v>
      </c>
      <c r="E128" s="26">
        <v>1</v>
      </c>
      <c r="F128" s="26">
        <v>12</v>
      </c>
      <c r="G128" s="26" t="b">
        <v>0</v>
      </c>
      <c r="H128" s="26">
        <v>4</v>
      </c>
      <c r="I128" s="26">
        <v>1</v>
      </c>
      <c r="J128" s="26">
        <v>0.26</v>
      </c>
      <c r="K128" s="26">
        <v>0.2727</v>
      </c>
      <c r="L128" s="26">
        <v>0.35</v>
      </c>
      <c r="M128">
        <v>0</v>
      </c>
      <c r="N128" s="26">
        <v>6</v>
      </c>
      <c r="O128" s="26">
        <v>78</v>
      </c>
      <c r="P128" s="26">
        <v>84</v>
      </c>
      <c r="Q128" s="34" t="str">
        <f t="shared" si="3"/>
        <v>Clear</v>
      </c>
      <c r="R128" s="41" t="str">
        <f>IF(I128=1,"Normal",IF(I128=2,"Yellow Alert",IF(I128=3,"Orange Alert",IF(I128=4,"Red Alert"))))</f>
        <v>Normal</v>
      </c>
      <c r="S128" s="60">
        <f t="shared" si="4"/>
        <v>6</v>
      </c>
      <c r="T128" s="60">
        <f>MONTH(dataset_1!B:B)</f>
        <v>1</v>
      </c>
      <c r="U128" s="60">
        <f t="shared" si="5"/>
        <v>2011</v>
      </c>
      <c r="V128" s="59" t="str">
        <f>TEXT(F128/24,"H AM/PM")</f>
        <v>12 PM</v>
      </c>
      <c r="W128" s="59" t="str">
        <f>IF(H128=6,"Saturday",IF(H128=0,"Sunday",IF(H128=1,"Monday",IF(H128=2,"Tuesday",IF(H128=3,"Wednesday",IF(H128=4,"Thursday",IF(H128=5,"Friday")))))))</f>
        <v>Thursday</v>
      </c>
      <c r="X128" s="59" t="str">
        <f>IF(G128=FALSE,"Working day", IF(G128=TRUE,"Holiday"))</f>
        <v>Working day</v>
      </c>
    </row>
    <row r="129" spans="1:24" x14ac:dyDescent="0.25">
      <c r="A129" s="32">
        <v>128</v>
      </c>
      <c r="B129" s="33">
        <v>40549</v>
      </c>
      <c r="C129" s="26">
        <v>1</v>
      </c>
      <c r="D129" s="26">
        <v>0</v>
      </c>
      <c r="E129" s="26">
        <v>1</v>
      </c>
      <c r="F129" s="26">
        <v>13</v>
      </c>
      <c r="G129" s="26" t="b">
        <v>0</v>
      </c>
      <c r="H129" s="26">
        <v>4</v>
      </c>
      <c r="I129" s="26">
        <v>1</v>
      </c>
      <c r="J129" s="26">
        <v>0.26</v>
      </c>
      <c r="K129" s="26">
        <v>0.2727</v>
      </c>
      <c r="L129" s="26">
        <v>0.35</v>
      </c>
      <c r="M129">
        <v>0.1045</v>
      </c>
      <c r="N129" s="26">
        <v>12</v>
      </c>
      <c r="O129" s="26">
        <v>55</v>
      </c>
      <c r="P129" s="26">
        <v>67</v>
      </c>
      <c r="Q129" s="34" t="str">
        <f t="shared" si="3"/>
        <v>Clear</v>
      </c>
      <c r="R129" s="41" t="str">
        <f>IF(I129=1,"Normal",IF(I129=2,"Yellow Alert",IF(I129=3,"Orange Alert",IF(I129=4,"Red Alert"))))</f>
        <v>Normal</v>
      </c>
      <c r="S129" s="60">
        <f t="shared" si="4"/>
        <v>6</v>
      </c>
      <c r="T129" s="60">
        <f>MONTH(dataset_1!B:B)</f>
        <v>1</v>
      </c>
      <c r="U129" s="60">
        <f t="shared" si="5"/>
        <v>2011</v>
      </c>
      <c r="V129" s="59" t="str">
        <f>TEXT(F129/24,"H AM/PM")</f>
        <v>1 PM</v>
      </c>
      <c r="W129" s="59" t="str">
        <f>IF(H129=6,"Saturday",IF(H129=0,"Sunday",IF(H129=1,"Monday",IF(H129=2,"Tuesday",IF(H129=3,"Wednesday",IF(H129=4,"Thursday",IF(H129=5,"Friday")))))))</f>
        <v>Thursday</v>
      </c>
      <c r="X129" s="59" t="str">
        <f>IF(G129=FALSE,"Working day", IF(G129=TRUE,"Holiday"))</f>
        <v>Working day</v>
      </c>
    </row>
    <row r="130" spans="1:24" x14ac:dyDescent="0.25">
      <c r="A130" s="32">
        <v>129</v>
      </c>
      <c r="B130" s="33">
        <v>40549</v>
      </c>
      <c r="C130" s="26">
        <v>1</v>
      </c>
      <c r="D130" s="26">
        <v>0</v>
      </c>
      <c r="E130" s="26">
        <v>1</v>
      </c>
      <c r="F130" s="26">
        <v>14</v>
      </c>
      <c r="G130" s="26" t="b">
        <v>0</v>
      </c>
      <c r="H130" s="26">
        <v>4</v>
      </c>
      <c r="I130" s="26">
        <v>1</v>
      </c>
      <c r="J130" s="26">
        <v>0.28000000000000003</v>
      </c>
      <c r="K130" s="26">
        <v>0.2727</v>
      </c>
      <c r="L130" s="26">
        <v>0.36</v>
      </c>
      <c r="M130">
        <v>0.16420000000000001</v>
      </c>
      <c r="N130" s="26">
        <v>11</v>
      </c>
      <c r="O130" s="26">
        <v>59</v>
      </c>
      <c r="P130" s="26">
        <v>70</v>
      </c>
      <c r="Q130" s="34" t="str">
        <f t="shared" ref="Q130:Q193" si="6">IF(I130=1,"Clear",IF(I130=2,"Cloudy",IF(I130=3,"Light Rain",IF(I130=4,"Heavy Rain"))))</f>
        <v>Clear</v>
      </c>
      <c r="R130" s="41" t="str">
        <f>IF(I130=1,"Normal",IF(I130=2,"Yellow Alert",IF(I130=3,"Orange Alert",IF(I130=4,"Red Alert"))))</f>
        <v>Normal</v>
      </c>
      <c r="S130" s="60">
        <f t="shared" ref="S130:S193" si="7">DAY(B:B)</f>
        <v>6</v>
      </c>
      <c r="T130" s="60">
        <f>MONTH(dataset_1!B:B)</f>
        <v>1</v>
      </c>
      <c r="U130" s="60">
        <f t="shared" ref="U130:U193" si="8">YEAR(B:B)</f>
        <v>2011</v>
      </c>
      <c r="V130" s="59" t="str">
        <f>TEXT(F130/24,"H AM/PM")</f>
        <v>2 PM</v>
      </c>
      <c r="W130" s="59" t="str">
        <f>IF(H130=6,"Saturday",IF(H130=0,"Sunday",IF(H130=1,"Monday",IF(H130=2,"Tuesday",IF(H130=3,"Wednesday",IF(H130=4,"Thursday",IF(H130=5,"Friday")))))))</f>
        <v>Thursday</v>
      </c>
      <c r="X130" s="59" t="str">
        <f>IF(G130=FALSE,"Working day", IF(G130=TRUE,"Holiday"))</f>
        <v>Working day</v>
      </c>
    </row>
    <row r="131" spans="1:24" x14ac:dyDescent="0.25">
      <c r="A131" s="32">
        <v>130</v>
      </c>
      <c r="B131" s="33">
        <v>40549</v>
      </c>
      <c r="C131" s="26">
        <v>1</v>
      </c>
      <c r="D131" s="26">
        <v>0</v>
      </c>
      <c r="E131" s="26">
        <v>1</v>
      </c>
      <c r="F131" s="26">
        <v>15</v>
      </c>
      <c r="G131" s="26" t="b">
        <v>0</v>
      </c>
      <c r="H131" s="26">
        <v>4</v>
      </c>
      <c r="I131" s="26">
        <v>1</v>
      </c>
      <c r="J131" s="26">
        <v>0.28000000000000003</v>
      </c>
      <c r="K131" s="26">
        <v>0.2576</v>
      </c>
      <c r="L131" s="26">
        <v>0.36</v>
      </c>
      <c r="M131">
        <v>0</v>
      </c>
      <c r="N131" s="26">
        <v>8</v>
      </c>
      <c r="O131" s="26">
        <v>54</v>
      </c>
      <c r="P131" s="26">
        <v>62</v>
      </c>
      <c r="Q131" s="34" t="str">
        <f t="shared" si="6"/>
        <v>Clear</v>
      </c>
      <c r="R131" s="41" t="str">
        <f>IF(I131=1,"Normal",IF(I131=2,"Yellow Alert",IF(I131=3,"Orange Alert",IF(I131=4,"Red Alert"))))</f>
        <v>Normal</v>
      </c>
      <c r="S131" s="60">
        <f t="shared" si="7"/>
        <v>6</v>
      </c>
      <c r="T131" s="60">
        <f>MONTH(dataset_1!B:B)</f>
        <v>1</v>
      </c>
      <c r="U131" s="60">
        <f t="shared" si="8"/>
        <v>2011</v>
      </c>
      <c r="V131" s="59" t="str">
        <f>TEXT(F131/24,"H AM/PM")</f>
        <v>3 PM</v>
      </c>
      <c r="W131" s="59" t="str">
        <f>IF(H131=6,"Saturday",IF(H131=0,"Sunday",IF(H131=1,"Monday",IF(H131=2,"Tuesday",IF(H131=3,"Wednesday",IF(H131=4,"Thursday",IF(H131=5,"Friday")))))))</f>
        <v>Thursday</v>
      </c>
      <c r="X131" s="59" t="str">
        <f>IF(G131=FALSE,"Working day", IF(G131=TRUE,"Holiday"))</f>
        <v>Working day</v>
      </c>
    </row>
    <row r="132" spans="1:24" x14ac:dyDescent="0.25">
      <c r="A132" s="32">
        <v>131</v>
      </c>
      <c r="B132" s="33">
        <v>40549</v>
      </c>
      <c r="C132" s="26">
        <v>1</v>
      </c>
      <c r="D132" s="26">
        <v>0</v>
      </c>
      <c r="E132" s="26">
        <v>1</v>
      </c>
      <c r="F132" s="26">
        <v>16</v>
      </c>
      <c r="G132" s="26" t="b">
        <v>0</v>
      </c>
      <c r="H132" s="26">
        <v>4</v>
      </c>
      <c r="I132" s="26">
        <v>1</v>
      </c>
      <c r="J132" s="26">
        <v>0.26</v>
      </c>
      <c r="K132" s="26">
        <v>0.2273</v>
      </c>
      <c r="L132" s="26">
        <v>0.38</v>
      </c>
      <c r="M132">
        <v>0.16420000000000001</v>
      </c>
      <c r="N132" s="26">
        <v>12</v>
      </c>
      <c r="O132" s="26">
        <v>74</v>
      </c>
      <c r="P132" s="26">
        <v>86</v>
      </c>
      <c r="Q132" s="34" t="str">
        <f t="shared" si="6"/>
        <v>Clear</v>
      </c>
      <c r="R132" s="41" t="str">
        <f>IF(I132=1,"Normal",IF(I132=2,"Yellow Alert",IF(I132=3,"Orange Alert",IF(I132=4,"Red Alert"))))</f>
        <v>Normal</v>
      </c>
      <c r="S132" s="60">
        <f t="shared" si="7"/>
        <v>6</v>
      </c>
      <c r="T132" s="60">
        <f>MONTH(dataset_1!B:B)</f>
        <v>1</v>
      </c>
      <c r="U132" s="60">
        <f t="shared" si="8"/>
        <v>2011</v>
      </c>
      <c r="V132" s="59" t="str">
        <f>TEXT(F132/24,"H AM/PM")</f>
        <v>4 PM</v>
      </c>
      <c r="W132" s="59" t="str">
        <f>IF(H132=6,"Saturday",IF(H132=0,"Sunday",IF(H132=1,"Monday",IF(H132=2,"Tuesday",IF(H132=3,"Wednesday",IF(H132=4,"Thursday",IF(H132=5,"Friday")))))))</f>
        <v>Thursday</v>
      </c>
      <c r="X132" s="59" t="str">
        <f>IF(G132=FALSE,"Working day", IF(G132=TRUE,"Holiday"))</f>
        <v>Working day</v>
      </c>
    </row>
    <row r="133" spans="1:24" x14ac:dyDescent="0.25">
      <c r="A133" s="32">
        <v>132</v>
      </c>
      <c r="B133" s="33">
        <v>40549</v>
      </c>
      <c r="C133" s="26">
        <v>1</v>
      </c>
      <c r="D133" s="26">
        <v>0</v>
      </c>
      <c r="E133" s="26">
        <v>1</v>
      </c>
      <c r="F133" s="26">
        <v>17</v>
      </c>
      <c r="G133" s="26" t="b">
        <v>0</v>
      </c>
      <c r="H133" s="26">
        <v>4</v>
      </c>
      <c r="I133" s="26">
        <v>1</v>
      </c>
      <c r="J133" s="26">
        <v>0.22</v>
      </c>
      <c r="K133" s="26">
        <v>0.2273</v>
      </c>
      <c r="L133" s="26">
        <v>0.51</v>
      </c>
      <c r="M133">
        <v>0.16420000000000001</v>
      </c>
      <c r="N133" s="26">
        <v>9</v>
      </c>
      <c r="O133" s="26">
        <v>163</v>
      </c>
      <c r="P133" s="26">
        <v>172</v>
      </c>
      <c r="Q133" s="34" t="str">
        <f t="shared" si="6"/>
        <v>Clear</v>
      </c>
      <c r="R133" s="41" t="str">
        <f>IF(I133=1,"Normal",IF(I133=2,"Yellow Alert",IF(I133=3,"Orange Alert",IF(I133=4,"Red Alert"))))</f>
        <v>Normal</v>
      </c>
      <c r="S133" s="60">
        <f t="shared" si="7"/>
        <v>6</v>
      </c>
      <c r="T133" s="60">
        <f>MONTH(dataset_1!B:B)</f>
        <v>1</v>
      </c>
      <c r="U133" s="60">
        <f t="shared" si="8"/>
        <v>2011</v>
      </c>
      <c r="V133" s="59" t="str">
        <f>TEXT(F133/24,"H AM/PM")</f>
        <v>5 PM</v>
      </c>
      <c r="W133" s="59" t="str">
        <f>IF(H133=6,"Saturday",IF(H133=0,"Sunday",IF(H133=1,"Monday",IF(H133=2,"Tuesday",IF(H133=3,"Wednesday",IF(H133=4,"Thursday",IF(H133=5,"Friday")))))))</f>
        <v>Thursday</v>
      </c>
      <c r="X133" s="59" t="str">
        <f>IF(G133=FALSE,"Working day", IF(G133=TRUE,"Holiday"))</f>
        <v>Working day</v>
      </c>
    </row>
    <row r="134" spans="1:24" x14ac:dyDescent="0.25">
      <c r="A134" s="32">
        <v>133</v>
      </c>
      <c r="B134" s="33">
        <v>40549</v>
      </c>
      <c r="C134" s="26">
        <v>1</v>
      </c>
      <c r="D134" s="26">
        <v>0</v>
      </c>
      <c r="E134" s="26">
        <v>1</v>
      </c>
      <c r="F134" s="26">
        <v>18</v>
      </c>
      <c r="G134" s="26" t="b">
        <v>0</v>
      </c>
      <c r="H134" s="26">
        <v>4</v>
      </c>
      <c r="I134" s="26">
        <v>1</v>
      </c>
      <c r="J134" s="26">
        <v>0.22</v>
      </c>
      <c r="K134" s="26">
        <v>0.2576</v>
      </c>
      <c r="L134" s="26">
        <v>0.51</v>
      </c>
      <c r="M134">
        <v>0.1343</v>
      </c>
      <c r="N134" s="26">
        <v>5</v>
      </c>
      <c r="O134" s="26">
        <v>158</v>
      </c>
      <c r="P134" s="26">
        <v>163</v>
      </c>
      <c r="Q134" s="34" t="str">
        <f t="shared" si="6"/>
        <v>Clear</v>
      </c>
      <c r="R134" s="41" t="str">
        <f>IF(I134=1,"Normal",IF(I134=2,"Yellow Alert",IF(I134=3,"Orange Alert",IF(I134=4,"Red Alert"))))</f>
        <v>Normal</v>
      </c>
      <c r="S134" s="60">
        <f t="shared" si="7"/>
        <v>6</v>
      </c>
      <c r="T134" s="60">
        <f>MONTH(dataset_1!B:B)</f>
        <v>1</v>
      </c>
      <c r="U134" s="60">
        <f t="shared" si="8"/>
        <v>2011</v>
      </c>
      <c r="V134" s="59" t="str">
        <f>TEXT(F134/24,"H AM/PM")</f>
        <v>6 PM</v>
      </c>
      <c r="W134" s="59" t="str">
        <f>IF(H134=6,"Saturday",IF(H134=0,"Sunday",IF(H134=1,"Monday",IF(H134=2,"Tuesday",IF(H134=3,"Wednesday",IF(H134=4,"Thursday",IF(H134=5,"Friday")))))))</f>
        <v>Thursday</v>
      </c>
      <c r="X134" s="59" t="str">
        <f>IF(G134=FALSE,"Working day", IF(G134=TRUE,"Holiday"))</f>
        <v>Working day</v>
      </c>
    </row>
    <row r="135" spans="1:24" x14ac:dyDescent="0.25">
      <c r="A135" s="32">
        <v>134</v>
      </c>
      <c r="B135" s="33">
        <v>40549</v>
      </c>
      <c r="C135" s="26">
        <v>1</v>
      </c>
      <c r="D135" s="26">
        <v>0</v>
      </c>
      <c r="E135" s="26">
        <v>1</v>
      </c>
      <c r="F135" s="26">
        <v>19</v>
      </c>
      <c r="G135" s="26" t="b">
        <v>0</v>
      </c>
      <c r="H135" s="26">
        <v>4</v>
      </c>
      <c r="I135" s="26">
        <v>1</v>
      </c>
      <c r="J135" s="26">
        <v>0.22</v>
      </c>
      <c r="K135" s="26">
        <v>0.21210000000000001</v>
      </c>
      <c r="L135" s="26">
        <v>0.55000000000000004</v>
      </c>
      <c r="M135">
        <v>8.9599999999999999E-2</v>
      </c>
      <c r="N135" s="26">
        <v>3</v>
      </c>
      <c r="O135" s="26">
        <v>109</v>
      </c>
      <c r="P135" s="26">
        <v>112</v>
      </c>
      <c r="Q135" s="34" t="str">
        <f t="shared" si="6"/>
        <v>Clear</v>
      </c>
      <c r="R135" s="41" t="str">
        <f>IF(I135=1,"Normal",IF(I135=2,"Yellow Alert",IF(I135=3,"Orange Alert",IF(I135=4,"Red Alert"))))</f>
        <v>Normal</v>
      </c>
      <c r="S135" s="60">
        <f t="shared" si="7"/>
        <v>6</v>
      </c>
      <c r="T135" s="60">
        <f>MONTH(dataset_1!B:B)</f>
        <v>1</v>
      </c>
      <c r="U135" s="60">
        <f t="shared" si="8"/>
        <v>2011</v>
      </c>
      <c r="V135" s="59" t="str">
        <f>TEXT(F135/24,"H AM/PM")</f>
        <v>7 PM</v>
      </c>
      <c r="W135" s="59" t="str">
        <f>IF(H135=6,"Saturday",IF(H135=0,"Sunday",IF(H135=1,"Monday",IF(H135=2,"Tuesday",IF(H135=3,"Wednesday",IF(H135=4,"Thursday",IF(H135=5,"Friday")))))))</f>
        <v>Thursday</v>
      </c>
      <c r="X135" s="59" t="str">
        <f>IF(G135=FALSE,"Working day", IF(G135=TRUE,"Holiday"))</f>
        <v>Working day</v>
      </c>
    </row>
    <row r="136" spans="1:24" x14ac:dyDescent="0.25">
      <c r="A136" s="32">
        <v>135</v>
      </c>
      <c r="B136" s="33">
        <v>40549</v>
      </c>
      <c r="C136" s="26">
        <v>1</v>
      </c>
      <c r="D136" s="26">
        <v>0</v>
      </c>
      <c r="E136" s="26">
        <v>1</v>
      </c>
      <c r="F136" s="26">
        <v>20</v>
      </c>
      <c r="G136" s="26" t="b">
        <v>0</v>
      </c>
      <c r="H136" s="26">
        <v>4</v>
      </c>
      <c r="I136" s="26">
        <v>1</v>
      </c>
      <c r="J136" s="26">
        <v>0.2</v>
      </c>
      <c r="K136" s="26">
        <v>0.21210000000000001</v>
      </c>
      <c r="L136" s="26">
        <v>0.51</v>
      </c>
      <c r="M136">
        <v>0.16420000000000001</v>
      </c>
      <c r="N136" s="26">
        <v>3</v>
      </c>
      <c r="O136" s="26">
        <v>66</v>
      </c>
      <c r="P136" s="26">
        <v>69</v>
      </c>
      <c r="Q136" s="34" t="str">
        <f t="shared" si="6"/>
        <v>Clear</v>
      </c>
      <c r="R136" s="41" t="str">
        <f>IF(I136=1,"Normal",IF(I136=2,"Yellow Alert",IF(I136=3,"Orange Alert",IF(I136=4,"Red Alert"))))</f>
        <v>Normal</v>
      </c>
      <c r="S136" s="60">
        <f t="shared" si="7"/>
        <v>6</v>
      </c>
      <c r="T136" s="60">
        <f>MONTH(dataset_1!B:B)</f>
        <v>1</v>
      </c>
      <c r="U136" s="60">
        <f t="shared" si="8"/>
        <v>2011</v>
      </c>
      <c r="V136" s="59" t="str">
        <f>TEXT(F136/24,"H AM/PM")</f>
        <v>8 PM</v>
      </c>
      <c r="W136" s="59" t="str">
        <f>IF(H136=6,"Saturday",IF(H136=0,"Sunday",IF(H136=1,"Monday",IF(H136=2,"Tuesday",IF(H136=3,"Wednesday",IF(H136=4,"Thursday",IF(H136=5,"Friday")))))))</f>
        <v>Thursday</v>
      </c>
      <c r="X136" s="59" t="str">
        <f>IF(G136=FALSE,"Working day", IF(G136=TRUE,"Holiday"))</f>
        <v>Working day</v>
      </c>
    </row>
    <row r="137" spans="1:24" x14ac:dyDescent="0.25">
      <c r="A137" s="32">
        <v>136</v>
      </c>
      <c r="B137" s="33">
        <v>40549</v>
      </c>
      <c r="C137" s="26">
        <v>1</v>
      </c>
      <c r="D137" s="26">
        <v>0</v>
      </c>
      <c r="E137" s="26">
        <v>1</v>
      </c>
      <c r="F137" s="26">
        <v>21</v>
      </c>
      <c r="G137" s="26" t="b">
        <v>0</v>
      </c>
      <c r="H137" s="26">
        <v>4</v>
      </c>
      <c r="I137" s="26">
        <v>2</v>
      </c>
      <c r="J137" s="26">
        <v>0.22</v>
      </c>
      <c r="K137" s="26">
        <v>0.21210000000000001</v>
      </c>
      <c r="L137" s="26">
        <v>0.55000000000000004</v>
      </c>
      <c r="M137">
        <v>0.22389999999999999</v>
      </c>
      <c r="N137" s="26">
        <v>0</v>
      </c>
      <c r="O137" s="26">
        <v>48</v>
      </c>
      <c r="P137" s="26">
        <v>48</v>
      </c>
      <c r="Q137" s="34" t="str">
        <f t="shared" si="6"/>
        <v>Cloudy</v>
      </c>
      <c r="R137" s="41" t="str">
        <f>IF(I137=1,"Normal",IF(I137=2,"Yellow Alert",IF(I137=3,"Orange Alert",IF(I137=4,"Red Alert"))))</f>
        <v>Yellow Alert</v>
      </c>
      <c r="S137" s="60">
        <f t="shared" si="7"/>
        <v>6</v>
      </c>
      <c r="T137" s="60">
        <f>MONTH(dataset_1!B:B)</f>
        <v>1</v>
      </c>
      <c r="U137" s="60">
        <f t="shared" si="8"/>
        <v>2011</v>
      </c>
      <c r="V137" s="59" t="str">
        <f>TEXT(F137/24,"H AM/PM")</f>
        <v>9 PM</v>
      </c>
      <c r="W137" s="59" t="str">
        <f>IF(H137=6,"Saturday",IF(H137=0,"Sunday",IF(H137=1,"Monday",IF(H137=2,"Tuesday",IF(H137=3,"Wednesday",IF(H137=4,"Thursday",IF(H137=5,"Friday")))))))</f>
        <v>Thursday</v>
      </c>
      <c r="X137" s="59" t="str">
        <f>IF(G137=FALSE,"Working day", IF(G137=TRUE,"Holiday"))</f>
        <v>Working day</v>
      </c>
    </row>
    <row r="138" spans="1:24" x14ac:dyDescent="0.25">
      <c r="A138" s="32">
        <v>137</v>
      </c>
      <c r="B138" s="33">
        <v>40549</v>
      </c>
      <c r="C138" s="26">
        <v>1</v>
      </c>
      <c r="D138" s="26">
        <v>0</v>
      </c>
      <c r="E138" s="26">
        <v>1</v>
      </c>
      <c r="F138" s="26">
        <v>22</v>
      </c>
      <c r="G138" s="26" t="b">
        <v>0</v>
      </c>
      <c r="H138" s="26">
        <v>4</v>
      </c>
      <c r="I138" s="26">
        <v>2</v>
      </c>
      <c r="J138" s="26">
        <v>0.22</v>
      </c>
      <c r="K138" s="26">
        <v>0.19700000000000001</v>
      </c>
      <c r="L138" s="26">
        <v>0.51</v>
      </c>
      <c r="M138">
        <v>0.28360000000000002</v>
      </c>
      <c r="N138" s="26">
        <v>1</v>
      </c>
      <c r="O138" s="26">
        <v>51</v>
      </c>
      <c r="P138" s="26">
        <v>52</v>
      </c>
      <c r="Q138" s="34" t="str">
        <f t="shared" si="6"/>
        <v>Cloudy</v>
      </c>
      <c r="R138" s="41" t="str">
        <f>IF(I138=1,"Normal",IF(I138=2,"Yellow Alert",IF(I138=3,"Orange Alert",IF(I138=4,"Red Alert"))))</f>
        <v>Yellow Alert</v>
      </c>
      <c r="S138" s="60">
        <f t="shared" si="7"/>
        <v>6</v>
      </c>
      <c r="T138" s="60">
        <f>MONTH(dataset_1!B:B)</f>
        <v>1</v>
      </c>
      <c r="U138" s="60">
        <f t="shared" si="8"/>
        <v>2011</v>
      </c>
      <c r="V138" s="59" t="str">
        <f>TEXT(F138/24,"H AM/PM")</f>
        <v>10 PM</v>
      </c>
      <c r="W138" s="59" t="str">
        <f>IF(H138=6,"Saturday",IF(H138=0,"Sunday",IF(H138=1,"Monday",IF(H138=2,"Tuesday",IF(H138=3,"Wednesday",IF(H138=4,"Thursday",IF(H138=5,"Friday")))))))</f>
        <v>Thursday</v>
      </c>
      <c r="X138" s="59" t="str">
        <f>IF(G138=FALSE,"Working day", IF(G138=TRUE,"Holiday"))</f>
        <v>Working day</v>
      </c>
    </row>
    <row r="139" spans="1:24" x14ac:dyDescent="0.25">
      <c r="A139" s="32">
        <v>138</v>
      </c>
      <c r="B139" s="33">
        <v>40549</v>
      </c>
      <c r="C139" s="26">
        <v>1</v>
      </c>
      <c r="D139" s="26">
        <v>0</v>
      </c>
      <c r="E139" s="26">
        <v>1</v>
      </c>
      <c r="F139" s="26">
        <v>23</v>
      </c>
      <c r="G139" s="26" t="b">
        <v>0</v>
      </c>
      <c r="H139" s="26">
        <v>4</v>
      </c>
      <c r="I139" s="26">
        <v>2</v>
      </c>
      <c r="J139" s="26">
        <v>0.2</v>
      </c>
      <c r="K139" s="26">
        <v>0.19700000000000001</v>
      </c>
      <c r="L139" s="26">
        <v>0.59</v>
      </c>
      <c r="M139">
        <v>0.19400000000000001</v>
      </c>
      <c r="N139" s="26">
        <v>4</v>
      </c>
      <c r="O139" s="26">
        <v>19</v>
      </c>
      <c r="P139" s="26">
        <v>23</v>
      </c>
      <c r="Q139" s="34" t="str">
        <f t="shared" si="6"/>
        <v>Cloudy</v>
      </c>
      <c r="R139" s="41" t="str">
        <f>IF(I139=1,"Normal",IF(I139=2,"Yellow Alert",IF(I139=3,"Orange Alert",IF(I139=4,"Red Alert"))))</f>
        <v>Yellow Alert</v>
      </c>
      <c r="S139" s="60">
        <f t="shared" si="7"/>
        <v>6</v>
      </c>
      <c r="T139" s="60">
        <f>MONTH(dataset_1!B:B)</f>
        <v>1</v>
      </c>
      <c r="U139" s="60">
        <f t="shared" si="8"/>
        <v>2011</v>
      </c>
      <c r="V139" s="59" t="str">
        <f>TEXT(F139/24,"H AM/PM")</f>
        <v>11 PM</v>
      </c>
      <c r="W139" s="59" t="str">
        <f>IF(H139=6,"Saturday",IF(H139=0,"Sunday",IF(H139=1,"Monday",IF(H139=2,"Tuesday",IF(H139=3,"Wednesday",IF(H139=4,"Thursday",IF(H139=5,"Friday")))))))</f>
        <v>Thursday</v>
      </c>
      <c r="X139" s="59" t="str">
        <f>IF(G139=FALSE,"Working day", IF(G139=TRUE,"Holiday"))</f>
        <v>Working day</v>
      </c>
    </row>
    <row r="140" spans="1:24" x14ac:dyDescent="0.25">
      <c r="A140" s="32">
        <v>139</v>
      </c>
      <c r="B140" s="33">
        <v>40550</v>
      </c>
      <c r="C140" s="26">
        <v>1</v>
      </c>
      <c r="D140" s="26">
        <v>0</v>
      </c>
      <c r="E140" s="26">
        <v>1</v>
      </c>
      <c r="F140" s="26">
        <v>0</v>
      </c>
      <c r="G140" s="26" t="b">
        <v>0</v>
      </c>
      <c r="H140" s="26">
        <v>5</v>
      </c>
      <c r="I140" s="26">
        <v>2</v>
      </c>
      <c r="J140" s="26">
        <v>0.2</v>
      </c>
      <c r="K140" s="26">
        <v>0.19700000000000001</v>
      </c>
      <c r="L140" s="26">
        <v>0.64</v>
      </c>
      <c r="M140">
        <v>0.19400000000000001</v>
      </c>
      <c r="N140" s="26">
        <v>4</v>
      </c>
      <c r="O140" s="26">
        <v>13</v>
      </c>
      <c r="P140" s="26">
        <v>17</v>
      </c>
      <c r="Q140" s="34" t="str">
        <f t="shared" si="6"/>
        <v>Cloudy</v>
      </c>
      <c r="R140" s="41" t="str">
        <f>IF(I140=1,"Normal",IF(I140=2,"Yellow Alert",IF(I140=3,"Orange Alert",IF(I140=4,"Red Alert"))))</f>
        <v>Yellow Alert</v>
      </c>
      <c r="S140" s="60">
        <f t="shared" si="7"/>
        <v>7</v>
      </c>
      <c r="T140" s="60">
        <f>MONTH(dataset_1!B:B)</f>
        <v>1</v>
      </c>
      <c r="U140" s="60">
        <f t="shared" si="8"/>
        <v>2011</v>
      </c>
      <c r="V140" s="59" t="str">
        <f>TEXT(F140/24,"H AM/PM")</f>
        <v>12 AM</v>
      </c>
      <c r="W140" s="59" t="str">
        <f>IF(H140=6,"Saturday",IF(H140=0,"Sunday",IF(H140=1,"Monday",IF(H140=2,"Tuesday",IF(H140=3,"Wednesday",IF(H140=4,"Thursday",IF(H140=5,"Friday")))))))</f>
        <v>Friday</v>
      </c>
      <c r="X140" s="59" t="str">
        <f>IF(G140=FALSE,"Working day", IF(G140=TRUE,"Holiday"))</f>
        <v>Working day</v>
      </c>
    </row>
    <row r="141" spans="1:24" x14ac:dyDescent="0.25">
      <c r="A141" s="32">
        <v>140</v>
      </c>
      <c r="B141" s="33">
        <v>40550</v>
      </c>
      <c r="C141" s="26">
        <v>1</v>
      </c>
      <c r="D141" s="26">
        <v>0</v>
      </c>
      <c r="E141" s="26">
        <v>1</v>
      </c>
      <c r="F141" s="26">
        <v>1</v>
      </c>
      <c r="G141" s="26" t="b">
        <v>0</v>
      </c>
      <c r="H141" s="26">
        <v>5</v>
      </c>
      <c r="I141" s="26">
        <v>2</v>
      </c>
      <c r="J141" s="26">
        <v>0.2</v>
      </c>
      <c r="K141" s="26">
        <v>0.19700000000000001</v>
      </c>
      <c r="L141" s="26">
        <v>0.69</v>
      </c>
      <c r="M141">
        <v>0.22389999999999999</v>
      </c>
      <c r="N141" s="26">
        <v>2</v>
      </c>
      <c r="O141" s="26">
        <v>5</v>
      </c>
      <c r="P141" s="26">
        <v>7</v>
      </c>
      <c r="Q141" s="34" t="str">
        <f t="shared" si="6"/>
        <v>Cloudy</v>
      </c>
      <c r="R141" s="41" t="str">
        <f>IF(I141=1,"Normal",IF(I141=2,"Yellow Alert",IF(I141=3,"Orange Alert",IF(I141=4,"Red Alert"))))</f>
        <v>Yellow Alert</v>
      </c>
      <c r="S141" s="60">
        <f t="shared" si="7"/>
        <v>7</v>
      </c>
      <c r="T141" s="60">
        <f>MONTH(dataset_1!B:B)</f>
        <v>1</v>
      </c>
      <c r="U141" s="60">
        <f t="shared" si="8"/>
        <v>2011</v>
      </c>
      <c r="V141" s="59" t="str">
        <f>TEXT(F141/24,"H AM/PM")</f>
        <v>1 AM</v>
      </c>
      <c r="W141" s="59" t="str">
        <f>IF(H141=6,"Saturday",IF(H141=0,"Sunday",IF(H141=1,"Monday",IF(H141=2,"Tuesday",IF(H141=3,"Wednesday",IF(H141=4,"Thursday",IF(H141=5,"Friday")))))))</f>
        <v>Friday</v>
      </c>
      <c r="X141" s="59" t="str">
        <f>IF(G141=FALSE,"Working day", IF(G141=TRUE,"Holiday"))</f>
        <v>Working day</v>
      </c>
    </row>
    <row r="142" spans="1:24" x14ac:dyDescent="0.25">
      <c r="A142" s="32">
        <v>141</v>
      </c>
      <c r="B142" s="33">
        <v>40550</v>
      </c>
      <c r="C142" s="26">
        <v>1</v>
      </c>
      <c r="D142" s="26">
        <v>0</v>
      </c>
      <c r="E142" s="26">
        <v>1</v>
      </c>
      <c r="F142" s="26">
        <v>2</v>
      </c>
      <c r="G142" s="26" t="b">
        <v>0</v>
      </c>
      <c r="H142" s="26">
        <v>5</v>
      </c>
      <c r="I142" s="26">
        <v>2</v>
      </c>
      <c r="J142" s="26">
        <v>0.2</v>
      </c>
      <c r="K142" s="26">
        <v>0.21210000000000001</v>
      </c>
      <c r="L142" s="26">
        <v>0.69</v>
      </c>
      <c r="M142">
        <v>0.22389999999999999</v>
      </c>
      <c r="N142" s="26">
        <v>0</v>
      </c>
      <c r="O142" s="26">
        <v>1</v>
      </c>
      <c r="P142" s="26">
        <v>1</v>
      </c>
      <c r="Q142" s="34" t="str">
        <f t="shared" si="6"/>
        <v>Cloudy</v>
      </c>
      <c r="R142" s="41" t="str">
        <f>IF(I142=1,"Normal",IF(I142=2,"Yellow Alert",IF(I142=3,"Orange Alert",IF(I142=4,"Red Alert"))))</f>
        <v>Yellow Alert</v>
      </c>
      <c r="S142" s="60">
        <f t="shared" si="7"/>
        <v>7</v>
      </c>
      <c r="T142" s="60">
        <f>MONTH(dataset_1!B:B)</f>
        <v>1</v>
      </c>
      <c r="U142" s="60">
        <f t="shared" si="8"/>
        <v>2011</v>
      </c>
      <c r="V142" s="59" t="str">
        <f>TEXT(F142/24,"H AM/PM")</f>
        <v>2 AM</v>
      </c>
      <c r="W142" s="59" t="str">
        <f>IF(H142=6,"Saturday",IF(H142=0,"Sunday",IF(H142=1,"Monday",IF(H142=2,"Tuesday",IF(H142=3,"Wednesday",IF(H142=4,"Thursday",IF(H142=5,"Friday")))))))</f>
        <v>Friday</v>
      </c>
      <c r="X142" s="59" t="str">
        <f>IF(G142=FALSE,"Working day", IF(G142=TRUE,"Holiday"))</f>
        <v>Working day</v>
      </c>
    </row>
    <row r="143" spans="1:24" x14ac:dyDescent="0.25">
      <c r="A143" s="32">
        <v>142</v>
      </c>
      <c r="B143" s="33">
        <v>40550</v>
      </c>
      <c r="C143" s="26">
        <v>1</v>
      </c>
      <c r="D143" s="26">
        <v>0</v>
      </c>
      <c r="E143" s="26">
        <v>1</v>
      </c>
      <c r="F143" s="26">
        <v>4</v>
      </c>
      <c r="G143" s="26" t="b">
        <v>0</v>
      </c>
      <c r="H143" s="26">
        <v>5</v>
      </c>
      <c r="I143" s="26">
        <v>2</v>
      </c>
      <c r="J143" s="26">
        <v>0.2</v>
      </c>
      <c r="K143" s="26">
        <v>0.2727</v>
      </c>
      <c r="L143" s="26">
        <v>0.69</v>
      </c>
      <c r="M143">
        <v>0.1343</v>
      </c>
      <c r="N143" s="26">
        <v>0</v>
      </c>
      <c r="O143" s="26">
        <v>1</v>
      </c>
      <c r="P143" s="26">
        <v>1</v>
      </c>
      <c r="Q143" s="34" t="str">
        <f t="shared" si="6"/>
        <v>Cloudy</v>
      </c>
      <c r="R143" s="41" t="str">
        <f>IF(I143=1,"Normal",IF(I143=2,"Yellow Alert",IF(I143=3,"Orange Alert",IF(I143=4,"Red Alert"))))</f>
        <v>Yellow Alert</v>
      </c>
      <c r="S143" s="60">
        <f t="shared" si="7"/>
        <v>7</v>
      </c>
      <c r="T143" s="60">
        <f>MONTH(dataset_1!B:B)</f>
        <v>1</v>
      </c>
      <c r="U143" s="60">
        <f t="shared" si="8"/>
        <v>2011</v>
      </c>
      <c r="V143" s="59" t="str">
        <f>TEXT(F143/24,"H AM/PM")</f>
        <v>4 AM</v>
      </c>
      <c r="W143" s="59" t="str">
        <f>IF(H143=6,"Saturday",IF(H143=0,"Sunday",IF(H143=1,"Monday",IF(H143=2,"Tuesday",IF(H143=3,"Wednesday",IF(H143=4,"Thursday",IF(H143=5,"Friday")))))))</f>
        <v>Friday</v>
      </c>
      <c r="X143" s="59" t="str">
        <f>IF(G143=FALSE,"Working day", IF(G143=TRUE,"Holiday"))</f>
        <v>Working day</v>
      </c>
    </row>
    <row r="144" spans="1:24" x14ac:dyDescent="0.25">
      <c r="A144" s="32">
        <v>143</v>
      </c>
      <c r="B144" s="33">
        <v>40550</v>
      </c>
      <c r="C144" s="26">
        <v>1</v>
      </c>
      <c r="D144" s="26">
        <v>0</v>
      </c>
      <c r="E144" s="26">
        <v>1</v>
      </c>
      <c r="F144" s="26">
        <v>5</v>
      </c>
      <c r="G144" s="26" t="b">
        <v>0</v>
      </c>
      <c r="H144" s="26">
        <v>5</v>
      </c>
      <c r="I144" s="26">
        <v>3</v>
      </c>
      <c r="J144" s="26">
        <v>0.22</v>
      </c>
      <c r="K144" s="26">
        <v>0.2576</v>
      </c>
      <c r="L144" s="26">
        <v>0.55000000000000004</v>
      </c>
      <c r="M144">
        <v>0</v>
      </c>
      <c r="N144" s="26">
        <v>0</v>
      </c>
      <c r="O144" s="26">
        <v>5</v>
      </c>
      <c r="P144" s="26">
        <v>5</v>
      </c>
      <c r="Q144" s="34" t="str">
        <f t="shared" si="6"/>
        <v>Light Rain</v>
      </c>
      <c r="R144" s="41" t="str">
        <f>IF(I144=1,"Normal",IF(I144=2,"Yellow Alert",IF(I144=3,"Orange Alert",IF(I144=4,"Red Alert"))))</f>
        <v>Orange Alert</v>
      </c>
      <c r="S144" s="60">
        <f t="shared" si="7"/>
        <v>7</v>
      </c>
      <c r="T144" s="60">
        <f>MONTH(dataset_1!B:B)</f>
        <v>1</v>
      </c>
      <c r="U144" s="60">
        <f t="shared" si="8"/>
        <v>2011</v>
      </c>
      <c r="V144" s="59" t="str">
        <f>TEXT(F144/24,"H AM/PM")</f>
        <v>5 AM</v>
      </c>
      <c r="W144" s="59" t="str">
        <f>IF(H144=6,"Saturday",IF(H144=0,"Sunday",IF(H144=1,"Monday",IF(H144=2,"Tuesday",IF(H144=3,"Wednesday",IF(H144=4,"Thursday",IF(H144=5,"Friday")))))))</f>
        <v>Friday</v>
      </c>
      <c r="X144" s="59" t="str">
        <f>IF(G144=FALSE,"Working day", IF(G144=TRUE,"Holiday"))</f>
        <v>Working day</v>
      </c>
    </row>
    <row r="145" spans="1:24" x14ac:dyDescent="0.25">
      <c r="A145" s="32">
        <v>144</v>
      </c>
      <c r="B145" s="33">
        <v>40550</v>
      </c>
      <c r="C145" s="26">
        <v>1</v>
      </c>
      <c r="D145" s="26">
        <v>0</v>
      </c>
      <c r="E145" s="26">
        <v>1</v>
      </c>
      <c r="F145" s="26">
        <v>6</v>
      </c>
      <c r="G145" s="26" t="b">
        <v>0</v>
      </c>
      <c r="H145" s="26">
        <v>5</v>
      </c>
      <c r="I145" s="26">
        <v>2</v>
      </c>
      <c r="J145" s="26">
        <v>0.2</v>
      </c>
      <c r="K145" s="26">
        <v>0.21210000000000001</v>
      </c>
      <c r="L145" s="26">
        <v>0.69</v>
      </c>
      <c r="M145">
        <v>0</v>
      </c>
      <c r="N145" s="26">
        <v>8</v>
      </c>
      <c r="O145" s="26">
        <v>26</v>
      </c>
      <c r="P145" s="26">
        <v>34</v>
      </c>
      <c r="Q145" s="34" t="str">
        <f t="shared" si="6"/>
        <v>Cloudy</v>
      </c>
      <c r="R145" s="41" t="str">
        <f>IF(I145=1,"Normal",IF(I145=2,"Yellow Alert",IF(I145=3,"Orange Alert",IF(I145=4,"Red Alert"))))</f>
        <v>Yellow Alert</v>
      </c>
      <c r="S145" s="60">
        <f t="shared" si="7"/>
        <v>7</v>
      </c>
      <c r="T145" s="60">
        <f>MONTH(dataset_1!B:B)</f>
        <v>1</v>
      </c>
      <c r="U145" s="60">
        <f t="shared" si="8"/>
        <v>2011</v>
      </c>
      <c r="V145" s="59" t="str">
        <f>TEXT(F145/24,"H AM/PM")</f>
        <v>6 AM</v>
      </c>
      <c r="W145" s="59" t="str">
        <f>IF(H145=6,"Saturday",IF(H145=0,"Sunday",IF(H145=1,"Monday",IF(H145=2,"Tuesday",IF(H145=3,"Wednesday",IF(H145=4,"Thursday",IF(H145=5,"Friday")))))))</f>
        <v>Friday</v>
      </c>
      <c r="X145" s="59" t="str">
        <f>IF(G145=FALSE,"Working day", IF(G145=TRUE,"Holiday"))</f>
        <v>Working day</v>
      </c>
    </row>
    <row r="146" spans="1:24" x14ac:dyDescent="0.25">
      <c r="A146" s="32">
        <v>145</v>
      </c>
      <c r="B146" s="33">
        <v>40550</v>
      </c>
      <c r="C146" s="26">
        <v>1</v>
      </c>
      <c r="D146" s="26">
        <v>0</v>
      </c>
      <c r="E146" s="26">
        <v>1</v>
      </c>
      <c r="F146" s="26">
        <v>7</v>
      </c>
      <c r="G146" s="26" t="b">
        <v>0</v>
      </c>
      <c r="H146" s="26">
        <v>5</v>
      </c>
      <c r="I146" s="26">
        <v>1</v>
      </c>
      <c r="J146" s="26">
        <v>0.2</v>
      </c>
      <c r="K146" s="26">
        <v>0.19700000000000001</v>
      </c>
      <c r="L146" s="26">
        <v>0.69</v>
      </c>
      <c r="M146">
        <v>0.1343</v>
      </c>
      <c r="N146" s="26">
        <v>8</v>
      </c>
      <c r="O146" s="26">
        <v>76</v>
      </c>
      <c r="P146" s="26">
        <v>84</v>
      </c>
      <c r="Q146" s="34" t="str">
        <f t="shared" si="6"/>
        <v>Clear</v>
      </c>
      <c r="R146" s="41" t="str">
        <f>IF(I146=1,"Normal",IF(I146=2,"Yellow Alert",IF(I146=3,"Orange Alert",IF(I146=4,"Red Alert"))))</f>
        <v>Normal</v>
      </c>
      <c r="S146" s="60">
        <f t="shared" si="7"/>
        <v>7</v>
      </c>
      <c r="T146" s="60">
        <f>MONTH(dataset_1!B:B)</f>
        <v>1</v>
      </c>
      <c r="U146" s="60">
        <f t="shared" si="8"/>
        <v>2011</v>
      </c>
      <c r="V146" s="59" t="str">
        <f>TEXT(F146/24,"H AM/PM")</f>
        <v>7 AM</v>
      </c>
      <c r="W146" s="59" t="str">
        <f>IF(H146=6,"Saturday",IF(H146=0,"Sunday",IF(H146=1,"Monday",IF(H146=2,"Tuesday",IF(H146=3,"Wednesday",IF(H146=4,"Thursday",IF(H146=5,"Friday")))))))</f>
        <v>Friday</v>
      </c>
      <c r="X146" s="59" t="str">
        <f>IF(G146=FALSE,"Working day", IF(G146=TRUE,"Holiday"))</f>
        <v>Working day</v>
      </c>
    </row>
    <row r="147" spans="1:24" x14ac:dyDescent="0.25">
      <c r="A147" s="32">
        <v>146</v>
      </c>
      <c r="B147" s="33">
        <v>40550</v>
      </c>
      <c r="C147" s="26">
        <v>1</v>
      </c>
      <c r="D147" s="26">
        <v>0</v>
      </c>
      <c r="E147" s="26">
        <v>1</v>
      </c>
      <c r="F147" s="26">
        <v>8</v>
      </c>
      <c r="G147" s="26" t="b">
        <v>0</v>
      </c>
      <c r="H147" s="26">
        <v>5</v>
      </c>
      <c r="I147" s="26">
        <v>1</v>
      </c>
      <c r="J147" s="26">
        <v>0.2</v>
      </c>
      <c r="K147" s="26">
        <v>0.18179999999999999</v>
      </c>
      <c r="L147" s="26">
        <v>0.51</v>
      </c>
      <c r="M147">
        <v>0.25369999999999998</v>
      </c>
      <c r="N147" s="26">
        <v>20</v>
      </c>
      <c r="O147" s="26">
        <v>190</v>
      </c>
      <c r="P147" s="26">
        <v>210</v>
      </c>
      <c r="Q147" s="34" t="str">
        <f t="shared" si="6"/>
        <v>Clear</v>
      </c>
      <c r="R147" s="41" t="str">
        <f>IF(I147=1,"Normal",IF(I147=2,"Yellow Alert",IF(I147=3,"Orange Alert",IF(I147=4,"Red Alert"))))</f>
        <v>Normal</v>
      </c>
      <c r="S147" s="60">
        <f t="shared" si="7"/>
        <v>7</v>
      </c>
      <c r="T147" s="60">
        <f>MONTH(dataset_1!B:B)</f>
        <v>1</v>
      </c>
      <c r="U147" s="60">
        <f t="shared" si="8"/>
        <v>2011</v>
      </c>
      <c r="V147" s="59" t="str">
        <f>TEXT(F147/24,"H AM/PM")</f>
        <v>8 AM</v>
      </c>
      <c r="W147" s="59" t="str">
        <f>IF(H147=6,"Saturday",IF(H147=0,"Sunday",IF(H147=1,"Monday",IF(H147=2,"Tuesday",IF(H147=3,"Wednesday",IF(H147=4,"Thursday",IF(H147=5,"Friday")))))))</f>
        <v>Friday</v>
      </c>
      <c r="X147" s="59" t="str">
        <f>IF(G147=FALSE,"Working day", IF(G147=TRUE,"Holiday"))</f>
        <v>Working day</v>
      </c>
    </row>
    <row r="148" spans="1:24" x14ac:dyDescent="0.25">
      <c r="A148" s="32">
        <v>147</v>
      </c>
      <c r="B148" s="33">
        <v>40550</v>
      </c>
      <c r="C148" s="26">
        <v>1</v>
      </c>
      <c r="D148" s="26">
        <v>0</v>
      </c>
      <c r="E148" s="26">
        <v>1</v>
      </c>
      <c r="F148" s="26">
        <v>9</v>
      </c>
      <c r="G148" s="26" t="b">
        <v>0</v>
      </c>
      <c r="H148" s="26">
        <v>5</v>
      </c>
      <c r="I148" s="26">
        <v>1</v>
      </c>
      <c r="J148" s="26">
        <v>0.2</v>
      </c>
      <c r="K148" s="26">
        <v>0.19700000000000001</v>
      </c>
      <c r="L148" s="26">
        <v>0.47</v>
      </c>
      <c r="M148">
        <v>0.29849999999999999</v>
      </c>
      <c r="N148" s="26">
        <v>9</v>
      </c>
      <c r="O148" s="26">
        <v>125</v>
      </c>
      <c r="P148" s="26">
        <v>134</v>
      </c>
      <c r="Q148" s="34" t="str">
        <f t="shared" si="6"/>
        <v>Clear</v>
      </c>
      <c r="R148" s="41" t="str">
        <f>IF(I148=1,"Normal",IF(I148=2,"Yellow Alert",IF(I148=3,"Orange Alert",IF(I148=4,"Red Alert"))))</f>
        <v>Normal</v>
      </c>
      <c r="S148" s="60">
        <f t="shared" si="7"/>
        <v>7</v>
      </c>
      <c r="T148" s="60">
        <f>MONTH(dataset_1!B:B)</f>
        <v>1</v>
      </c>
      <c r="U148" s="60">
        <f t="shared" si="8"/>
        <v>2011</v>
      </c>
      <c r="V148" s="59" t="str">
        <f>TEXT(F148/24,"H AM/PM")</f>
        <v>9 AM</v>
      </c>
      <c r="W148" s="59" t="str">
        <f>IF(H148=6,"Saturday",IF(H148=0,"Sunday",IF(H148=1,"Monday",IF(H148=2,"Tuesday",IF(H148=3,"Wednesday",IF(H148=4,"Thursday",IF(H148=5,"Friday")))))))</f>
        <v>Friday</v>
      </c>
      <c r="X148" s="59" t="str">
        <f>IF(G148=FALSE,"Working day", IF(G148=TRUE,"Holiday"))</f>
        <v>Working day</v>
      </c>
    </row>
    <row r="149" spans="1:24" x14ac:dyDescent="0.25">
      <c r="A149" s="32">
        <v>148</v>
      </c>
      <c r="B149" s="33">
        <v>40550</v>
      </c>
      <c r="C149" s="26">
        <v>1</v>
      </c>
      <c r="D149" s="26">
        <v>0</v>
      </c>
      <c r="E149" s="26">
        <v>1</v>
      </c>
      <c r="F149" s="26">
        <v>10</v>
      </c>
      <c r="G149" s="26" t="b">
        <v>0</v>
      </c>
      <c r="H149" s="26">
        <v>5</v>
      </c>
      <c r="I149" s="26">
        <v>1</v>
      </c>
      <c r="J149" s="26">
        <v>0.22</v>
      </c>
      <c r="K149" s="26">
        <v>0.19700000000000001</v>
      </c>
      <c r="L149" s="26">
        <v>0.37</v>
      </c>
      <c r="M149">
        <v>0.32840000000000003</v>
      </c>
      <c r="N149" s="26">
        <v>16</v>
      </c>
      <c r="O149" s="26">
        <v>47</v>
      </c>
      <c r="P149" s="26">
        <v>63</v>
      </c>
      <c r="Q149" s="34" t="str">
        <f t="shared" si="6"/>
        <v>Clear</v>
      </c>
      <c r="R149" s="41" t="str">
        <f>IF(I149=1,"Normal",IF(I149=2,"Yellow Alert",IF(I149=3,"Orange Alert",IF(I149=4,"Red Alert"))))</f>
        <v>Normal</v>
      </c>
      <c r="S149" s="60">
        <f t="shared" si="7"/>
        <v>7</v>
      </c>
      <c r="T149" s="60">
        <f>MONTH(dataset_1!B:B)</f>
        <v>1</v>
      </c>
      <c r="U149" s="60">
        <f t="shared" si="8"/>
        <v>2011</v>
      </c>
      <c r="V149" s="59" t="str">
        <f>TEXT(F149/24,"H AM/PM")</f>
        <v>10 AM</v>
      </c>
      <c r="W149" s="59" t="str">
        <f>IF(H149=6,"Saturday",IF(H149=0,"Sunday",IF(H149=1,"Monday",IF(H149=2,"Tuesday",IF(H149=3,"Wednesday",IF(H149=4,"Thursday",IF(H149=5,"Friday")))))))</f>
        <v>Friday</v>
      </c>
      <c r="X149" s="59" t="str">
        <f>IF(G149=FALSE,"Working day", IF(G149=TRUE,"Holiday"))</f>
        <v>Working day</v>
      </c>
    </row>
    <row r="150" spans="1:24" x14ac:dyDescent="0.25">
      <c r="A150" s="32">
        <v>149</v>
      </c>
      <c r="B150" s="33">
        <v>40550</v>
      </c>
      <c r="C150" s="26">
        <v>1</v>
      </c>
      <c r="D150" s="26">
        <v>0</v>
      </c>
      <c r="E150" s="26">
        <v>1</v>
      </c>
      <c r="F150" s="26">
        <v>11</v>
      </c>
      <c r="G150" s="26" t="b">
        <v>0</v>
      </c>
      <c r="H150" s="26">
        <v>5</v>
      </c>
      <c r="I150" s="26">
        <v>2</v>
      </c>
      <c r="J150" s="26">
        <v>0.2</v>
      </c>
      <c r="K150" s="26">
        <v>0.19700000000000001</v>
      </c>
      <c r="L150" s="26">
        <v>0.4</v>
      </c>
      <c r="M150">
        <v>0.22389999999999999</v>
      </c>
      <c r="N150" s="26">
        <v>19</v>
      </c>
      <c r="O150" s="26">
        <v>48</v>
      </c>
      <c r="P150" s="26">
        <v>67</v>
      </c>
      <c r="Q150" s="34" t="str">
        <f t="shared" si="6"/>
        <v>Cloudy</v>
      </c>
      <c r="R150" s="41" t="str">
        <f>IF(I150=1,"Normal",IF(I150=2,"Yellow Alert",IF(I150=3,"Orange Alert",IF(I150=4,"Red Alert"))))</f>
        <v>Yellow Alert</v>
      </c>
      <c r="S150" s="60">
        <f t="shared" si="7"/>
        <v>7</v>
      </c>
      <c r="T150" s="60">
        <f>MONTH(dataset_1!B:B)</f>
        <v>1</v>
      </c>
      <c r="U150" s="60">
        <f t="shared" si="8"/>
        <v>2011</v>
      </c>
      <c r="V150" s="59" t="str">
        <f>TEXT(F150/24,"H AM/PM")</f>
        <v>11 AM</v>
      </c>
      <c r="W150" s="59" t="str">
        <f>IF(H150=6,"Saturday",IF(H150=0,"Sunday",IF(H150=1,"Monday",IF(H150=2,"Tuesday",IF(H150=3,"Wednesday",IF(H150=4,"Thursday",IF(H150=5,"Friday")))))))</f>
        <v>Friday</v>
      </c>
      <c r="X150" s="59" t="str">
        <f>IF(G150=FALSE,"Working day", IF(G150=TRUE,"Holiday"))</f>
        <v>Working day</v>
      </c>
    </row>
    <row r="151" spans="1:24" x14ac:dyDescent="0.25">
      <c r="A151" s="32">
        <v>150</v>
      </c>
      <c r="B151" s="33">
        <v>40550</v>
      </c>
      <c r="C151" s="26">
        <v>1</v>
      </c>
      <c r="D151" s="26">
        <v>0</v>
      </c>
      <c r="E151" s="26">
        <v>1</v>
      </c>
      <c r="F151" s="26">
        <v>12</v>
      </c>
      <c r="G151" s="26" t="b">
        <v>0</v>
      </c>
      <c r="H151" s="26">
        <v>5</v>
      </c>
      <c r="I151" s="26">
        <v>2</v>
      </c>
      <c r="J151" s="26">
        <v>0.2</v>
      </c>
      <c r="K151" s="26">
        <v>0.18179999999999999</v>
      </c>
      <c r="L151" s="26">
        <v>0.37</v>
      </c>
      <c r="M151">
        <v>0.25369999999999998</v>
      </c>
      <c r="N151" s="26">
        <v>9</v>
      </c>
      <c r="O151" s="26">
        <v>50</v>
      </c>
      <c r="P151" s="26">
        <v>59</v>
      </c>
      <c r="Q151" s="34" t="str">
        <f t="shared" si="6"/>
        <v>Cloudy</v>
      </c>
      <c r="R151" s="41" t="str">
        <f>IF(I151=1,"Normal",IF(I151=2,"Yellow Alert",IF(I151=3,"Orange Alert",IF(I151=4,"Red Alert"))))</f>
        <v>Yellow Alert</v>
      </c>
      <c r="S151" s="60">
        <f t="shared" si="7"/>
        <v>7</v>
      </c>
      <c r="T151" s="60">
        <f>MONTH(dataset_1!B:B)</f>
        <v>1</v>
      </c>
      <c r="U151" s="60">
        <f t="shared" si="8"/>
        <v>2011</v>
      </c>
      <c r="V151" s="59" t="str">
        <f>TEXT(F151/24,"H AM/PM")</f>
        <v>12 PM</v>
      </c>
      <c r="W151" s="59" t="str">
        <f>IF(H151=6,"Saturday",IF(H151=0,"Sunday",IF(H151=1,"Monday",IF(H151=2,"Tuesday",IF(H151=3,"Wednesday",IF(H151=4,"Thursday",IF(H151=5,"Friday")))))))</f>
        <v>Friday</v>
      </c>
      <c r="X151" s="59" t="str">
        <f>IF(G151=FALSE,"Working day", IF(G151=TRUE,"Holiday"))</f>
        <v>Working day</v>
      </c>
    </row>
    <row r="152" spans="1:24" x14ac:dyDescent="0.25">
      <c r="A152" s="32">
        <v>151</v>
      </c>
      <c r="B152" s="33">
        <v>40550</v>
      </c>
      <c r="C152" s="26">
        <v>1</v>
      </c>
      <c r="D152" s="26">
        <v>0</v>
      </c>
      <c r="E152" s="26">
        <v>1</v>
      </c>
      <c r="F152" s="26">
        <v>13</v>
      </c>
      <c r="G152" s="26" t="b">
        <v>0</v>
      </c>
      <c r="H152" s="26">
        <v>5</v>
      </c>
      <c r="I152" s="26">
        <v>2</v>
      </c>
      <c r="J152" s="26">
        <v>0.2</v>
      </c>
      <c r="K152" s="26">
        <v>0.19700000000000001</v>
      </c>
      <c r="L152" s="26">
        <v>0.37</v>
      </c>
      <c r="M152">
        <v>0.28360000000000002</v>
      </c>
      <c r="N152" s="26">
        <v>9</v>
      </c>
      <c r="O152" s="26">
        <v>64</v>
      </c>
      <c r="P152" s="26">
        <v>73</v>
      </c>
      <c r="Q152" s="34" t="str">
        <f t="shared" si="6"/>
        <v>Cloudy</v>
      </c>
      <c r="R152" s="41" t="str">
        <f>IF(I152=1,"Normal",IF(I152=2,"Yellow Alert",IF(I152=3,"Orange Alert",IF(I152=4,"Red Alert"))))</f>
        <v>Yellow Alert</v>
      </c>
      <c r="S152" s="60">
        <f t="shared" si="7"/>
        <v>7</v>
      </c>
      <c r="T152" s="60">
        <f>MONTH(dataset_1!B:B)</f>
        <v>1</v>
      </c>
      <c r="U152" s="60">
        <f t="shared" si="8"/>
        <v>2011</v>
      </c>
      <c r="V152" s="59" t="str">
        <f>TEXT(F152/24,"H AM/PM")</f>
        <v>1 PM</v>
      </c>
      <c r="W152" s="59" t="str">
        <f>IF(H152=6,"Saturday",IF(H152=0,"Sunday",IF(H152=1,"Monday",IF(H152=2,"Tuesday",IF(H152=3,"Wednesday",IF(H152=4,"Thursday",IF(H152=5,"Friday")))))))</f>
        <v>Friday</v>
      </c>
      <c r="X152" s="59" t="str">
        <f>IF(G152=FALSE,"Working day", IF(G152=TRUE,"Holiday"))</f>
        <v>Working day</v>
      </c>
    </row>
    <row r="153" spans="1:24" x14ac:dyDescent="0.25">
      <c r="A153" s="32">
        <v>152</v>
      </c>
      <c r="B153" s="33">
        <v>40550</v>
      </c>
      <c r="C153" s="26">
        <v>1</v>
      </c>
      <c r="D153" s="26">
        <v>0</v>
      </c>
      <c r="E153" s="26">
        <v>1</v>
      </c>
      <c r="F153" s="26">
        <v>14</v>
      </c>
      <c r="G153" s="26" t="b">
        <v>0</v>
      </c>
      <c r="H153" s="26">
        <v>5</v>
      </c>
      <c r="I153" s="26">
        <v>2</v>
      </c>
      <c r="J153" s="26">
        <v>0.2</v>
      </c>
      <c r="K153" s="26">
        <v>0.21210000000000001</v>
      </c>
      <c r="L153" s="26">
        <v>0.4</v>
      </c>
      <c r="M153">
        <v>0.25369999999999998</v>
      </c>
      <c r="N153" s="26">
        <v>7</v>
      </c>
      <c r="O153" s="26">
        <v>43</v>
      </c>
      <c r="P153" s="26">
        <v>50</v>
      </c>
      <c r="Q153" s="34" t="str">
        <f t="shared" si="6"/>
        <v>Cloudy</v>
      </c>
      <c r="R153" s="41" t="str">
        <f>IF(I153=1,"Normal",IF(I153=2,"Yellow Alert",IF(I153=3,"Orange Alert",IF(I153=4,"Red Alert"))))</f>
        <v>Yellow Alert</v>
      </c>
      <c r="S153" s="60">
        <f t="shared" si="7"/>
        <v>7</v>
      </c>
      <c r="T153" s="60">
        <f>MONTH(dataset_1!B:B)</f>
        <v>1</v>
      </c>
      <c r="U153" s="60">
        <f t="shared" si="8"/>
        <v>2011</v>
      </c>
      <c r="V153" s="59" t="str">
        <f>TEXT(F153/24,"H AM/PM")</f>
        <v>2 PM</v>
      </c>
      <c r="W153" s="59" t="str">
        <f>IF(H153=6,"Saturday",IF(H153=0,"Sunday",IF(H153=1,"Monday",IF(H153=2,"Tuesday",IF(H153=3,"Wednesday",IF(H153=4,"Thursday",IF(H153=5,"Friday")))))))</f>
        <v>Friday</v>
      </c>
      <c r="X153" s="59" t="str">
        <f>IF(G153=FALSE,"Working day", IF(G153=TRUE,"Holiday"))</f>
        <v>Working day</v>
      </c>
    </row>
    <row r="154" spans="1:24" x14ac:dyDescent="0.25">
      <c r="A154" s="32">
        <v>153</v>
      </c>
      <c r="B154" s="33">
        <v>40550</v>
      </c>
      <c r="C154" s="26">
        <v>1</v>
      </c>
      <c r="D154" s="26">
        <v>0</v>
      </c>
      <c r="E154" s="26">
        <v>1</v>
      </c>
      <c r="F154" s="26">
        <v>15</v>
      </c>
      <c r="G154" s="26" t="b">
        <v>0</v>
      </c>
      <c r="H154" s="26">
        <v>5</v>
      </c>
      <c r="I154" s="26">
        <v>2</v>
      </c>
      <c r="J154" s="26">
        <v>0.2</v>
      </c>
      <c r="K154" s="26">
        <v>0.21210000000000001</v>
      </c>
      <c r="L154" s="26">
        <v>0.37</v>
      </c>
      <c r="M154">
        <v>0.16420000000000001</v>
      </c>
      <c r="N154" s="26">
        <v>9</v>
      </c>
      <c r="O154" s="26">
        <v>63</v>
      </c>
      <c r="P154" s="26">
        <v>72</v>
      </c>
      <c r="Q154" s="34" t="str">
        <f t="shared" si="6"/>
        <v>Cloudy</v>
      </c>
      <c r="R154" s="41" t="str">
        <f>IF(I154=1,"Normal",IF(I154=2,"Yellow Alert",IF(I154=3,"Orange Alert",IF(I154=4,"Red Alert"))))</f>
        <v>Yellow Alert</v>
      </c>
      <c r="S154" s="60">
        <f t="shared" si="7"/>
        <v>7</v>
      </c>
      <c r="T154" s="60">
        <f>MONTH(dataset_1!B:B)</f>
        <v>1</v>
      </c>
      <c r="U154" s="60">
        <f t="shared" si="8"/>
        <v>2011</v>
      </c>
      <c r="V154" s="59" t="str">
        <f>TEXT(F154/24,"H AM/PM")</f>
        <v>3 PM</v>
      </c>
      <c r="W154" s="59" t="str">
        <f>IF(H154=6,"Saturday",IF(H154=0,"Sunday",IF(H154=1,"Monday",IF(H154=2,"Tuesday",IF(H154=3,"Wednesday",IF(H154=4,"Thursday",IF(H154=5,"Friday")))))))</f>
        <v>Friday</v>
      </c>
      <c r="X154" s="59" t="str">
        <f>IF(G154=FALSE,"Working day", IF(G154=TRUE,"Holiday"))</f>
        <v>Working day</v>
      </c>
    </row>
    <row r="155" spans="1:24" x14ac:dyDescent="0.25">
      <c r="A155" s="32">
        <v>154</v>
      </c>
      <c r="B155" s="33">
        <v>40550</v>
      </c>
      <c r="C155" s="26">
        <v>1</v>
      </c>
      <c r="D155" s="26">
        <v>0</v>
      </c>
      <c r="E155" s="26">
        <v>1</v>
      </c>
      <c r="F155" s="26">
        <v>16</v>
      </c>
      <c r="G155" s="26" t="b">
        <v>0</v>
      </c>
      <c r="H155" s="26">
        <v>5</v>
      </c>
      <c r="I155" s="26">
        <v>2</v>
      </c>
      <c r="J155" s="26">
        <v>0.2</v>
      </c>
      <c r="K155" s="26">
        <v>0.2576</v>
      </c>
      <c r="L155" s="26">
        <v>0.37</v>
      </c>
      <c r="M155">
        <v>0.16420000000000001</v>
      </c>
      <c r="N155" s="26">
        <v>5</v>
      </c>
      <c r="O155" s="26">
        <v>82</v>
      </c>
      <c r="P155" s="26">
        <v>87</v>
      </c>
      <c r="Q155" s="34" t="str">
        <f t="shared" si="6"/>
        <v>Cloudy</v>
      </c>
      <c r="R155" s="41" t="str">
        <f>IF(I155=1,"Normal",IF(I155=2,"Yellow Alert",IF(I155=3,"Orange Alert",IF(I155=4,"Red Alert"))))</f>
        <v>Yellow Alert</v>
      </c>
      <c r="S155" s="60">
        <f t="shared" si="7"/>
        <v>7</v>
      </c>
      <c r="T155" s="60">
        <f>MONTH(dataset_1!B:B)</f>
        <v>1</v>
      </c>
      <c r="U155" s="60">
        <f t="shared" si="8"/>
        <v>2011</v>
      </c>
      <c r="V155" s="59" t="str">
        <f>TEXT(F155/24,"H AM/PM")</f>
        <v>4 PM</v>
      </c>
      <c r="W155" s="59" t="str">
        <f>IF(H155=6,"Saturday",IF(H155=0,"Sunday",IF(H155=1,"Monday",IF(H155=2,"Tuesday",IF(H155=3,"Wednesday",IF(H155=4,"Thursday",IF(H155=5,"Friday")))))))</f>
        <v>Friday</v>
      </c>
      <c r="X155" s="59" t="str">
        <f>IF(G155=FALSE,"Working day", IF(G155=TRUE,"Holiday"))</f>
        <v>Working day</v>
      </c>
    </row>
    <row r="156" spans="1:24" x14ac:dyDescent="0.25">
      <c r="A156" s="32">
        <v>155</v>
      </c>
      <c r="B156" s="33">
        <v>40550</v>
      </c>
      <c r="C156" s="26">
        <v>1</v>
      </c>
      <c r="D156" s="26">
        <v>0</v>
      </c>
      <c r="E156" s="26">
        <v>1</v>
      </c>
      <c r="F156" s="26">
        <v>17</v>
      </c>
      <c r="G156" s="26" t="b">
        <v>0</v>
      </c>
      <c r="H156" s="26">
        <v>5</v>
      </c>
      <c r="I156" s="26">
        <v>2</v>
      </c>
      <c r="J156" s="26">
        <v>0.2</v>
      </c>
      <c r="K156" s="26">
        <v>0.2273</v>
      </c>
      <c r="L156" s="26">
        <v>0.37</v>
      </c>
      <c r="M156">
        <v>0</v>
      </c>
      <c r="N156" s="26">
        <v>9</v>
      </c>
      <c r="O156" s="26">
        <v>178</v>
      </c>
      <c r="P156" s="26">
        <v>187</v>
      </c>
      <c r="Q156" s="34" t="str">
        <f t="shared" si="6"/>
        <v>Cloudy</v>
      </c>
      <c r="R156" s="41" t="str">
        <f>IF(I156=1,"Normal",IF(I156=2,"Yellow Alert",IF(I156=3,"Orange Alert",IF(I156=4,"Red Alert"))))</f>
        <v>Yellow Alert</v>
      </c>
      <c r="S156" s="60">
        <f t="shared" si="7"/>
        <v>7</v>
      </c>
      <c r="T156" s="60">
        <f>MONTH(dataset_1!B:B)</f>
        <v>1</v>
      </c>
      <c r="U156" s="60">
        <f t="shared" si="8"/>
        <v>2011</v>
      </c>
      <c r="V156" s="59" t="str">
        <f>TEXT(F156/24,"H AM/PM")</f>
        <v>5 PM</v>
      </c>
      <c r="W156" s="59" t="str">
        <f>IF(H156=6,"Saturday",IF(H156=0,"Sunday",IF(H156=1,"Monday",IF(H156=2,"Tuesday",IF(H156=3,"Wednesday",IF(H156=4,"Thursday",IF(H156=5,"Friday")))))))</f>
        <v>Friday</v>
      </c>
      <c r="X156" s="59" t="str">
        <f>IF(G156=FALSE,"Working day", IF(G156=TRUE,"Holiday"))</f>
        <v>Working day</v>
      </c>
    </row>
    <row r="157" spans="1:24" x14ac:dyDescent="0.25">
      <c r="A157" s="32">
        <v>156</v>
      </c>
      <c r="B157" s="33">
        <v>40550</v>
      </c>
      <c r="C157" s="26">
        <v>1</v>
      </c>
      <c r="D157" s="26">
        <v>0</v>
      </c>
      <c r="E157" s="26">
        <v>1</v>
      </c>
      <c r="F157" s="26">
        <v>18</v>
      </c>
      <c r="G157" s="26" t="b">
        <v>0</v>
      </c>
      <c r="H157" s="26">
        <v>5</v>
      </c>
      <c r="I157" s="26">
        <v>1</v>
      </c>
      <c r="J157" s="26">
        <v>0.2</v>
      </c>
      <c r="K157" s="26">
        <v>0.19700000000000001</v>
      </c>
      <c r="L157" s="26">
        <v>0.4</v>
      </c>
      <c r="M157">
        <v>8.9599999999999999E-2</v>
      </c>
      <c r="N157" s="26">
        <v>7</v>
      </c>
      <c r="O157" s="26">
        <v>116</v>
      </c>
      <c r="P157" s="26">
        <v>123</v>
      </c>
      <c r="Q157" s="34" t="str">
        <f t="shared" si="6"/>
        <v>Clear</v>
      </c>
      <c r="R157" s="41" t="str">
        <f>IF(I157=1,"Normal",IF(I157=2,"Yellow Alert",IF(I157=3,"Orange Alert",IF(I157=4,"Red Alert"))))</f>
        <v>Normal</v>
      </c>
      <c r="S157" s="60">
        <f t="shared" si="7"/>
        <v>7</v>
      </c>
      <c r="T157" s="60">
        <f>MONTH(dataset_1!B:B)</f>
        <v>1</v>
      </c>
      <c r="U157" s="60">
        <f t="shared" si="8"/>
        <v>2011</v>
      </c>
      <c r="V157" s="59" t="str">
        <f>TEXT(F157/24,"H AM/PM")</f>
        <v>6 PM</v>
      </c>
      <c r="W157" s="59" t="str">
        <f>IF(H157=6,"Saturday",IF(H157=0,"Sunday",IF(H157=1,"Monday",IF(H157=2,"Tuesday",IF(H157=3,"Wednesday",IF(H157=4,"Thursday",IF(H157=5,"Friday")))))))</f>
        <v>Friday</v>
      </c>
      <c r="X157" s="59" t="str">
        <f>IF(G157=FALSE,"Working day", IF(G157=TRUE,"Holiday"))</f>
        <v>Working day</v>
      </c>
    </row>
    <row r="158" spans="1:24" x14ac:dyDescent="0.25">
      <c r="A158" s="32">
        <v>157</v>
      </c>
      <c r="B158" s="33">
        <v>40550</v>
      </c>
      <c r="C158" s="26">
        <v>1</v>
      </c>
      <c r="D158" s="26">
        <v>0</v>
      </c>
      <c r="E158" s="26">
        <v>1</v>
      </c>
      <c r="F158" s="26">
        <v>19</v>
      </c>
      <c r="G158" s="26" t="b">
        <v>0</v>
      </c>
      <c r="H158" s="26">
        <v>5</v>
      </c>
      <c r="I158" s="26">
        <v>1</v>
      </c>
      <c r="J158" s="26">
        <v>0.16</v>
      </c>
      <c r="K158" s="26">
        <v>0.21210000000000001</v>
      </c>
      <c r="L158" s="26">
        <v>0.55000000000000004</v>
      </c>
      <c r="M158">
        <v>8.9599999999999999E-2</v>
      </c>
      <c r="N158" s="26">
        <v>3</v>
      </c>
      <c r="O158" s="26">
        <v>92</v>
      </c>
      <c r="P158" s="26">
        <v>95</v>
      </c>
      <c r="Q158" s="34" t="str">
        <f t="shared" si="6"/>
        <v>Clear</v>
      </c>
      <c r="R158" s="41" t="str">
        <f>IF(I158=1,"Normal",IF(I158=2,"Yellow Alert",IF(I158=3,"Orange Alert",IF(I158=4,"Red Alert"))))</f>
        <v>Normal</v>
      </c>
      <c r="S158" s="60">
        <f t="shared" si="7"/>
        <v>7</v>
      </c>
      <c r="T158" s="60">
        <f>MONTH(dataset_1!B:B)</f>
        <v>1</v>
      </c>
      <c r="U158" s="60">
        <f t="shared" si="8"/>
        <v>2011</v>
      </c>
      <c r="V158" s="59" t="str">
        <f>TEXT(F158/24,"H AM/PM")</f>
        <v>7 PM</v>
      </c>
      <c r="W158" s="59" t="str">
        <f>IF(H158=6,"Saturday",IF(H158=0,"Sunday",IF(H158=1,"Monday",IF(H158=2,"Tuesday",IF(H158=3,"Wednesday",IF(H158=4,"Thursday",IF(H158=5,"Friday")))))))</f>
        <v>Friday</v>
      </c>
      <c r="X158" s="59" t="str">
        <f>IF(G158=FALSE,"Working day", IF(G158=TRUE,"Holiday"))</f>
        <v>Working day</v>
      </c>
    </row>
    <row r="159" spans="1:24" x14ac:dyDescent="0.25">
      <c r="A159" s="32">
        <v>158</v>
      </c>
      <c r="B159" s="33">
        <v>40550</v>
      </c>
      <c r="C159" s="26">
        <v>1</v>
      </c>
      <c r="D159" s="26">
        <v>0</v>
      </c>
      <c r="E159" s="26">
        <v>1</v>
      </c>
      <c r="F159" s="26">
        <v>20</v>
      </c>
      <c r="G159" s="26" t="b">
        <v>0</v>
      </c>
      <c r="H159" s="26">
        <v>5</v>
      </c>
      <c r="I159" s="26">
        <v>1</v>
      </c>
      <c r="J159" s="26">
        <v>0.18</v>
      </c>
      <c r="K159" s="26">
        <v>0.19700000000000001</v>
      </c>
      <c r="L159" s="26">
        <v>0.47</v>
      </c>
      <c r="M159">
        <v>0.1045</v>
      </c>
      <c r="N159" s="26">
        <v>1</v>
      </c>
      <c r="O159" s="26">
        <v>50</v>
      </c>
      <c r="P159" s="26">
        <v>51</v>
      </c>
      <c r="Q159" s="34" t="str">
        <f t="shared" si="6"/>
        <v>Clear</v>
      </c>
      <c r="R159" s="41" t="str">
        <f>IF(I159=1,"Normal",IF(I159=2,"Yellow Alert",IF(I159=3,"Orange Alert",IF(I159=4,"Red Alert"))))</f>
        <v>Normal</v>
      </c>
      <c r="S159" s="60">
        <f t="shared" si="7"/>
        <v>7</v>
      </c>
      <c r="T159" s="60">
        <f>MONTH(dataset_1!B:B)</f>
        <v>1</v>
      </c>
      <c r="U159" s="60">
        <f t="shared" si="8"/>
        <v>2011</v>
      </c>
      <c r="V159" s="59" t="str">
        <f>TEXT(F159/24,"H AM/PM")</f>
        <v>8 PM</v>
      </c>
      <c r="W159" s="59" t="str">
        <f>IF(H159=6,"Saturday",IF(H159=0,"Sunday",IF(H159=1,"Monday",IF(H159=2,"Tuesday",IF(H159=3,"Wednesday",IF(H159=4,"Thursday",IF(H159=5,"Friday")))))))</f>
        <v>Friday</v>
      </c>
      <c r="X159" s="59" t="str">
        <f>IF(G159=FALSE,"Working day", IF(G159=TRUE,"Holiday"))</f>
        <v>Working day</v>
      </c>
    </row>
    <row r="160" spans="1:24" x14ac:dyDescent="0.25">
      <c r="A160" s="32">
        <v>159</v>
      </c>
      <c r="B160" s="33">
        <v>40550</v>
      </c>
      <c r="C160" s="26">
        <v>1</v>
      </c>
      <c r="D160" s="26">
        <v>0</v>
      </c>
      <c r="E160" s="26">
        <v>1</v>
      </c>
      <c r="F160" s="26">
        <v>21</v>
      </c>
      <c r="G160" s="26" t="b">
        <v>0</v>
      </c>
      <c r="H160" s="26">
        <v>5</v>
      </c>
      <c r="I160" s="26">
        <v>1</v>
      </c>
      <c r="J160" s="26">
        <v>0.18</v>
      </c>
      <c r="K160" s="26">
        <v>0.19700000000000001</v>
      </c>
      <c r="L160" s="26">
        <v>0.47</v>
      </c>
      <c r="M160">
        <v>0.1343</v>
      </c>
      <c r="N160" s="26">
        <v>0</v>
      </c>
      <c r="O160" s="26">
        <v>39</v>
      </c>
      <c r="P160" s="26">
        <v>39</v>
      </c>
      <c r="Q160" s="34" t="str">
        <f t="shared" si="6"/>
        <v>Clear</v>
      </c>
      <c r="R160" s="41" t="str">
        <f>IF(I160=1,"Normal",IF(I160=2,"Yellow Alert",IF(I160=3,"Orange Alert",IF(I160=4,"Red Alert"))))</f>
        <v>Normal</v>
      </c>
      <c r="S160" s="60">
        <f t="shared" si="7"/>
        <v>7</v>
      </c>
      <c r="T160" s="60">
        <f>MONTH(dataset_1!B:B)</f>
        <v>1</v>
      </c>
      <c r="U160" s="60">
        <f t="shared" si="8"/>
        <v>2011</v>
      </c>
      <c r="V160" s="59" t="str">
        <f>TEXT(F160/24,"H AM/PM")</f>
        <v>9 PM</v>
      </c>
      <c r="W160" s="59" t="str">
        <f>IF(H160=6,"Saturday",IF(H160=0,"Sunday",IF(H160=1,"Monday",IF(H160=2,"Tuesday",IF(H160=3,"Wednesday",IF(H160=4,"Thursday",IF(H160=5,"Friday")))))))</f>
        <v>Friday</v>
      </c>
      <c r="X160" s="59" t="str">
        <f>IF(G160=FALSE,"Working day", IF(G160=TRUE,"Holiday"))</f>
        <v>Working day</v>
      </c>
    </row>
    <row r="161" spans="1:24" x14ac:dyDescent="0.25">
      <c r="A161" s="32">
        <v>160</v>
      </c>
      <c r="B161" s="33">
        <v>40550</v>
      </c>
      <c r="C161" s="26">
        <v>1</v>
      </c>
      <c r="D161" s="26">
        <v>0</v>
      </c>
      <c r="E161" s="26">
        <v>1</v>
      </c>
      <c r="F161" s="26">
        <v>22</v>
      </c>
      <c r="G161" s="26" t="b">
        <v>0</v>
      </c>
      <c r="H161" s="26">
        <v>5</v>
      </c>
      <c r="I161" s="26">
        <v>2</v>
      </c>
      <c r="J161" s="26">
        <v>0.18</v>
      </c>
      <c r="K161" s="26">
        <v>0.19700000000000001</v>
      </c>
      <c r="L161" s="26">
        <v>0.43</v>
      </c>
      <c r="M161">
        <v>0.16420000000000001</v>
      </c>
      <c r="N161" s="26">
        <v>2</v>
      </c>
      <c r="O161" s="26">
        <v>34</v>
      </c>
      <c r="P161" s="26">
        <v>36</v>
      </c>
      <c r="Q161" s="34" t="str">
        <f t="shared" si="6"/>
        <v>Cloudy</v>
      </c>
      <c r="R161" s="41" t="str">
        <f>IF(I161=1,"Normal",IF(I161=2,"Yellow Alert",IF(I161=3,"Orange Alert",IF(I161=4,"Red Alert"))))</f>
        <v>Yellow Alert</v>
      </c>
      <c r="S161" s="60">
        <f t="shared" si="7"/>
        <v>7</v>
      </c>
      <c r="T161" s="60">
        <f>MONTH(dataset_1!B:B)</f>
        <v>1</v>
      </c>
      <c r="U161" s="60">
        <f t="shared" si="8"/>
        <v>2011</v>
      </c>
      <c r="V161" s="59" t="str">
        <f>TEXT(F161/24,"H AM/PM")</f>
        <v>10 PM</v>
      </c>
      <c r="W161" s="59" t="str">
        <f>IF(H161=6,"Saturday",IF(H161=0,"Sunday",IF(H161=1,"Monday",IF(H161=2,"Tuesday",IF(H161=3,"Wednesday",IF(H161=4,"Thursday",IF(H161=5,"Friday")))))))</f>
        <v>Friday</v>
      </c>
      <c r="X161" s="59" t="str">
        <f>IF(G161=FALSE,"Working day", IF(G161=TRUE,"Holiday"))</f>
        <v>Working day</v>
      </c>
    </row>
    <row r="162" spans="1:24" x14ac:dyDescent="0.25">
      <c r="A162" s="32">
        <v>161</v>
      </c>
      <c r="B162" s="33">
        <v>40550</v>
      </c>
      <c r="C162" s="26">
        <v>1</v>
      </c>
      <c r="D162" s="26">
        <v>0</v>
      </c>
      <c r="E162" s="26">
        <v>1</v>
      </c>
      <c r="F162" s="26">
        <v>23</v>
      </c>
      <c r="G162" s="26" t="b">
        <v>0</v>
      </c>
      <c r="H162" s="26">
        <v>5</v>
      </c>
      <c r="I162" s="26">
        <v>2</v>
      </c>
      <c r="J162" s="26">
        <v>0.18</v>
      </c>
      <c r="K162" s="26">
        <v>0.19700000000000001</v>
      </c>
      <c r="L162" s="26">
        <v>0.51</v>
      </c>
      <c r="M162">
        <v>0.16420000000000001</v>
      </c>
      <c r="N162" s="26">
        <v>1</v>
      </c>
      <c r="O162" s="26">
        <v>14</v>
      </c>
      <c r="P162" s="26">
        <v>15</v>
      </c>
      <c r="Q162" s="34" t="str">
        <f t="shared" si="6"/>
        <v>Cloudy</v>
      </c>
      <c r="R162" s="41" t="str">
        <f>IF(I162=1,"Normal",IF(I162=2,"Yellow Alert",IF(I162=3,"Orange Alert",IF(I162=4,"Red Alert"))))</f>
        <v>Yellow Alert</v>
      </c>
      <c r="S162" s="60">
        <f t="shared" si="7"/>
        <v>7</v>
      </c>
      <c r="T162" s="60">
        <f>MONTH(dataset_1!B:B)</f>
        <v>1</v>
      </c>
      <c r="U162" s="60">
        <f t="shared" si="8"/>
        <v>2011</v>
      </c>
      <c r="V162" s="59" t="str">
        <f>TEXT(F162/24,"H AM/PM")</f>
        <v>11 PM</v>
      </c>
      <c r="W162" s="59" t="str">
        <f>IF(H162=6,"Saturday",IF(H162=0,"Sunday",IF(H162=1,"Monday",IF(H162=2,"Tuesday",IF(H162=3,"Wednesday",IF(H162=4,"Thursday",IF(H162=5,"Friday")))))))</f>
        <v>Friday</v>
      </c>
      <c r="X162" s="59" t="str">
        <f>IF(G162=FALSE,"Working day", IF(G162=TRUE,"Holiday"))</f>
        <v>Working day</v>
      </c>
    </row>
    <row r="163" spans="1:24" x14ac:dyDescent="0.25">
      <c r="A163" s="32">
        <v>162</v>
      </c>
      <c r="B163" s="33">
        <v>40551</v>
      </c>
      <c r="C163" s="26">
        <v>1</v>
      </c>
      <c r="D163" s="26">
        <v>0</v>
      </c>
      <c r="E163" s="26">
        <v>1</v>
      </c>
      <c r="F163" s="26">
        <v>0</v>
      </c>
      <c r="G163" s="26" t="b">
        <v>0</v>
      </c>
      <c r="H163" s="26">
        <v>6</v>
      </c>
      <c r="I163" s="26">
        <v>2</v>
      </c>
      <c r="J163" s="26">
        <v>0.18</v>
      </c>
      <c r="K163" s="26">
        <v>0.21210000000000001</v>
      </c>
      <c r="L163" s="26">
        <v>0.51</v>
      </c>
      <c r="M163">
        <v>0.16420000000000001</v>
      </c>
      <c r="N163" s="26">
        <v>1</v>
      </c>
      <c r="O163" s="26">
        <v>24</v>
      </c>
      <c r="P163" s="26">
        <v>25</v>
      </c>
      <c r="Q163" s="34" t="str">
        <f t="shared" si="6"/>
        <v>Cloudy</v>
      </c>
      <c r="R163" s="41" t="str">
        <f>IF(I163=1,"Normal",IF(I163=2,"Yellow Alert",IF(I163=3,"Orange Alert",IF(I163=4,"Red Alert"))))</f>
        <v>Yellow Alert</v>
      </c>
      <c r="S163" s="60">
        <f t="shared" si="7"/>
        <v>8</v>
      </c>
      <c r="T163" s="60">
        <f>MONTH(dataset_1!B:B)</f>
        <v>1</v>
      </c>
      <c r="U163" s="60">
        <f t="shared" si="8"/>
        <v>2011</v>
      </c>
      <c r="V163" s="59" t="str">
        <f>TEXT(F163/24,"H AM/PM")</f>
        <v>12 AM</v>
      </c>
      <c r="W163" s="59" t="str">
        <f>IF(H163=6,"Saturday",IF(H163=0,"Sunday",IF(H163=1,"Monday",IF(H163=2,"Tuesday",IF(H163=3,"Wednesday",IF(H163=4,"Thursday",IF(H163=5,"Friday")))))))</f>
        <v>Saturday</v>
      </c>
      <c r="X163" s="59" t="str">
        <f>IF(G163=FALSE,"Working day", IF(G163=TRUE,"Holiday"))</f>
        <v>Working day</v>
      </c>
    </row>
    <row r="164" spans="1:24" x14ac:dyDescent="0.25">
      <c r="A164" s="32">
        <v>163</v>
      </c>
      <c r="B164" s="33">
        <v>40551</v>
      </c>
      <c r="C164" s="26">
        <v>1</v>
      </c>
      <c r="D164" s="26">
        <v>0</v>
      </c>
      <c r="E164" s="26">
        <v>1</v>
      </c>
      <c r="F164" s="26">
        <v>1</v>
      </c>
      <c r="G164" s="26" t="b">
        <v>0</v>
      </c>
      <c r="H164" s="26">
        <v>6</v>
      </c>
      <c r="I164" s="26">
        <v>2</v>
      </c>
      <c r="J164" s="26">
        <v>0.18</v>
      </c>
      <c r="K164" s="26">
        <v>0.2424</v>
      </c>
      <c r="L164" s="26">
        <v>0.55000000000000004</v>
      </c>
      <c r="M164">
        <v>8.9599999999999999E-2</v>
      </c>
      <c r="N164" s="26">
        <v>1</v>
      </c>
      <c r="O164" s="26">
        <v>15</v>
      </c>
      <c r="P164" s="26">
        <v>16</v>
      </c>
      <c r="Q164" s="34" t="str">
        <f t="shared" si="6"/>
        <v>Cloudy</v>
      </c>
      <c r="R164" s="41" t="str">
        <f>IF(I164=1,"Normal",IF(I164=2,"Yellow Alert",IF(I164=3,"Orange Alert",IF(I164=4,"Red Alert"))))</f>
        <v>Yellow Alert</v>
      </c>
      <c r="S164" s="60">
        <f t="shared" si="7"/>
        <v>8</v>
      </c>
      <c r="T164" s="60">
        <f>MONTH(dataset_1!B:B)</f>
        <v>1</v>
      </c>
      <c r="U164" s="60">
        <f t="shared" si="8"/>
        <v>2011</v>
      </c>
      <c r="V164" s="59" t="str">
        <f>TEXT(F164/24,"H AM/PM")</f>
        <v>1 AM</v>
      </c>
      <c r="W164" s="59" t="str">
        <f>IF(H164=6,"Saturday",IF(H164=0,"Sunday",IF(H164=1,"Monday",IF(H164=2,"Tuesday",IF(H164=3,"Wednesday",IF(H164=4,"Thursday",IF(H164=5,"Friday")))))))</f>
        <v>Saturday</v>
      </c>
      <c r="X164" s="59" t="str">
        <f>IF(G164=FALSE,"Working day", IF(G164=TRUE,"Holiday"))</f>
        <v>Working day</v>
      </c>
    </row>
    <row r="165" spans="1:24" x14ac:dyDescent="0.25">
      <c r="A165" s="32">
        <v>164</v>
      </c>
      <c r="B165" s="33">
        <v>40551</v>
      </c>
      <c r="C165" s="26">
        <v>1</v>
      </c>
      <c r="D165" s="26">
        <v>0</v>
      </c>
      <c r="E165" s="26">
        <v>1</v>
      </c>
      <c r="F165" s="26">
        <v>2</v>
      </c>
      <c r="G165" s="26" t="b">
        <v>0</v>
      </c>
      <c r="H165" s="26">
        <v>6</v>
      </c>
      <c r="I165" s="26">
        <v>2</v>
      </c>
      <c r="J165" s="26">
        <v>0.18</v>
      </c>
      <c r="K165" s="26">
        <v>0.19700000000000001</v>
      </c>
      <c r="L165" s="26">
        <v>0.55000000000000004</v>
      </c>
      <c r="M165">
        <v>0</v>
      </c>
      <c r="N165" s="26">
        <v>3</v>
      </c>
      <c r="O165" s="26">
        <v>13</v>
      </c>
      <c r="P165" s="26">
        <v>16</v>
      </c>
      <c r="Q165" s="34" t="str">
        <f t="shared" si="6"/>
        <v>Cloudy</v>
      </c>
      <c r="R165" s="41" t="str">
        <f>IF(I165=1,"Normal",IF(I165=2,"Yellow Alert",IF(I165=3,"Orange Alert",IF(I165=4,"Red Alert"))))</f>
        <v>Yellow Alert</v>
      </c>
      <c r="S165" s="60">
        <f t="shared" si="7"/>
        <v>8</v>
      </c>
      <c r="T165" s="60">
        <f>MONTH(dataset_1!B:B)</f>
        <v>1</v>
      </c>
      <c r="U165" s="60">
        <f t="shared" si="8"/>
        <v>2011</v>
      </c>
      <c r="V165" s="59" t="str">
        <f>TEXT(F165/24,"H AM/PM")</f>
        <v>2 AM</v>
      </c>
      <c r="W165" s="59" t="str">
        <f>IF(H165=6,"Saturday",IF(H165=0,"Sunday",IF(H165=1,"Monday",IF(H165=2,"Tuesday",IF(H165=3,"Wednesday",IF(H165=4,"Thursday",IF(H165=5,"Friday")))))))</f>
        <v>Saturday</v>
      </c>
      <c r="X165" s="59" t="str">
        <f>IF(G165=FALSE,"Working day", IF(G165=TRUE,"Holiday"))</f>
        <v>Working day</v>
      </c>
    </row>
    <row r="166" spans="1:24" x14ac:dyDescent="0.25">
      <c r="A166" s="32">
        <v>165</v>
      </c>
      <c r="B166" s="33">
        <v>40551</v>
      </c>
      <c r="C166" s="26">
        <v>1</v>
      </c>
      <c r="D166" s="26">
        <v>0</v>
      </c>
      <c r="E166" s="26">
        <v>1</v>
      </c>
      <c r="F166" s="26">
        <v>3</v>
      </c>
      <c r="G166" s="26" t="b">
        <v>0</v>
      </c>
      <c r="H166" s="26">
        <v>6</v>
      </c>
      <c r="I166" s="26">
        <v>3</v>
      </c>
      <c r="J166" s="26">
        <v>0.18</v>
      </c>
      <c r="K166" s="26">
        <v>0.19700000000000001</v>
      </c>
      <c r="L166" s="26">
        <v>0.55000000000000004</v>
      </c>
      <c r="M166">
        <v>0.16420000000000001</v>
      </c>
      <c r="N166" s="26">
        <v>0</v>
      </c>
      <c r="O166" s="26">
        <v>7</v>
      </c>
      <c r="P166" s="26">
        <v>7</v>
      </c>
      <c r="Q166" s="34" t="str">
        <f t="shared" si="6"/>
        <v>Light Rain</v>
      </c>
      <c r="R166" s="41" t="str">
        <f>IF(I166=1,"Normal",IF(I166=2,"Yellow Alert",IF(I166=3,"Orange Alert",IF(I166=4,"Red Alert"))))</f>
        <v>Orange Alert</v>
      </c>
      <c r="S166" s="60">
        <f t="shared" si="7"/>
        <v>8</v>
      </c>
      <c r="T166" s="60">
        <f>MONTH(dataset_1!B:B)</f>
        <v>1</v>
      </c>
      <c r="U166" s="60">
        <f t="shared" si="8"/>
        <v>2011</v>
      </c>
      <c r="V166" s="59" t="str">
        <f>TEXT(F166/24,"H AM/PM")</f>
        <v>3 AM</v>
      </c>
      <c r="W166" s="59" t="str">
        <f>IF(H166=6,"Saturday",IF(H166=0,"Sunday",IF(H166=1,"Monday",IF(H166=2,"Tuesday",IF(H166=3,"Wednesday",IF(H166=4,"Thursday",IF(H166=5,"Friday")))))))</f>
        <v>Saturday</v>
      </c>
      <c r="X166" s="59" t="str">
        <f>IF(G166=FALSE,"Working day", IF(G166=TRUE,"Holiday"))</f>
        <v>Working day</v>
      </c>
    </row>
    <row r="167" spans="1:24" x14ac:dyDescent="0.25">
      <c r="A167" s="32">
        <v>166</v>
      </c>
      <c r="B167" s="33">
        <v>40551</v>
      </c>
      <c r="C167" s="26">
        <v>1</v>
      </c>
      <c r="D167" s="26">
        <v>0</v>
      </c>
      <c r="E167" s="26">
        <v>1</v>
      </c>
      <c r="F167" s="26">
        <v>4</v>
      </c>
      <c r="G167" s="26" t="b">
        <v>0</v>
      </c>
      <c r="H167" s="26">
        <v>6</v>
      </c>
      <c r="I167" s="26">
        <v>3</v>
      </c>
      <c r="J167" s="26">
        <v>0.18</v>
      </c>
      <c r="K167" s="26">
        <v>0.16669999999999999</v>
      </c>
      <c r="L167" s="26">
        <v>0.55000000000000004</v>
      </c>
      <c r="M167">
        <v>0.16420000000000001</v>
      </c>
      <c r="N167" s="26">
        <v>0</v>
      </c>
      <c r="O167" s="26">
        <v>1</v>
      </c>
      <c r="P167" s="26">
        <v>1</v>
      </c>
      <c r="Q167" s="34" t="str">
        <f t="shared" si="6"/>
        <v>Light Rain</v>
      </c>
      <c r="R167" s="41" t="str">
        <f>IF(I167=1,"Normal",IF(I167=2,"Yellow Alert",IF(I167=3,"Orange Alert",IF(I167=4,"Red Alert"))))</f>
        <v>Orange Alert</v>
      </c>
      <c r="S167" s="60">
        <f t="shared" si="7"/>
        <v>8</v>
      </c>
      <c r="T167" s="60">
        <f>MONTH(dataset_1!B:B)</f>
        <v>1</v>
      </c>
      <c r="U167" s="60">
        <f t="shared" si="8"/>
        <v>2011</v>
      </c>
      <c r="V167" s="59" t="str">
        <f>TEXT(F167/24,"H AM/PM")</f>
        <v>4 AM</v>
      </c>
      <c r="W167" s="59" t="str">
        <f>IF(H167=6,"Saturday",IF(H167=0,"Sunday",IF(H167=1,"Monday",IF(H167=2,"Tuesday",IF(H167=3,"Wednesday",IF(H167=4,"Thursday",IF(H167=5,"Friday")))))))</f>
        <v>Saturday</v>
      </c>
      <c r="X167" s="59" t="str">
        <f>IF(G167=FALSE,"Working day", IF(G167=TRUE,"Holiday"))</f>
        <v>Working day</v>
      </c>
    </row>
    <row r="168" spans="1:24" x14ac:dyDescent="0.25">
      <c r="A168" s="32">
        <v>167</v>
      </c>
      <c r="B168" s="33">
        <v>40551</v>
      </c>
      <c r="C168" s="26">
        <v>1</v>
      </c>
      <c r="D168" s="26">
        <v>0</v>
      </c>
      <c r="E168" s="26">
        <v>1</v>
      </c>
      <c r="F168" s="26">
        <v>5</v>
      </c>
      <c r="G168" s="26" t="b">
        <v>0</v>
      </c>
      <c r="H168" s="26">
        <v>6</v>
      </c>
      <c r="I168" s="26">
        <v>2</v>
      </c>
      <c r="J168" s="26">
        <v>0.16</v>
      </c>
      <c r="K168" s="26">
        <v>0.16669999999999999</v>
      </c>
      <c r="L168" s="26">
        <v>0.74</v>
      </c>
      <c r="M168">
        <v>0.16420000000000001</v>
      </c>
      <c r="N168" s="26">
        <v>0</v>
      </c>
      <c r="O168" s="26">
        <v>5</v>
      </c>
      <c r="P168" s="26">
        <v>5</v>
      </c>
      <c r="Q168" s="34" t="str">
        <f t="shared" si="6"/>
        <v>Cloudy</v>
      </c>
      <c r="R168" s="41" t="str">
        <f>IF(I168=1,"Normal",IF(I168=2,"Yellow Alert",IF(I168=3,"Orange Alert",IF(I168=4,"Red Alert"))))</f>
        <v>Yellow Alert</v>
      </c>
      <c r="S168" s="60">
        <f t="shared" si="7"/>
        <v>8</v>
      </c>
      <c r="T168" s="60">
        <f>MONTH(dataset_1!B:B)</f>
        <v>1</v>
      </c>
      <c r="U168" s="60">
        <f t="shared" si="8"/>
        <v>2011</v>
      </c>
      <c r="V168" s="59" t="str">
        <f>TEXT(F168/24,"H AM/PM")</f>
        <v>5 AM</v>
      </c>
      <c r="W168" s="59" t="str">
        <f>IF(H168=6,"Saturday",IF(H168=0,"Sunday",IF(H168=1,"Monday",IF(H168=2,"Tuesday",IF(H168=3,"Wednesday",IF(H168=4,"Thursday",IF(H168=5,"Friday")))))))</f>
        <v>Saturday</v>
      </c>
      <c r="X168" s="59" t="str">
        <f>IF(G168=FALSE,"Working day", IF(G168=TRUE,"Holiday"))</f>
        <v>Working day</v>
      </c>
    </row>
    <row r="169" spans="1:24" x14ac:dyDescent="0.25">
      <c r="A169" s="32">
        <v>168</v>
      </c>
      <c r="B169" s="33">
        <v>40551</v>
      </c>
      <c r="C169" s="26">
        <v>1</v>
      </c>
      <c r="D169" s="26">
        <v>0</v>
      </c>
      <c r="E169" s="26">
        <v>1</v>
      </c>
      <c r="F169" s="26">
        <v>6</v>
      </c>
      <c r="G169" s="26" t="b">
        <v>0</v>
      </c>
      <c r="H169" s="26">
        <v>6</v>
      </c>
      <c r="I169" s="26">
        <v>2</v>
      </c>
      <c r="J169" s="26">
        <v>0.16</v>
      </c>
      <c r="K169" s="26">
        <v>0.18179999999999999</v>
      </c>
      <c r="L169" s="26">
        <v>0.74</v>
      </c>
      <c r="M169">
        <v>0.16420000000000001</v>
      </c>
      <c r="N169" s="26">
        <v>0</v>
      </c>
      <c r="O169" s="26">
        <v>2</v>
      </c>
      <c r="P169" s="26">
        <v>2</v>
      </c>
      <c r="Q169" s="34" t="str">
        <f t="shared" si="6"/>
        <v>Cloudy</v>
      </c>
      <c r="R169" s="41" t="str">
        <f>IF(I169=1,"Normal",IF(I169=2,"Yellow Alert",IF(I169=3,"Orange Alert",IF(I169=4,"Red Alert"))))</f>
        <v>Yellow Alert</v>
      </c>
      <c r="S169" s="60">
        <f t="shared" si="7"/>
        <v>8</v>
      </c>
      <c r="T169" s="60">
        <f>MONTH(dataset_1!B:B)</f>
        <v>1</v>
      </c>
      <c r="U169" s="60">
        <f t="shared" si="8"/>
        <v>2011</v>
      </c>
      <c r="V169" s="59" t="str">
        <f>TEXT(F169/24,"H AM/PM")</f>
        <v>6 AM</v>
      </c>
      <c r="W169" s="59" t="str">
        <f>IF(H169=6,"Saturday",IF(H169=0,"Sunday",IF(H169=1,"Monday",IF(H169=2,"Tuesday",IF(H169=3,"Wednesday",IF(H169=4,"Thursday",IF(H169=5,"Friday")))))))</f>
        <v>Saturday</v>
      </c>
      <c r="X169" s="59" t="str">
        <f>IF(G169=FALSE,"Working day", IF(G169=TRUE,"Holiday"))</f>
        <v>Working day</v>
      </c>
    </row>
    <row r="170" spans="1:24" x14ac:dyDescent="0.25">
      <c r="A170" s="32">
        <v>169</v>
      </c>
      <c r="B170" s="33">
        <v>40551</v>
      </c>
      <c r="C170" s="26">
        <v>1</v>
      </c>
      <c r="D170" s="26">
        <v>0</v>
      </c>
      <c r="E170" s="26">
        <v>1</v>
      </c>
      <c r="F170" s="26">
        <v>7</v>
      </c>
      <c r="G170" s="26" t="b">
        <v>0</v>
      </c>
      <c r="H170" s="26">
        <v>6</v>
      </c>
      <c r="I170" s="26">
        <v>2</v>
      </c>
      <c r="J170" s="26">
        <v>0.16</v>
      </c>
      <c r="K170" s="26">
        <v>0.18179999999999999</v>
      </c>
      <c r="L170" s="26">
        <v>0.74</v>
      </c>
      <c r="M170">
        <v>0.1045</v>
      </c>
      <c r="N170" s="26">
        <v>1</v>
      </c>
      <c r="O170" s="26">
        <v>8</v>
      </c>
      <c r="P170" s="26">
        <v>9</v>
      </c>
      <c r="Q170" s="34" t="str">
        <f t="shared" si="6"/>
        <v>Cloudy</v>
      </c>
      <c r="R170" s="41" t="str">
        <f>IF(I170=1,"Normal",IF(I170=2,"Yellow Alert",IF(I170=3,"Orange Alert",IF(I170=4,"Red Alert"))))</f>
        <v>Yellow Alert</v>
      </c>
      <c r="S170" s="60">
        <f t="shared" si="7"/>
        <v>8</v>
      </c>
      <c r="T170" s="60">
        <f>MONTH(dataset_1!B:B)</f>
        <v>1</v>
      </c>
      <c r="U170" s="60">
        <f t="shared" si="8"/>
        <v>2011</v>
      </c>
      <c r="V170" s="59" t="str">
        <f>TEXT(F170/24,"H AM/PM")</f>
        <v>7 AM</v>
      </c>
      <c r="W170" s="59" t="str">
        <f>IF(H170=6,"Saturday",IF(H170=0,"Sunday",IF(H170=1,"Monday",IF(H170=2,"Tuesday",IF(H170=3,"Wednesday",IF(H170=4,"Thursday",IF(H170=5,"Friday")))))))</f>
        <v>Saturday</v>
      </c>
      <c r="X170" s="59" t="str">
        <f>IF(G170=FALSE,"Working day", IF(G170=TRUE,"Holiday"))</f>
        <v>Working day</v>
      </c>
    </row>
    <row r="171" spans="1:24" x14ac:dyDescent="0.25">
      <c r="A171" s="32">
        <v>170</v>
      </c>
      <c r="B171" s="33">
        <v>40551</v>
      </c>
      <c r="C171" s="26">
        <v>1</v>
      </c>
      <c r="D171" s="26">
        <v>0</v>
      </c>
      <c r="E171" s="26">
        <v>1</v>
      </c>
      <c r="F171" s="26">
        <v>8</v>
      </c>
      <c r="G171" s="26" t="b">
        <v>0</v>
      </c>
      <c r="H171" s="26">
        <v>6</v>
      </c>
      <c r="I171" s="26">
        <v>3</v>
      </c>
      <c r="J171" s="26">
        <v>0.16</v>
      </c>
      <c r="K171" s="26">
        <v>0.18179999999999999</v>
      </c>
      <c r="L171" s="26">
        <v>0.93</v>
      </c>
      <c r="M171">
        <v>0.1045</v>
      </c>
      <c r="N171" s="26">
        <v>0</v>
      </c>
      <c r="O171" s="26">
        <v>15</v>
      </c>
      <c r="P171" s="26">
        <v>15</v>
      </c>
      <c r="Q171" s="34" t="str">
        <f t="shared" si="6"/>
        <v>Light Rain</v>
      </c>
      <c r="R171" s="41" t="str">
        <f>IF(I171=1,"Normal",IF(I171=2,"Yellow Alert",IF(I171=3,"Orange Alert",IF(I171=4,"Red Alert"))))</f>
        <v>Orange Alert</v>
      </c>
      <c r="S171" s="60">
        <f t="shared" si="7"/>
        <v>8</v>
      </c>
      <c r="T171" s="60">
        <f>MONTH(dataset_1!B:B)</f>
        <v>1</v>
      </c>
      <c r="U171" s="60">
        <f t="shared" si="8"/>
        <v>2011</v>
      </c>
      <c r="V171" s="59" t="str">
        <f>TEXT(F171/24,"H AM/PM")</f>
        <v>8 AM</v>
      </c>
      <c r="W171" s="59" t="str">
        <f>IF(H171=6,"Saturday",IF(H171=0,"Sunday",IF(H171=1,"Monday",IF(H171=2,"Tuesday",IF(H171=3,"Wednesday",IF(H171=4,"Thursday",IF(H171=5,"Friday")))))))</f>
        <v>Saturday</v>
      </c>
      <c r="X171" s="59" t="str">
        <f>IF(G171=FALSE,"Working day", IF(G171=TRUE,"Holiday"))</f>
        <v>Working day</v>
      </c>
    </row>
    <row r="172" spans="1:24" x14ac:dyDescent="0.25">
      <c r="A172" s="32">
        <v>171</v>
      </c>
      <c r="B172" s="33">
        <v>40551</v>
      </c>
      <c r="C172" s="26">
        <v>1</v>
      </c>
      <c r="D172" s="26">
        <v>0</v>
      </c>
      <c r="E172" s="26">
        <v>1</v>
      </c>
      <c r="F172" s="26">
        <v>9</v>
      </c>
      <c r="G172" s="26" t="b">
        <v>0</v>
      </c>
      <c r="H172" s="26">
        <v>6</v>
      </c>
      <c r="I172" s="26">
        <v>3</v>
      </c>
      <c r="J172" s="26">
        <v>0.16</v>
      </c>
      <c r="K172" s="26">
        <v>0.19700000000000001</v>
      </c>
      <c r="L172" s="26">
        <v>0.93</v>
      </c>
      <c r="M172">
        <v>0.1045</v>
      </c>
      <c r="N172" s="26">
        <v>0</v>
      </c>
      <c r="O172" s="26">
        <v>20</v>
      </c>
      <c r="P172" s="26">
        <v>20</v>
      </c>
      <c r="Q172" s="34" t="str">
        <f t="shared" si="6"/>
        <v>Light Rain</v>
      </c>
      <c r="R172" s="41" t="str">
        <f>IF(I172=1,"Normal",IF(I172=2,"Yellow Alert",IF(I172=3,"Orange Alert",IF(I172=4,"Red Alert"))))</f>
        <v>Orange Alert</v>
      </c>
      <c r="S172" s="60">
        <f t="shared" si="7"/>
        <v>8</v>
      </c>
      <c r="T172" s="60">
        <f>MONTH(dataset_1!B:B)</f>
        <v>1</v>
      </c>
      <c r="U172" s="60">
        <f t="shared" si="8"/>
        <v>2011</v>
      </c>
      <c r="V172" s="59" t="str">
        <f>TEXT(F172/24,"H AM/PM")</f>
        <v>9 AM</v>
      </c>
      <c r="W172" s="59" t="str">
        <f>IF(H172=6,"Saturday",IF(H172=0,"Sunday",IF(H172=1,"Monday",IF(H172=2,"Tuesday",IF(H172=3,"Wednesday",IF(H172=4,"Thursday",IF(H172=5,"Friday")))))))</f>
        <v>Saturday</v>
      </c>
      <c r="X172" s="59" t="str">
        <f>IF(G172=FALSE,"Working day", IF(G172=TRUE,"Holiday"))</f>
        <v>Working day</v>
      </c>
    </row>
    <row r="173" spans="1:24" x14ac:dyDescent="0.25">
      <c r="A173" s="32">
        <v>172</v>
      </c>
      <c r="B173" s="33">
        <v>40551</v>
      </c>
      <c r="C173" s="26">
        <v>1</v>
      </c>
      <c r="D173" s="26">
        <v>0</v>
      </c>
      <c r="E173" s="26">
        <v>1</v>
      </c>
      <c r="F173" s="26">
        <v>10</v>
      </c>
      <c r="G173" s="26" t="b">
        <v>0</v>
      </c>
      <c r="H173" s="26">
        <v>6</v>
      </c>
      <c r="I173" s="26">
        <v>2</v>
      </c>
      <c r="J173" s="26">
        <v>0.18</v>
      </c>
      <c r="K173" s="26">
        <v>0.18179999999999999</v>
      </c>
      <c r="L173" s="26">
        <v>0.8</v>
      </c>
      <c r="M173">
        <v>0.16420000000000001</v>
      </c>
      <c r="N173" s="26">
        <v>5</v>
      </c>
      <c r="O173" s="26">
        <v>56</v>
      </c>
      <c r="P173" s="26">
        <v>61</v>
      </c>
      <c r="Q173" s="34" t="str">
        <f t="shared" si="6"/>
        <v>Cloudy</v>
      </c>
      <c r="R173" s="41" t="str">
        <f>IF(I173=1,"Normal",IF(I173=2,"Yellow Alert",IF(I173=3,"Orange Alert",IF(I173=4,"Red Alert"))))</f>
        <v>Yellow Alert</v>
      </c>
      <c r="S173" s="60">
        <f t="shared" si="7"/>
        <v>8</v>
      </c>
      <c r="T173" s="60">
        <f>MONTH(dataset_1!B:B)</f>
        <v>1</v>
      </c>
      <c r="U173" s="60">
        <f t="shared" si="8"/>
        <v>2011</v>
      </c>
      <c r="V173" s="59" t="str">
        <f>TEXT(F173/24,"H AM/PM")</f>
        <v>10 AM</v>
      </c>
      <c r="W173" s="59" t="str">
        <f>IF(H173=6,"Saturday",IF(H173=0,"Sunday",IF(H173=1,"Monday",IF(H173=2,"Tuesday",IF(H173=3,"Wednesday",IF(H173=4,"Thursday",IF(H173=5,"Friday")))))))</f>
        <v>Saturday</v>
      </c>
      <c r="X173" s="59" t="str">
        <f>IF(G173=FALSE,"Working day", IF(G173=TRUE,"Holiday"))</f>
        <v>Working day</v>
      </c>
    </row>
    <row r="174" spans="1:24" x14ac:dyDescent="0.25">
      <c r="A174" s="32">
        <v>173</v>
      </c>
      <c r="B174" s="33">
        <v>40551</v>
      </c>
      <c r="C174" s="26">
        <v>1</v>
      </c>
      <c r="D174" s="26">
        <v>0</v>
      </c>
      <c r="E174" s="26">
        <v>1</v>
      </c>
      <c r="F174" s="26">
        <v>11</v>
      </c>
      <c r="G174" s="26" t="b">
        <v>0</v>
      </c>
      <c r="H174" s="26">
        <v>6</v>
      </c>
      <c r="I174" s="26">
        <v>2</v>
      </c>
      <c r="J174" s="26">
        <v>0.2</v>
      </c>
      <c r="K174" s="26">
        <v>0.18179999999999999</v>
      </c>
      <c r="L174" s="26">
        <v>0.69</v>
      </c>
      <c r="M174">
        <v>0.3881</v>
      </c>
      <c r="N174" s="26">
        <v>2</v>
      </c>
      <c r="O174" s="26">
        <v>60</v>
      </c>
      <c r="P174" s="26">
        <v>62</v>
      </c>
      <c r="Q174" s="34" t="str">
        <f t="shared" si="6"/>
        <v>Cloudy</v>
      </c>
      <c r="R174" s="41" t="str">
        <f>IF(I174=1,"Normal",IF(I174=2,"Yellow Alert",IF(I174=3,"Orange Alert",IF(I174=4,"Red Alert"))))</f>
        <v>Yellow Alert</v>
      </c>
      <c r="S174" s="60">
        <f t="shared" si="7"/>
        <v>8</v>
      </c>
      <c r="T174" s="60">
        <f>MONTH(dataset_1!B:B)</f>
        <v>1</v>
      </c>
      <c r="U174" s="60">
        <f t="shared" si="8"/>
        <v>2011</v>
      </c>
      <c r="V174" s="59" t="str">
        <f>TEXT(F174/24,"H AM/PM")</f>
        <v>11 AM</v>
      </c>
      <c r="W174" s="59" t="str">
        <f>IF(H174=6,"Saturday",IF(H174=0,"Sunday",IF(H174=1,"Monday",IF(H174=2,"Tuesday",IF(H174=3,"Wednesday",IF(H174=4,"Thursday",IF(H174=5,"Friday")))))))</f>
        <v>Saturday</v>
      </c>
      <c r="X174" s="59" t="str">
        <f>IF(G174=FALSE,"Working day", IF(G174=TRUE,"Holiday"))</f>
        <v>Working day</v>
      </c>
    </row>
    <row r="175" spans="1:24" x14ac:dyDescent="0.25">
      <c r="A175" s="32">
        <v>174</v>
      </c>
      <c r="B175" s="33">
        <v>40551</v>
      </c>
      <c r="C175" s="26">
        <v>1</v>
      </c>
      <c r="D175" s="26">
        <v>0</v>
      </c>
      <c r="E175" s="26">
        <v>1</v>
      </c>
      <c r="F175" s="26">
        <v>12</v>
      </c>
      <c r="G175" s="26" t="b">
        <v>0</v>
      </c>
      <c r="H175" s="26">
        <v>6</v>
      </c>
      <c r="I175" s="26">
        <v>2</v>
      </c>
      <c r="J175" s="26">
        <v>0.2</v>
      </c>
      <c r="K175" s="26">
        <v>0.18179999999999999</v>
      </c>
      <c r="L175" s="26">
        <v>0.59</v>
      </c>
      <c r="M175">
        <v>0.35820000000000002</v>
      </c>
      <c r="N175" s="26">
        <v>8</v>
      </c>
      <c r="O175" s="26">
        <v>90</v>
      </c>
      <c r="P175" s="26">
        <v>98</v>
      </c>
      <c r="Q175" s="34" t="str">
        <f t="shared" si="6"/>
        <v>Cloudy</v>
      </c>
      <c r="R175" s="41" t="str">
        <f>IF(I175=1,"Normal",IF(I175=2,"Yellow Alert",IF(I175=3,"Orange Alert",IF(I175=4,"Red Alert"))))</f>
        <v>Yellow Alert</v>
      </c>
      <c r="S175" s="60">
        <f t="shared" si="7"/>
        <v>8</v>
      </c>
      <c r="T175" s="60">
        <f>MONTH(dataset_1!B:B)</f>
        <v>1</v>
      </c>
      <c r="U175" s="60">
        <f t="shared" si="8"/>
        <v>2011</v>
      </c>
      <c r="V175" s="59" t="str">
        <f>TEXT(F175/24,"H AM/PM")</f>
        <v>12 PM</v>
      </c>
      <c r="W175" s="59" t="str">
        <f>IF(H175=6,"Saturday",IF(H175=0,"Sunday",IF(H175=1,"Monday",IF(H175=2,"Tuesday",IF(H175=3,"Wednesday",IF(H175=4,"Thursday",IF(H175=5,"Friday")))))))</f>
        <v>Saturday</v>
      </c>
      <c r="X175" s="59" t="str">
        <f>IF(G175=FALSE,"Working day", IF(G175=TRUE,"Holiday"))</f>
        <v>Working day</v>
      </c>
    </row>
    <row r="176" spans="1:24" x14ac:dyDescent="0.25">
      <c r="A176" s="32">
        <v>175</v>
      </c>
      <c r="B176" s="33">
        <v>40551</v>
      </c>
      <c r="C176" s="26">
        <v>1</v>
      </c>
      <c r="D176" s="26">
        <v>0</v>
      </c>
      <c r="E176" s="26">
        <v>1</v>
      </c>
      <c r="F176" s="26">
        <v>13</v>
      </c>
      <c r="G176" s="26" t="b">
        <v>0</v>
      </c>
      <c r="H176" s="26">
        <v>6</v>
      </c>
      <c r="I176" s="26">
        <v>1</v>
      </c>
      <c r="J176" s="26">
        <v>0.2</v>
      </c>
      <c r="K176" s="26">
        <v>0.16669999999999999</v>
      </c>
      <c r="L176" s="26">
        <v>0.44</v>
      </c>
      <c r="M176">
        <v>0.32840000000000003</v>
      </c>
      <c r="N176" s="26">
        <v>7</v>
      </c>
      <c r="O176" s="26">
        <v>95</v>
      </c>
      <c r="P176" s="26">
        <v>102</v>
      </c>
      <c r="Q176" s="34" t="str">
        <f t="shared" si="6"/>
        <v>Clear</v>
      </c>
      <c r="R176" s="41" t="str">
        <f>IF(I176=1,"Normal",IF(I176=2,"Yellow Alert",IF(I176=3,"Orange Alert",IF(I176=4,"Red Alert"))))</f>
        <v>Normal</v>
      </c>
      <c r="S176" s="60">
        <f t="shared" si="7"/>
        <v>8</v>
      </c>
      <c r="T176" s="60">
        <f>MONTH(dataset_1!B:B)</f>
        <v>1</v>
      </c>
      <c r="U176" s="60">
        <f t="shared" si="8"/>
        <v>2011</v>
      </c>
      <c r="V176" s="59" t="str">
        <f>TEXT(F176/24,"H AM/PM")</f>
        <v>1 PM</v>
      </c>
      <c r="W176" s="59" t="str">
        <f>IF(H176=6,"Saturday",IF(H176=0,"Sunday",IF(H176=1,"Monday",IF(H176=2,"Tuesday",IF(H176=3,"Wednesday",IF(H176=4,"Thursday",IF(H176=5,"Friday")))))))</f>
        <v>Saturday</v>
      </c>
      <c r="X176" s="59" t="str">
        <f>IF(G176=FALSE,"Working day", IF(G176=TRUE,"Holiday"))</f>
        <v>Working day</v>
      </c>
    </row>
    <row r="177" spans="1:24" x14ac:dyDescent="0.25">
      <c r="A177" s="32">
        <v>176</v>
      </c>
      <c r="B177" s="33">
        <v>40551</v>
      </c>
      <c r="C177" s="26">
        <v>1</v>
      </c>
      <c r="D177" s="26">
        <v>0</v>
      </c>
      <c r="E177" s="26">
        <v>1</v>
      </c>
      <c r="F177" s="26">
        <v>14</v>
      </c>
      <c r="G177" s="26" t="b">
        <v>0</v>
      </c>
      <c r="H177" s="26">
        <v>6</v>
      </c>
      <c r="I177" s="26">
        <v>1</v>
      </c>
      <c r="J177" s="26">
        <v>0.2</v>
      </c>
      <c r="K177" s="26">
        <v>0.16669999999999999</v>
      </c>
      <c r="L177" s="26">
        <v>0.32</v>
      </c>
      <c r="M177">
        <v>0.49249999999999999</v>
      </c>
      <c r="N177" s="26">
        <v>12</v>
      </c>
      <c r="O177" s="26">
        <v>83</v>
      </c>
      <c r="P177" s="26">
        <v>95</v>
      </c>
      <c r="Q177" s="34" t="str">
        <f t="shared" si="6"/>
        <v>Clear</v>
      </c>
      <c r="R177" s="41" t="str">
        <f>IF(I177=1,"Normal",IF(I177=2,"Yellow Alert",IF(I177=3,"Orange Alert",IF(I177=4,"Red Alert"))))</f>
        <v>Normal</v>
      </c>
      <c r="S177" s="60">
        <f t="shared" si="7"/>
        <v>8</v>
      </c>
      <c r="T177" s="60">
        <f>MONTH(dataset_1!B:B)</f>
        <v>1</v>
      </c>
      <c r="U177" s="60">
        <f t="shared" si="8"/>
        <v>2011</v>
      </c>
      <c r="V177" s="59" t="str">
        <f>TEXT(F177/24,"H AM/PM")</f>
        <v>2 PM</v>
      </c>
      <c r="W177" s="59" t="str">
        <f>IF(H177=6,"Saturday",IF(H177=0,"Sunday",IF(H177=1,"Monday",IF(H177=2,"Tuesday",IF(H177=3,"Wednesday",IF(H177=4,"Thursday",IF(H177=5,"Friday")))))))</f>
        <v>Saturday</v>
      </c>
      <c r="X177" s="59" t="str">
        <f>IF(G177=FALSE,"Working day", IF(G177=TRUE,"Holiday"))</f>
        <v>Working day</v>
      </c>
    </row>
    <row r="178" spans="1:24" x14ac:dyDescent="0.25">
      <c r="A178" s="32">
        <v>177</v>
      </c>
      <c r="B178" s="33">
        <v>40551</v>
      </c>
      <c r="C178" s="26">
        <v>1</v>
      </c>
      <c r="D178" s="26">
        <v>0</v>
      </c>
      <c r="E178" s="26">
        <v>1</v>
      </c>
      <c r="F178" s="26">
        <v>15</v>
      </c>
      <c r="G178" s="26" t="b">
        <v>0</v>
      </c>
      <c r="H178" s="26">
        <v>6</v>
      </c>
      <c r="I178" s="26">
        <v>1</v>
      </c>
      <c r="J178" s="26">
        <v>0.2</v>
      </c>
      <c r="K178" s="26">
        <v>0.13639999999999999</v>
      </c>
      <c r="L178" s="26">
        <v>0.32</v>
      </c>
      <c r="M178">
        <v>0.44779999999999998</v>
      </c>
      <c r="N178" s="26">
        <v>5</v>
      </c>
      <c r="O178" s="26">
        <v>69</v>
      </c>
      <c r="P178" s="26">
        <v>74</v>
      </c>
      <c r="Q178" s="34" t="str">
        <f t="shared" si="6"/>
        <v>Clear</v>
      </c>
      <c r="R178" s="41" t="str">
        <f>IF(I178=1,"Normal",IF(I178=2,"Yellow Alert",IF(I178=3,"Orange Alert",IF(I178=4,"Red Alert"))))</f>
        <v>Normal</v>
      </c>
      <c r="S178" s="60">
        <f t="shared" si="7"/>
        <v>8</v>
      </c>
      <c r="T178" s="60">
        <f>MONTH(dataset_1!B:B)</f>
        <v>1</v>
      </c>
      <c r="U178" s="60">
        <f t="shared" si="8"/>
        <v>2011</v>
      </c>
      <c r="V178" s="59" t="str">
        <f>TEXT(F178/24,"H AM/PM")</f>
        <v>3 PM</v>
      </c>
      <c r="W178" s="59" t="str">
        <f>IF(H178=6,"Saturday",IF(H178=0,"Sunday",IF(H178=1,"Monday",IF(H178=2,"Tuesday",IF(H178=3,"Wednesday",IF(H178=4,"Thursday",IF(H178=5,"Friday")))))))</f>
        <v>Saturday</v>
      </c>
      <c r="X178" s="59" t="str">
        <f>IF(G178=FALSE,"Working day", IF(G178=TRUE,"Holiday"))</f>
        <v>Working day</v>
      </c>
    </row>
    <row r="179" spans="1:24" x14ac:dyDescent="0.25">
      <c r="A179" s="32">
        <v>178</v>
      </c>
      <c r="B179" s="33">
        <v>40551</v>
      </c>
      <c r="C179" s="26">
        <v>1</v>
      </c>
      <c r="D179" s="26">
        <v>0</v>
      </c>
      <c r="E179" s="26">
        <v>1</v>
      </c>
      <c r="F179" s="26">
        <v>16</v>
      </c>
      <c r="G179" s="26" t="b">
        <v>0</v>
      </c>
      <c r="H179" s="26">
        <v>6</v>
      </c>
      <c r="I179" s="26">
        <v>1</v>
      </c>
      <c r="J179" s="26">
        <v>0.18</v>
      </c>
      <c r="K179" s="26">
        <v>0.1212</v>
      </c>
      <c r="L179" s="26">
        <v>0.28999999999999998</v>
      </c>
      <c r="M179">
        <v>0.44779999999999998</v>
      </c>
      <c r="N179" s="26">
        <v>8</v>
      </c>
      <c r="O179" s="26">
        <v>68</v>
      </c>
      <c r="P179" s="26">
        <v>76</v>
      </c>
      <c r="Q179" s="34" t="str">
        <f t="shared" si="6"/>
        <v>Clear</v>
      </c>
      <c r="R179" s="41" t="str">
        <f>IF(I179=1,"Normal",IF(I179=2,"Yellow Alert",IF(I179=3,"Orange Alert",IF(I179=4,"Red Alert"))))</f>
        <v>Normal</v>
      </c>
      <c r="S179" s="60">
        <f t="shared" si="7"/>
        <v>8</v>
      </c>
      <c r="T179" s="60">
        <f>MONTH(dataset_1!B:B)</f>
        <v>1</v>
      </c>
      <c r="U179" s="60">
        <f t="shared" si="8"/>
        <v>2011</v>
      </c>
      <c r="V179" s="59" t="str">
        <f>TEXT(F179/24,"H AM/PM")</f>
        <v>4 PM</v>
      </c>
      <c r="W179" s="59" t="str">
        <f>IF(H179=6,"Saturday",IF(H179=0,"Sunday",IF(H179=1,"Monday",IF(H179=2,"Tuesday",IF(H179=3,"Wednesday",IF(H179=4,"Thursday",IF(H179=5,"Friday")))))))</f>
        <v>Saturday</v>
      </c>
      <c r="X179" s="59" t="str">
        <f>IF(G179=FALSE,"Working day", IF(G179=TRUE,"Holiday"))</f>
        <v>Working day</v>
      </c>
    </row>
    <row r="180" spans="1:24" x14ac:dyDescent="0.25">
      <c r="A180" s="32">
        <v>179</v>
      </c>
      <c r="B180" s="33">
        <v>40551</v>
      </c>
      <c r="C180" s="26">
        <v>1</v>
      </c>
      <c r="D180" s="26">
        <v>0</v>
      </c>
      <c r="E180" s="26">
        <v>1</v>
      </c>
      <c r="F180" s="26">
        <v>17</v>
      </c>
      <c r="G180" s="26" t="b">
        <v>0</v>
      </c>
      <c r="H180" s="26">
        <v>6</v>
      </c>
      <c r="I180" s="26">
        <v>1</v>
      </c>
      <c r="J180" s="26">
        <v>0.16</v>
      </c>
      <c r="K180" s="26">
        <v>0.1212</v>
      </c>
      <c r="L180" s="26">
        <v>0.37</v>
      </c>
      <c r="M180">
        <v>0.55220000000000002</v>
      </c>
      <c r="N180" s="26">
        <v>5</v>
      </c>
      <c r="O180" s="26">
        <v>64</v>
      </c>
      <c r="P180" s="26">
        <v>69</v>
      </c>
      <c r="Q180" s="34" t="str">
        <f t="shared" si="6"/>
        <v>Clear</v>
      </c>
      <c r="R180" s="41" t="str">
        <f>IF(I180=1,"Normal",IF(I180=2,"Yellow Alert",IF(I180=3,"Orange Alert",IF(I180=4,"Red Alert"))))</f>
        <v>Normal</v>
      </c>
      <c r="S180" s="60">
        <f t="shared" si="7"/>
        <v>8</v>
      </c>
      <c r="T180" s="60">
        <f>MONTH(dataset_1!B:B)</f>
        <v>1</v>
      </c>
      <c r="U180" s="60">
        <f t="shared" si="8"/>
        <v>2011</v>
      </c>
      <c r="V180" s="59" t="str">
        <f>TEXT(F180/24,"H AM/PM")</f>
        <v>5 PM</v>
      </c>
      <c r="W180" s="59" t="str">
        <f>IF(H180=6,"Saturday",IF(H180=0,"Sunday",IF(H180=1,"Monday",IF(H180=2,"Tuesday",IF(H180=3,"Wednesday",IF(H180=4,"Thursday",IF(H180=5,"Friday")))))))</f>
        <v>Saturday</v>
      </c>
      <c r="X180" s="59" t="str">
        <f>IF(G180=FALSE,"Working day", IF(G180=TRUE,"Holiday"))</f>
        <v>Working day</v>
      </c>
    </row>
    <row r="181" spans="1:24" x14ac:dyDescent="0.25">
      <c r="A181" s="32">
        <v>180</v>
      </c>
      <c r="B181" s="33">
        <v>40551</v>
      </c>
      <c r="C181" s="26">
        <v>1</v>
      </c>
      <c r="D181" s="26">
        <v>0</v>
      </c>
      <c r="E181" s="26">
        <v>1</v>
      </c>
      <c r="F181" s="26">
        <v>18</v>
      </c>
      <c r="G181" s="26" t="b">
        <v>0</v>
      </c>
      <c r="H181" s="26">
        <v>6</v>
      </c>
      <c r="I181" s="26">
        <v>1</v>
      </c>
      <c r="J181" s="26">
        <v>0.14000000000000001</v>
      </c>
      <c r="K181" s="26">
        <v>0.1212</v>
      </c>
      <c r="L181" s="26">
        <v>0.39</v>
      </c>
      <c r="M181">
        <v>0.29849999999999999</v>
      </c>
      <c r="N181" s="26">
        <v>3</v>
      </c>
      <c r="O181" s="26">
        <v>52</v>
      </c>
      <c r="P181" s="26">
        <v>55</v>
      </c>
      <c r="Q181" s="34" t="str">
        <f t="shared" si="6"/>
        <v>Clear</v>
      </c>
      <c r="R181" s="41" t="str">
        <f>IF(I181=1,"Normal",IF(I181=2,"Yellow Alert",IF(I181=3,"Orange Alert",IF(I181=4,"Red Alert"))))</f>
        <v>Normal</v>
      </c>
      <c r="S181" s="60">
        <f t="shared" si="7"/>
        <v>8</v>
      </c>
      <c r="T181" s="60">
        <f>MONTH(dataset_1!B:B)</f>
        <v>1</v>
      </c>
      <c r="U181" s="60">
        <f t="shared" si="8"/>
        <v>2011</v>
      </c>
      <c r="V181" s="59" t="str">
        <f>TEXT(F181/24,"H AM/PM")</f>
        <v>6 PM</v>
      </c>
      <c r="W181" s="59" t="str">
        <f>IF(H181=6,"Saturday",IF(H181=0,"Sunday",IF(H181=1,"Monday",IF(H181=2,"Tuesday",IF(H181=3,"Wednesday",IF(H181=4,"Thursday",IF(H181=5,"Friday")))))))</f>
        <v>Saturday</v>
      </c>
      <c r="X181" s="59" t="str">
        <f>IF(G181=FALSE,"Working day", IF(G181=TRUE,"Holiday"))</f>
        <v>Working day</v>
      </c>
    </row>
    <row r="182" spans="1:24" x14ac:dyDescent="0.25">
      <c r="A182" s="32">
        <v>181</v>
      </c>
      <c r="B182" s="33">
        <v>40551</v>
      </c>
      <c r="C182" s="26">
        <v>1</v>
      </c>
      <c r="D182" s="26">
        <v>0</v>
      </c>
      <c r="E182" s="26">
        <v>1</v>
      </c>
      <c r="F182" s="26">
        <v>19</v>
      </c>
      <c r="G182" s="26" t="b">
        <v>0</v>
      </c>
      <c r="H182" s="26">
        <v>6</v>
      </c>
      <c r="I182" s="26">
        <v>1</v>
      </c>
      <c r="J182" s="26">
        <v>0.14000000000000001</v>
      </c>
      <c r="K182" s="26">
        <v>0.1212</v>
      </c>
      <c r="L182" s="26">
        <v>0.36</v>
      </c>
      <c r="M182">
        <v>0.25369999999999998</v>
      </c>
      <c r="N182" s="26">
        <v>4</v>
      </c>
      <c r="O182" s="26">
        <v>26</v>
      </c>
      <c r="P182" s="26">
        <v>30</v>
      </c>
      <c r="Q182" s="34" t="str">
        <f t="shared" si="6"/>
        <v>Clear</v>
      </c>
      <c r="R182" s="41" t="str">
        <f>IF(I182=1,"Normal",IF(I182=2,"Yellow Alert",IF(I182=3,"Orange Alert",IF(I182=4,"Red Alert"))))</f>
        <v>Normal</v>
      </c>
      <c r="S182" s="60">
        <f t="shared" si="7"/>
        <v>8</v>
      </c>
      <c r="T182" s="60">
        <f>MONTH(dataset_1!B:B)</f>
        <v>1</v>
      </c>
      <c r="U182" s="60">
        <f t="shared" si="8"/>
        <v>2011</v>
      </c>
      <c r="V182" s="59" t="str">
        <f>TEXT(F182/24,"H AM/PM")</f>
        <v>7 PM</v>
      </c>
      <c r="W182" s="59" t="str">
        <f>IF(H182=6,"Saturday",IF(H182=0,"Sunday",IF(H182=1,"Monday",IF(H182=2,"Tuesday",IF(H182=3,"Wednesday",IF(H182=4,"Thursday",IF(H182=5,"Friday")))))))</f>
        <v>Saturday</v>
      </c>
      <c r="X182" s="59" t="str">
        <f>IF(G182=FALSE,"Working day", IF(G182=TRUE,"Holiday"))</f>
        <v>Working day</v>
      </c>
    </row>
    <row r="183" spans="1:24" x14ac:dyDescent="0.25">
      <c r="A183" s="32">
        <v>182</v>
      </c>
      <c r="B183" s="33">
        <v>40551</v>
      </c>
      <c r="C183" s="26">
        <v>1</v>
      </c>
      <c r="D183" s="26">
        <v>0</v>
      </c>
      <c r="E183" s="26">
        <v>1</v>
      </c>
      <c r="F183" s="26">
        <v>20</v>
      </c>
      <c r="G183" s="26" t="b">
        <v>0</v>
      </c>
      <c r="H183" s="26">
        <v>6</v>
      </c>
      <c r="I183" s="26">
        <v>1</v>
      </c>
      <c r="J183" s="26">
        <v>0.12</v>
      </c>
      <c r="K183" s="26">
        <v>0.1061</v>
      </c>
      <c r="L183" s="26">
        <v>0.36</v>
      </c>
      <c r="M183">
        <v>0.25369999999999998</v>
      </c>
      <c r="N183" s="26">
        <v>0</v>
      </c>
      <c r="O183" s="26">
        <v>28</v>
      </c>
      <c r="P183" s="26">
        <v>28</v>
      </c>
      <c r="Q183" s="34" t="str">
        <f t="shared" si="6"/>
        <v>Clear</v>
      </c>
      <c r="R183" s="41" t="str">
        <f>IF(I183=1,"Normal",IF(I183=2,"Yellow Alert",IF(I183=3,"Orange Alert",IF(I183=4,"Red Alert"))))</f>
        <v>Normal</v>
      </c>
      <c r="S183" s="60">
        <f t="shared" si="7"/>
        <v>8</v>
      </c>
      <c r="T183" s="60">
        <f>MONTH(dataset_1!B:B)</f>
        <v>1</v>
      </c>
      <c r="U183" s="60">
        <f t="shared" si="8"/>
        <v>2011</v>
      </c>
      <c r="V183" s="59" t="str">
        <f>TEXT(F183/24,"H AM/PM")</f>
        <v>8 PM</v>
      </c>
      <c r="W183" s="59" t="str">
        <f>IF(H183=6,"Saturday",IF(H183=0,"Sunday",IF(H183=1,"Monday",IF(H183=2,"Tuesday",IF(H183=3,"Wednesday",IF(H183=4,"Thursday",IF(H183=5,"Friday")))))))</f>
        <v>Saturday</v>
      </c>
      <c r="X183" s="59" t="str">
        <f>IF(G183=FALSE,"Working day", IF(G183=TRUE,"Holiday"))</f>
        <v>Working day</v>
      </c>
    </row>
    <row r="184" spans="1:24" x14ac:dyDescent="0.25">
      <c r="A184" s="32">
        <v>183</v>
      </c>
      <c r="B184" s="33">
        <v>40551</v>
      </c>
      <c r="C184" s="26">
        <v>1</v>
      </c>
      <c r="D184" s="26">
        <v>0</v>
      </c>
      <c r="E184" s="26">
        <v>1</v>
      </c>
      <c r="F184" s="26">
        <v>21</v>
      </c>
      <c r="G184" s="26" t="b">
        <v>0</v>
      </c>
      <c r="H184" s="26">
        <v>6</v>
      </c>
      <c r="I184" s="26">
        <v>1</v>
      </c>
      <c r="J184" s="26">
        <v>0.12</v>
      </c>
      <c r="K184" s="26">
        <v>0.1061</v>
      </c>
      <c r="L184" s="26">
        <v>0.39</v>
      </c>
      <c r="M184">
        <v>0.35820000000000002</v>
      </c>
      <c r="N184" s="26">
        <v>2</v>
      </c>
      <c r="O184" s="26">
        <v>35</v>
      </c>
      <c r="P184" s="26">
        <v>37</v>
      </c>
      <c r="Q184" s="34" t="str">
        <f t="shared" si="6"/>
        <v>Clear</v>
      </c>
      <c r="R184" s="41" t="str">
        <f>IF(I184=1,"Normal",IF(I184=2,"Yellow Alert",IF(I184=3,"Orange Alert",IF(I184=4,"Red Alert"))))</f>
        <v>Normal</v>
      </c>
      <c r="S184" s="60">
        <f t="shared" si="7"/>
        <v>8</v>
      </c>
      <c r="T184" s="60">
        <f>MONTH(dataset_1!B:B)</f>
        <v>1</v>
      </c>
      <c r="U184" s="60">
        <f t="shared" si="8"/>
        <v>2011</v>
      </c>
      <c r="V184" s="59" t="str">
        <f>TEXT(F184/24,"H AM/PM")</f>
        <v>9 PM</v>
      </c>
      <c r="W184" s="59" t="str">
        <f>IF(H184=6,"Saturday",IF(H184=0,"Sunday",IF(H184=1,"Monday",IF(H184=2,"Tuesday",IF(H184=3,"Wednesday",IF(H184=4,"Thursday",IF(H184=5,"Friday")))))))</f>
        <v>Saturday</v>
      </c>
      <c r="X184" s="59" t="str">
        <f>IF(G184=FALSE,"Working day", IF(G184=TRUE,"Holiday"))</f>
        <v>Working day</v>
      </c>
    </row>
    <row r="185" spans="1:24" x14ac:dyDescent="0.25">
      <c r="A185" s="32">
        <v>184</v>
      </c>
      <c r="B185" s="33">
        <v>40551</v>
      </c>
      <c r="C185" s="26">
        <v>1</v>
      </c>
      <c r="D185" s="26">
        <v>0</v>
      </c>
      <c r="E185" s="26">
        <v>1</v>
      </c>
      <c r="F185" s="26">
        <v>22</v>
      </c>
      <c r="G185" s="26" t="b">
        <v>0</v>
      </c>
      <c r="H185" s="26">
        <v>6</v>
      </c>
      <c r="I185" s="26">
        <v>1</v>
      </c>
      <c r="J185" s="26">
        <v>0.12</v>
      </c>
      <c r="K185" s="26">
        <v>6.0600000000000001E-2</v>
      </c>
      <c r="L185" s="26">
        <v>0.36</v>
      </c>
      <c r="M185">
        <v>0.3881</v>
      </c>
      <c r="N185" s="26">
        <v>1</v>
      </c>
      <c r="O185" s="26">
        <v>33</v>
      </c>
      <c r="P185" s="26">
        <v>34</v>
      </c>
      <c r="Q185" s="34" t="str">
        <f t="shared" si="6"/>
        <v>Clear</v>
      </c>
      <c r="R185" s="41" t="str">
        <f>IF(I185=1,"Normal",IF(I185=2,"Yellow Alert",IF(I185=3,"Orange Alert",IF(I185=4,"Red Alert"))))</f>
        <v>Normal</v>
      </c>
      <c r="S185" s="60">
        <f t="shared" si="7"/>
        <v>8</v>
      </c>
      <c r="T185" s="60">
        <f>MONTH(dataset_1!B:B)</f>
        <v>1</v>
      </c>
      <c r="U185" s="60">
        <f t="shared" si="8"/>
        <v>2011</v>
      </c>
      <c r="V185" s="59" t="str">
        <f>TEXT(F185/24,"H AM/PM")</f>
        <v>10 PM</v>
      </c>
      <c r="W185" s="59" t="str">
        <f>IF(H185=6,"Saturday",IF(H185=0,"Sunday",IF(H185=1,"Monday",IF(H185=2,"Tuesday",IF(H185=3,"Wednesday",IF(H185=4,"Thursday",IF(H185=5,"Friday")))))))</f>
        <v>Saturday</v>
      </c>
      <c r="X185" s="59" t="str">
        <f>IF(G185=FALSE,"Working day", IF(G185=TRUE,"Holiday"))</f>
        <v>Working day</v>
      </c>
    </row>
    <row r="186" spans="1:24" x14ac:dyDescent="0.25">
      <c r="A186" s="32">
        <v>185</v>
      </c>
      <c r="B186" s="33">
        <v>40551</v>
      </c>
      <c r="C186" s="26">
        <v>1</v>
      </c>
      <c r="D186" s="26">
        <v>0</v>
      </c>
      <c r="E186" s="26">
        <v>1</v>
      </c>
      <c r="F186" s="26">
        <v>23</v>
      </c>
      <c r="G186" s="26" t="b">
        <v>0</v>
      </c>
      <c r="H186" s="26">
        <v>6</v>
      </c>
      <c r="I186" s="26">
        <v>1</v>
      </c>
      <c r="J186" s="26">
        <v>0.1</v>
      </c>
      <c r="K186" s="26">
        <v>7.5800000000000006E-2</v>
      </c>
      <c r="L186" s="26">
        <v>0.39</v>
      </c>
      <c r="M186">
        <v>0.44779999999999998</v>
      </c>
      <c r="N186" s="26">
        <v>0</v>
      </c>
      <c r="O186" s="26">
        <v>22</v>
      </c>
      <c r="P186" s="26">
        <v>22</v>
      </c>
      <c r="Q186" s="34" t="str">
        <f t="shared" si="6"/>
        <v>Clear</v>
      </c>
      <c r="R186" s="41" t="str">
        <f>IF(I186=1,"Normal",IF(I186=2,"Yellow Alert",IF(I186=3,"Orange Alert",IF(I186=4,"Red Alert"))))</f>
        <v>Normal</v>
      </c>
      <c r="S186" s="60">
        <f t="shared" si="7"/>
        <v>8</v>
      </c>
      <c r="T186" s="60">
        <f>MONTH(dataset_1!B:B)</f>
        <v>1</v>
      </c>
      <c r="U186" s="60">
        <f t="shared" si="8"/>
        <v>2011</v>
      </c>
      <c r="V186" s="59" t="str">
        <f>TEXT(F186/24,"H AM/PM")</f>
        <v>11 PM</v>
      </c>
      <c r="W186" s="59" t="str">
        <f>IF(H186=6,"Saturday",IF(H186=0,"Sunday",IF(H186=1,"Monday",IF(H186=2,"Tuesday",IF(H186=3,"Wednesday",IF(H186=4,"Thursday",IF(H186=5,"Friday")))))))</f>
        <v>Saturday</v>
      </c>
      <c r="X186" s="59" t="str">
        <f>IF(G186=FALSE,"Working day", IF(G186=TRUE,"Holiday"))</f>
        <v>Working day</v>
      </c>
    </row>
    <row r="187" spans="1:24" x14ac:dyDescent="0.25">
      <c r="A187" s="32">
        <v>186</v>
      </c>
      <c r="B187" s="33">
        <v>40552</v>
      </c>
      <c r="C187" s="26">
        <v>1</v>
      </c>
      <c r="D187" s="26">
        <v>0</v>
      </c>
      <c r="E187" s="26">
        <v>1</v>
      </c>
      <c r="F187" s="26">
        <v>0</v>
      </c>
      <c r="G187" s="26" t="b">
        <v>0</v>
      </c>
      <c r="H187" s="26">
        <v>0</v>
      </c>
      <c r="I187" s="26">
        <v>1</v>
      </c>
      <c r="J187" s="26">
        <v>0.1</v>
      </c>
      <c r="K187" s="26">
        <v>6.0600000000000001E-2</v>
      </c>
      <c r="L187" s="26">
        <v>0.42</v>
      </c>
      <c r="M187">
        <v>0.3881</v>
      </c>
      <c r="N187" s="26">
        <v>1</v>
      </c>
      <c r="O187" s="26">
        <v>24</v>
      </c>
      <c r="P187" s="26">
        <v>25</v>
      </c>
      <c r="Q187" s="34" t="str">
        <f t="shared" si="6"/>
        <v>Clear</v>
      </c>
      <c r="R187" s="41" t="str">
        <f>IF(I187=1,"Normal",IF(I187=2,"Yellow Alert",IF(I187=3,"Orange Alert",IF(I187=4,"Red Alert"))))</f>
        <v>Normal</v>
      </c>
      <c r="S187" s="60">
        <f t="shared" si="7"/>
        <v>9</v>
      </c>
      <c r="T187" s="60">
        <f>MONTH(dataset_1!B:B)</f>
        <v>1</v>
      </c>
      <c r="U187" s="60">
        <f t="shared" si="8"/>
        <v>2011</v>
      </c>
      <c r="V187" s="59" t="str">
        <f>TEXT(F187/24,"H AM/PM")</f>
        <v>12 AM</v>
      </c>
      <c r="W187" s="59" t="str">
        <f>IF(H187=6,"Saturday",IF(H187=0,"Sunday",IF(H187=1,"Monday",IF(H187=2,"Tuesday",IF(H187=3,"Wednesday",IF(H187=4,"Thursday",IF(H187=5,"Friday")))))))</f>
        <v>Sunday</v>
      </c>
      <c r="X187" s="59" t="str">
        <f>IF(G187=FALSE,"Working day", IF(G187=TRUE,"Holiday"))</f>
        <v>Working day</v>
      </c>
    </row>
    <row r="188" spans="1:24" x14ac:dyDescent="0.25">
      <c r="A188" s="32">
        <v>187</v>
      </c>
      <c r="B188" s="33">
        <v>40552</v>
      </c>
      <c r="C188" s="26">
        <v>1</v>
      </c>
      <c r="D188" s="26">
        <v>0</v>
      </c>
      <c r="E188" s="26">
        <v>1</v>
      </c>
      <c r="F188" s="26">
        <v>1</v>
      </c>
      <c r="G188" s="26" t="b">
        <v>0</v>
      </c>
      <c r="H188" s="26">
        <v>0</v>
      </c>
      <c r="I188" s="26">
        <v>1</v>
      </c>
      <c r="J188" s="26">
        <v>0.1</v>
      </c>
      <c r="K188" s="26">
        <v>6.0600000000000001E-2</v>
      </c>
      <c r="L188" s="26">
        <v>0.42</v>
      </c>
      <c r="M188">
        <v>0.4627</v>
      </c>
      <c r="N188" s="26">
        <v>0</v>
      </c>
      <c r="O188" s="26">
        <v>12</v>
      </c>
      <c r="P188" s="26">
        <v>12</v>
      </c>
      <c r="Q188" s="34" t="str">
        <f t="shared" si="6"/>
        <v>Clear</v>
      </c>
      <c r="R188" s="41" t="str">
        <f>IF(I188=1,"Normal",IF(I188=2,"Yellow Alert",IF(I188=3,"Orange Alert",IF(I188=4,"Red Alert"))))</f>
        <v>Normal</v>
      </c>
      <c r="S188" s="60">
        <f t="shared" si="7"/>
        <v>9</v>
      </c>
      <c r="T188" s="60">
        <f>MONTH(dataset_1!B:B)</f>
        <v>1</v>
      </c>
      <c r="U188" s="60">
        <f t="shared" si="8"/>
        <v>2011</v>
      </c>
      <c r="V188" s="59" t="str">
        <f>TEXT(F188/24,"H AM/PM")</f>
        <v>1 AM</v>
      </c>
      <c r="W188" s="59" t="str">
        <f>IF(H188=6,"Saturday",IF(H188=0,"Sunday",IF(H188=1,"Monday",IF(H188=2,"Tuesday",IF(H188=3,"Wednesday",IF(H188=4,"Thursday",IF(H188=5,"Friday")))))))</f>
        <v>Sunday</v>
      </c>
      <c r="X188" s="59" t="str">
        <f>IF(G188=FALSE,"Working day", IF(G188=TRUE,"Holiday"))</f>
        <v>Working day</v>
      </c>
    </row>
    <row r="189" spans="1:24" x14ac:dyDescent="0.25">
      <c r="A189" s="32">
        <v>188</v>
      </c>
      <c r="B189" s="33">
        <v>40552</v>
      </c>
      <c r="C189" s="26">
        <v>1</v>
      </c>
      <c r="D189" s="26">
        <v>0</v>
      </c>
      <c r="E189" s="26">
        <v>1</v>
      </c>
      <c r="F189" s="26">
        <v>2</v>
      </c>
      <c r="G189" s="26" t="b">
        <v>0</v>
      </c>
      <c r="H189" s="26">
        <v>0</v>
      </c>
      <c r="I189" s="26">
        <v>1</v>
      </c>
      <c r="J189" s="26">
        <v>0.1</v>
      </c>
      <c r="K189" s="26">
        <v>7.5800000000000006E-2</v>
      </c>
      <c r="L189" s="26">
        <v>0.46</v>
      </c>
      <c r="M189">
        <v>0.4627</v>
      </c>
      <c r="N189" s="26">
        <v>0</v>
      </c>
      <c r="O189" s="26">
        <v>11</v>
      </c>
      <c r="P189" s="26">
        <v>11</v>
      </c>
      <c r="Q189" s="34" t="str">
        <f t="shared" si="6"/>
        <v>Clear</v>
      </c>
      <c r="R189" s="41" t="str">
        <f>IF(I189=1,"Normal",IF(I189=2,"Yellow Alert",IF(I189=3,"Orange Alert",IF(I189=4,"Red Alert"))))</f>
        <v>Normal</v>
      </c>
      <c r="S189" s="60">
        <f t="shared" si="7"/>
        <v>9</v>
      </c>
      <c r="T189" s="60">
        <f>MONTH(dataset_1!B:B)</f>
        <v>1</v>
      </c>
      <c r="U189" s="60">
        <f t="shared" si="8"/>
        <v>2011</v>
      </c>
      <c r="V189" s="59" t="str">
        <f>TEXT(F189/24,"H AM/PM")</f>
        <v>2 AM</v>
      </c>
      <c r="W189" s="59" t="str">
        <f>IF(H189=6,"Saturday",IF(H189=0,"Sunday",IF(H189=1,"Monday",IF(H189=2,"Tuesday",IF(H189=3,"Wednesday",IF(H189=4,"Thursday",IF(H189=5,"Friday")))))))</f>
        <v>Sunday</v>
      </c>
      <c r="X189" s="59" t="str">
        <f>IF(G189=FALSE,"Working day", IF(G189=TRUE,"Holiday"))</f>
        <v>Working day</v>
      </c>
    </row>
    <row r="190" spans="1:24" x14ac:dyDescent="0.25">
      <c r="A190" s="32">
        <v>189</v>
      </c>
      <c r="B190" s="33">
        <v>40552</v>
      </c>
      <c r="C190" s="26">
        <v>1</v>
      </c>
      <c r="D190" s="26">
        <v>0</v>
      </c>
      <c r="E190" s="26">
        <v>1</v>
      </c>
      <c r="F190" s="26">
        <v>3</v>
      </c>
      <c r="G190" s="26" t="b">
        <v>0</v>
      </c>
      <c r="H190" s="26">
        <v>0</v>
      </c>
      <c r="I190" s="26">
        <v>1</v>
      </c>
      <c r="J190" s="26">
        <v>0.1</v>
      </c>
      <c r="K190" s="26">
        <v>9.0899999999999995E-2</v>
      </c>
      <c r="L190" s="26">
        <v>0.46</v>
      </c>
      <c r="M190">
        <v>0.41789999999999999</v>
      </c>
      <c r="N190" s="26">
        <v>0</v>
      </c>
      <c r="O190" s="26">
        <v>4</v>
      </c>
      <c r="P190" s="26">
        <v>4</v>
      </c>
      <c r="Q190" s="34" t="str">
        <f t="shared" si="6"/>
        <v>Clear</v>
      </c>
      <c r="R190" s="41" t="str">
        <f>IF(I190=1,"Normal",IF(I190=2,"Yellow Alert",IF(I190=3,"Orange Alert",IF(I190=4,"Red Alert"))))</f>
        <v>Normal</v>
      </c>
      <c r="S190" s="60">
        <f t="shared" si="7"/>
        <v>9</v>
      </c>
      <c r="T190" s="60">
        <f>MONTH(dataset_1!B:B)</f>
        <v>1</v>
      </c>
      <c r="U190" s="60">
        <f t="shared" si="8"/>
        <v>2011</v>
      </c>
      <c r="V190" s="59" t="str">
        <f>TEXT(F190/24,"H AM/PM")</f>
        <v>3 AM</v>
      </c>
      <c r="W190" s="59" t="str">
        <f>IF(H190=6,"Saturday",IF(H190=0,"Sunday",IF(H190=1,"Monday",IF(H190=2,"Tuesday",IF(H190=3,"Wednesday",IF(H190=4,"Thursday",IF(H190=5,"Friday")))))))</f>
        <v>Sunday</v>
      </c>
      <c r="X190" s="59" t="str">
        <f>IF(G190=FALSE,"Working day", IF(G190=TRUE,"Holiday"))</f>
        <v>Working day</v>
      </c>
    </row>
    <row r="191" spans="1:24" x14ac:dyDescent="0.25">
      <c r="A191" s="32">
        <v>190</v>
      </c>
      <c r="B191" s="33">
        <v>40552</v>
      </c>
      <c r="C191" s="26">
        <v>1</v>
      </c>
      <c r="D191" s="26">
        <v>0</v>
      </c>
      <c r="E191" s="26">
        <v>1</v>
      </c>
      <c r="F191" s="26">
        <v>4</v>
      </c>
      <c r="G191" s="26" t="b">
        <v>0</v>
      </c>
      <c r="H191" s="26">
        <v>0</v>
      </c>
      <c r="I191" s="26">
        <v>1</v>
      </c>
      <c r="J191" s="26">
        <v>0.08</v>
      </c>
      <c r="K191" s="26">
        <v>9.0899999999999995E-2</v>
      </c>
      <c r="L191" s="26">
        <v>0.53</v>
      </c>
      <c r="M191">
        <v>0.19400000000000001</v>
      </c>
      <c r="N191" s="26">
        <v>0</v>
      </c>
      <c r="O191" s="26">
        <v>1</v>
      </c>
      <c r="P191" s="26">
        <v>1</v>
      </c>
      <c r="Q191" s="34" t="str">
        <f t="shared" si="6"/>
        <v>Clear</v>
      </c>
      <c r="R191" s="41" t="str">
        <f>IF(I191=1,"Normal",IF(I191=2,"Yellow Alert",IF(I191=3,"Orange Alert",IF(I191=4,"Red Alert"))))</f>
        <v>Normal</v>
      </c>
      <c r="S191" s="60">
        <f t="shared" si="7"/>
        <v>9</v>
      </c>
      <c r="T191" s="60">
        <f>MONTH(dataset_1!B:B)</f>
        <v>1</v>
      </c>
      <c r="U191" s="60">
        <f t="shared" si="8"/>
        <v>2011</v>
      </c>
      <c r="V191" s="59" t="str">
        <f>TEXT(F191/24,"H AM/PM")</f>
        <v>4 AM</v>
      </c>
      <c r="W191" s="59" t="str">
        <f>IF(H191=6,"Saturday",IF(H191=0,"Sunday",IF(H191=1,"Monday",IF(H191=2,"Tuesday",IF(H191=3,"Wednesday",IF(H191=4,"Thursday",IF(H191=5,"Friday")))))))</f>
        <v>Sunday</v>
      </c>
      <c r="X191" s="59" t="str">
        <f>IF(G191=FALSE,"Working day", IF(G191=TRUE,"Holiday"))</f>
        <v>Working day</v>
      </c>
    </row>
    <row r="192" spans="1:24" x14ac:dyDescent="0.25">
      <c r="A192" s="32">
        <v>191</v>
      </c>
      <c r="B192" s="33">
        <v>40552</v>
      </c>
      <c r="C192" s="26">
        <v>1</v>
      </c>
      <c r="D192" s="26">
        <v>0</v>
      </c>
      <c r="E192" s="26">
        <v>1</v>
      </c>
      <c r="F192" s="26">
        <v>5</v>
      </c>
      <c r="G192" s="26" t="b">
        <v>0</v>
      </c>
      <c r="H192" s="26">
        <v>0</v>
      </c>
      <c r="I192" s="26">
        <v>1</v>
      </c>
      <c r="J192" s="26">
        <v>0.08</v>
      </c>
      <c r="K192" s="26">
        <v>9.0899999999999995E-2</v>
      </c>
      <c r="L192" s="26">
        <v>0.53</v>
      </c>
      <c r="M192">
        <v>0.19400000000000001</v>
      </c>
      <c r="N192" s="26">
        <v>0</v>
      </c>
      <c r="O192" s="26">
        <v>1</v>
      </c>
      <c r="P192" s="26">
        <v>1</v>
      </c>
      <c r="Q192" s="34" t="str">
        <f t="shared" si="6"/>
        <v>Clear</v>
      </c>
      <c r="R192" s="41" t="str">
        <f>IF(I192=1,"Normal",IF(I192=2,"Yellow Alert",IF(I192=3,"Orange Alert",IF(I192=4,"Red Alert"))))</f>
        <v>Normal</v>
      </c>
      <c r="S192" s="60">
        <f t="shared" si="7"/>
        <v>9</v>
      </c>
      <c r="T192" s="60">
        <f>MONTH(dataset_1!B:B)</f>
        <v>1</v>
      </c>
      <c r="U192" s="60">
        <f t="shared" si="8"/>
        <v>2011</v>
      </c>
      <c r="V192" s="59" t="str">
        <f>TEXT(F192/24,"H AM/PM")</f>
        <v>5 AM</v>
      </c>
      <c r="W192" s="59" t="str">
        <f>IF(H192=6,"Saturday",IF(H192=0,"Sunday",IF(H192=1,"Monday",IF(H192=2,"Tuesday",IF(H192=3,"Wednesday",IF(H192=4,"Thursday",IF(H192=5,"Friday")))))))</f>
        <v>Sunday</v>
      </c>
      <c r="X192" s="59" t="str">
        <f>IF(G192=FALSE,"Working day", IF(G192=TRUE,"Holiday"))</f>
        <v>Working day</v>
      </c>
    </row>
    <row r="193" spans="1:24" x14ac:dyDescent="0.25">
      <c r="A193" s="32">
        <v>192</v>
      </c>
      <c r="B193" s="33">
        <v>40552</v>
      </c>
      <c r="C193" s="26">
        <v>1</v>
      </c>
      <c r="D193" s="26">
        <v>0</v>
      </c>
      <c r="E193" s="26">
        <v>1</v>
      </c>
      <c r="F193" s="26">
        <v>6</v>
      </c>
      <c r="G193" s="26" t="b">
        <v>0</v>
      </c>
      <c r="H193" s="26">
        <v>0</v>
      </c>
      <c r="I193" s="26">
        <v>1</v>
      </c>
      <c r="J193" s="26">
        <v>0.1</v>
      </c>
      <c r="K193" s="26">
        <v>9.0899999999999995E-2</v>
      </c>
      <c r="L193" s="26">
        <v>0.49</v>
      </c>
      <c r="M193">
        <v>0.28360000000000002</v>
      </c>
      <c r="N193" s="26">
        <v>0</v>
      </c>
      <c r="O193" s="26">
        <v>1</v>
      </c>
      <c r="P193" s="26">
        <v>1</v>
      </c>
      <c r="Q193" s="34" t="str">
        <f t="shared" si="6"/>
        <v>Clear</v>
      </c>
      <c r="R193" s="41" t="str">
        <f>IF(I193=1,"Normal",IF(I193=2,"Yellow Alert",IF(I193=3,"Orange Alert",IF(I193=4,"Red Alert"))))</f>
        <v>Normal</v>
      </c>
      <c r="S193" s="60">
        <f t="shared" si="7"/>
        <v>9</v>
      </c>
      <c r="T193" s="60">
        <f>MONTH(dataset_1!B:B)</f>
        <v>1</v>
      </c>
      <c r="U193" s="60">
        <f t="shared" si="8"/>
        <v>2011</v>
      </c>
      <c r="V193" s="59" t="str">
        <f>TEXT(F193/24,"H AM/PM")</f>
        <v>6 AM</v>
      </c>
      <c r="W193" s="59" t="str">
        <f>IF(H193=6,"Saturday",IF(H193=0,"Sunday",IF(H193=1,"Monday",IF(H193=2,"Tuesday",IF(H193=3,"Wednesday",IF(H193=4,"Thursday",IF(H193=5,"Friday")))))))</f>
        <v>Sunday</v>
      </c>
      <c r="X193" s="59" t="str">
        <f>IF(G193=FALSE,"Working day", IF(G193=TRUE,"Holiday"))</f>
        <v>Working day</v>
      </c>
    </row>
    <row r="194" spans="1:24" x14ac:dyDescent="0.25">
      <c r="A194" s="32">
        <v>193</v>
      </c>
      <c r="B194" s="33">
        <v>40552</v>
      </c>
      <c r="C194" s="26">
        <v>1</v>
      </c>
      <c r="D194" s="26">
        <v>0</v>
      </c>
      <c r="E194" s="26">
        <v>1</v>
      </c>
      <c r="F194" s="26">
        <v>7</v>
      </c>
      <c r="G194" s="26" t="b">
        <v>0</v>
      </c>
      <c r="H194" s="26">
        <v>0</v>
      </c>
      <c r="I194" s="26">
        <v>1</v>
      </c>
      <c r="J194" s="26">
        <v>0.08</v>
      </c>
      <c r="K194" s="26">
        <v>9.0899999999999995E-2</v>
      </c>
      <c r="L194" s="26">
        <v>0.53</v>
      </c>
      <c r="M194">
        <v>0.19400000000000001</v>
      </c>
      <c r="N194" s="26">
        <v>1</v>
      </c>
      <c r="O194" s="26">
        <v>5</v>
      </c>
      <c r="P194" s="26">
        <v>6</v>
      </c>
      <c r="Q194" s="34" t="str">
        <f t="shared" ref="Q194:Q257" si="9">IF(I194=1,"Clear",IF(I194=2,"Cloudy",IF(I194=3,"Light Rain",IF(I194=4,"Heavy Rain"))))</f>
        <v>Clear</v>
      </c>
      <c r="R194" s="41" t="str">
        <f>IF(I194=1,"Normal",IF(I194=2,"Yellow Alert",IF(I194=3,"Orange Alert",IF(I194=4,"Red Alert"))))</f>
        <v>Normal</v>
      </c>
      <c r="S194" s="60">
        <f t="shared" ref="S194:S257" si="10">DAY(B:B)</f>
        <v>9</v>
      </c>
      <c r="T194" s="60">
        <f>MONTH(dataset_1!B:B)</f>
        <v>1</v>
      </c>
      <c r="U194" s="60">
        <f t="shared" ref="U194:U257" si="11">YEAR(B:B)</f>
        <v>2011</v>
      </c>
      <c r="V194" s="59" t="str">
        <f>TEXT(F194/24,"H AM/PM")</f>
        <v>7 AM</v>
      </c>
      <c r="W194" s="59" t="str">
        <f>IF(H194=6,"Saturday",IF(H194=0,"Sunday",IF(H194=1,"Monday",IF(H194=2,"Tuesday",IF(H194=3,"Wednesday",IF(H194=4,"Thursday",IF(H194=5,"Friday")))))))</f>
        <v>Sunday</v>
      </c>
      <c r="X194" s="59" t="str">
        <f>IF(G194=FALSE,"Working day", IF(G194=TRUE,"Holiday"))</f>
        <v>Working day</v>
      </c>
    </row>
    <row r="195" spans="1:24" x14ac:dyDescent="0.25">
      <c r="A195" s="32">
        <v>194</v>
      </c>
      <c r="B195" s="33">
        <v>40552</v>
      </c>
      <c r="C195" s="26">
        <v>1</v>
      </c>
      <c r="D195" s="26">
        <v>0</v>
      </c>
      <c r="E195" s="26">
        <v>1</v>
      </c>
      <c r="F195" s="26">
        <v>8</v>
      </c>
      <c r="G195" s="26" t="b">
        <v>0</v>
      </c>
      <c r="H195" s="26">
        <v>0</v>
      </c>
      <c r="I195" s="26">
        <v>1</v>
      </c>
      <c r="J195" s="26">
        <v>0.1</v>
      </c>
      <c r="K195" s="26">
        <v>7.5800000000000006E-2</v>
      </c>
      <c r="L195" s="26">
        <v>0.49</v>
      </c>
      <c r="M195">
        <v>0.28360000000000002</v>
      </c>
      <c r="N195" s="26">
        <v>0</v>
      </c>
      <c r="O195" s="26">
        <v>10</v>
      </c>
      <c r="P195" s="26">
        <v>10</v>
      </c>
      <c r="Q195" s="34" t="str">
        <f t="shared" si="9"/>
        <v>Clear</v>
      </c>
      <c r="R195" s="41" t="str">
        <f>IF(I195=1,"Normal",IF(I195=2,"Yellow Alert",IF(I195=3,"Orange Alert",IF(I195=4,"Red Alert"))))</f>
        <v>Normal</v>
      </c>
      <c r="S195" s="60">
        <f t="shared" si="10"/>
        <v>9</v>
      </c>
      <c r="T195" s="60">
        <f>MONTH(dataset_1!B:B)</f>
        <v>1</v>
      </c>
      <c r="U195" s="60">
        <f t="shared" si="11"/>
        <v>2011</v>
      </c>
      <c r="V195" s="59" t="str">
        <f>TEXT(F195/24,"H AM/PM")</f>
        <v>8 AM</v>
      </c>
      <c r="W195" s="59" t="str">
        <f>IF(H195=6,"Saturday",IF(H195=0,"Sunday",IF(H195=1,"Monday",IF(H195=2,"Tuesday",IF(H195=3,"Wednesday",IF(H195=4,"Thursday",IF(H195=5,"Friday")))))))</f>
        <v>Sunday</v>
      </c>
      <c r="X195" s="59" t="str">
        <f>IF(G195=FALSE,"Working day", IF(G195=TRUE,"Holiday"))</f>
        <v>Working day</v>
      </c>
    </row>
    <row r="196" spans="1:24" x14ac:dyDescent="0.25">
      <c r="A196" s="32">
        <v>195</v>
      </c>
      <c r="B196" s="33">
        <v>40552</v>
      </c>
      <c r="C196" s="26">
        <v>1</v>
      </c>
      <c r="D196" s="26">
        <v>0</v>
      </c>
      <c r="E196" s="26">
        <v>1</v>
      </c>
      <c r="F196" s="26">
        <v>9</v>
      </c>
      <c r="G196" s="26" t="b">
        <v>0</v>
      </c>
      <c r="H196" s="26">
        <v>0</v>
      </c>
      <c r="I196" s="26">
        <v>1</v>
      </c>
      <c r="J196" s="26">
        <v>0.12</v>
      </c>
      <c r="K196" s="26">
        <v>0.1061</v>
      </c>
      <c r="L196" s="26">
        <v>0.46</v>
      </c>
      <c r="M196">
        <v>0.52239999999999998</v>
      </c>
      <c r="N196" s="26">
        <v>0</v>
      </c>
      <c r="O196" s="26">
        <v>19</v>
      </c>
      <c r="P196" s="26">
        <v>19</v>
      </c>
      <c r="Q196" s="34" t="str">
        <f t="shared" si="9"/>
        <v>Clear</v>
      </c>
      <c r="R196" s="41" t="str">
        <f>IF(I196=1,"Normal",IF(I196=2,"Yellow Alert",IF(I196=3,"Orange Alert",IF(I196=4,"Red Alert"))))</f>
        <v>Normal</v>
      </c>
      <c r="S196" s="60">
        <f t="shared" si="10"/>
        <v>9</v>
      </c>
      <c r="T196" s="60">
        <f>MONTH(dataset_1!B:B)</f>
        <v>1</v>
      </c>
      <c r="U196" s="60">
        <f t="shared" si="11"/>
        <v>2011</v>
      </c>
      <c r="V196" s="59" t="str">
        <f>TEXT(F196/24,"H AM/PM")</f>
        <v>9 AM</v>
      </c>
      <c r="W196" s="59" t="str">
        <f>IF(H196=6,"Saturday",IF(H196=0,"Sunday",IF(H196=1,"Monday",IF(H196=2,"Tuesday",IF(H196=3,"Wednesday",IF(H196=4,"Thursday",IF(H196=5,"Friday")))))))</f>
        <v>Sunday</v>
      </c>
      <c r="X196" s="59" t="str">
        <f>IF(G196=FALSE,"Working day", IF(G196=TRUE,"Holiday"))</f>
        <v>Working day</v>
      </c>
    </row>
    <row r="197" spans="1:24" x14ac:dyDescent="0.25">
      <c r="A197" s="32">
        <v>196</v>
      </c>
      <c r="B197" s="33">
        <v>40552</v>
      </c>
      <c r="C197" s="26">
        <v>1</v>
      </c>
      <c r="D197" s="26">
        <v>0</v>
      </c>
      <c r="E197" s="26">
        <v>1</v>
      </c>
      <c r="F197" s="26">
        <v>10</v>
      </c>
      <c r="G197" s="26" t="b">
        <v>0</v>
      </c>
      <c r="H197" s="26">
        <v>0</v>
      </c>
      <c r="I197" s="26">
        <v>1</v>
      </c>
      <c r="J197" s="26">
        <v>0.14000000000000001</v>
      </c>
      <c r="K197" s="26">
        <v>0.1212</v>
      </c>
      <c r="L197" s="26">
        <v>0.43</v>
      </c>
      <c r="M197">
        <v>0.3881</v>
      </c>
      <c r="N197" s="26">
        <v>0</v>
      </c>
      <c r="O197" s="26">
        <v>49</v>
      </c>
      <c r="P197" s="26">
        <v>49</v>
      </c>
      <c r="Q197" s="34" t="str">
        <f t="shared" si="9"/>
        <v>Clear</v>
      </c>
      <c r="R197" s="41" t="str">
        <f>IF(I197=1,"Normal",IF(I197=2,"Yellow Alert",IF(I197=3,"Orange Alert",IF(I197=4,"Red Alert"))))</f>
        <v>Normal</v>
      </c>
      <c r="S197" s="60">
        <f t="shared" si="10"/>
        <v>9</v>
      </c>
      <c r="T197" s="60">
        <f>MONTH(dataset_1!B:B)</f>
        <v>1</v>
      </c>
      <c r="U197" s="60">
        <f t="shared" si="11"/>
        <v>2011</v>
      </c>
      <c r="V197" s="59" t="str">
        <f>TEXT(F197/24,"H AM/PM")</f>
        <v>10 AM</v>
      </c>
      <c r="W197" s="59" t="str">
        <f>IF(H197=6,"Saturday",IF(H197=0,"Sunday",IF(H197=1,"Monday",IF(H197=2,"Tuesday",IF(H197=3,"Wednesday",IF(H197=4,"Thursday",IF(H197=5,"Friday")))))))</f>
        <v>Sunday</v>
      </c>
      <c r="X197" s="59" t="str">
        <f>IF(G197=FALSE,"Working day", IF(G197=TRUE,"Holiday"))</f>
        <v>Working day</v>
      </c>
    </row>
    <row r="198" spans="1:24" x14ac:dyDescent="0.25">
      <c r="A198" s="32">
        <v>197</v>
      </c>
      <c r="B198" s="33">
        <v>40552</v>
      </c>
      <c r="C198" s="26">
        <v>1</v>
      </c>
      <c r="D198" s="26">
        <v>0</v>
      </c>
      <c r="E198" s="26">
        <v>1</v>
      </c>
      <c r="F198" s="26">
        <v>11</v>
      </c>
      <c r="G198" s="26" t="b">
        <v>0</v>
      </c>
      <c r="H198" s="26">
        <v>0</v>
      </c>
      <c r="I198" s="26">
        <v>1</v>
      </c>
      <c r="J198" s="26">
        <v>0.16</v>
      </c>
      <c r="K198" s="26">
        <v>0.13639999999999999</v>
      </c>
      <c r="L198" s="26">
        <v>0.4</v>
      </c>
      <c r="M198">
        <v>0.52239999999999998</v>
      </c>
      <c r="N198" s="26">
        <v>2</v>
      </c>
      <c r="O198" s="26">
        <v>47</v>
      </c>
      <c r="P198" s="26">
        <v>49</v>
      </c>
      <c r="Q198" s="34" t="str">
        <f t="shared" si="9"/>
        <v>Clear</v>
      </c>
      <c r="R198" s="41" t="str">
        <f>IF(I198=1,"Normal",IF(I198=2,"Yellow Alert",IF(I198=3,"Orange Alert",IF(I198=4,"Red Alert"))))</f>
        <v>Normal</v>
      </c>
      <c r="S198" s="60">
        <f t="shared" si="10"/>
        <v>9</v>
      </c>
      <c r="T198" s="60">
        <f>MONTH(dataset_1!B:B)</f>
        <v>1</v>
      </c>
      <c r="U198" s="60">
        <f t="shared" si="11"/>
        <v>2011</v>
      </c>
      <c r="V198" s="59" t="str">
        <f>TEXT(F198/24,"H AM/PM")</f>
        <v>11 AM</v>
      </c>
      <c r="W198" s="59" t="str">
        <f>IF(H198=6,"Saturday",IF(H198=0,"Sunday",IF(H198=1,"Monday",IF(H198=2,"Tuesday",IF(H198=3,"Wednesday",IF(H198=4,"Thursday",IF(H198=5,"Friday")))))))</f>
        <v>Sunday</v>
      </c>
      <c r="X198" s="59" t="str">
        <f>IF(G198=FALSE,"Working day", IF(G198=TRUE,"Holiday"))</f>
        <v>Working day</v>
      </c>
    </row>
    <row r="199" spans="1:24" x14ac:dyDescent="0.25">
      <c r="A199" s="32">
        <v>198</v>
      </c>
      <c r="B199" s="33">
        <v>40552</v>
      </c>
      <c r="C199" s="26">
        <v>1</v>
      </c>
      <c r="D199" s="26">
        <v>0</v>
      </c>
      <c r="E199" s="26">
        <v>1</v>
      </c>
      <c r="F199" s="26">
        <v>12</v>
      </c>
      <c r="G199" s="26" t="b">
        <v>0</v>
      </c>
      <c r="H199" s="26">
        <v>0</v>
      </c>
      <c r="I199" s="26">
        <v>1</v>
      </c>
      <c r="J199" s="26">
        <v>0.18</v>
      </c>
      <c r="K199" s="26">
        <v>0.16669999999999999</v>
      </c>
      <c r="L199" s="26">
        <v>0.37</v>
      </c>
      <c r="M199">
        <v>0.44779999999999998</v>
      </c>
      <c r="N199" s="26">
        <v>4</v>
      </c>
      <c r="O199" s="26">
        <v>79</v>
      </c>
      <c r="P199" s="26">
        <v>83</v>
      </c>
      <c r="Q199" s="34" t="str">
        <f t="shared" si="9"/>
        <v>Clear</v>
      </c>
      <c r="R199" s="41" t="str">
        <f>IF(I199=1,"Normal",IF(I199=2,"Yellow Alert",IF(I199=3,"Orange Alert",IF(I199=4,"Red Alert"))))</f>
        <v>Normal</v>
      </c>
      <c r="S199" s="60">
        <f t="shared" si="10"/>
        <v>9</v>
      </c>
      <c r="T199" s="60">
        <f>MONTH(dataset_1!B:B)</f>
        <v>1</v>
      </c>
      <c r="U199" s="60">
        <f t="shared" si="11"/>
        <v>2011</v>
      </c>
      <c r="V199" s="59" t="str">
        <f>TEXT(F199/24,"H AM/PM")</f>
        <v>12 PM</v>
      </c>
      <c r="W199" s="59" t="str">
        <f>IF(H199=6,"Saturday",IF(H199=0,"Sunday",IF(H199=1,"Monday",IF(H199=2,"Tuesday",IF(H199=3,"Wednesday",IF(H199=4,"Thursday",IF(H199=5,"Friday")))))))</f>
        <v>Sunday</v>
      </c>
      <c r="X199" s="59" t="str">
        <f>IF(G199=FALSE,"Working day", IF(G199=TRUE,"Holiday"))</f>
        <v>Working day</v>
      </c>
    </row>
    <row r="200" spans="1:24" x14ac:dyDescent="0.25">
      <c r="A200" s="32">
        <v>199</v>
      </c>
      <c r="B200" s="33">
        <v>40552</v>
      </c>
      <c r="C200" s="26">
        <v>1</v>
      </c>
      <c r="D200" s="26">
        <v>0</v>
      </c>
      <c r="E200" s="26">
        <v>1</v>
      </c>
      <c r="F200" s="26">
        <v>13</v>
      </c>
      <c r="G200" s="26" t="b">
        <v>0</v>
      </c>
      <c r="H200" s="26">
        <v>0</v>
      </c>
      <c r="I200" s="26">
        <v>1</v>
      </c>
      <c r="J200" s="26">
        <v>0.2</v>
      </c>
      <c r="K200" s="26">
        <v>0.18179999999999999</v>
      </c>
      <c r="L200" s="26">
        <v>0.34</v>
      </c>
      <c r="M200">
        <v>0.44779999999999998</v>
      </c>
      <c r="N200" s="26">
        <v>6</v>
      </c>
      <c r="O200" s="26">
        <v>69</v>
      </c>
      <c r="P200" s="26">
        <v>75</v>
      </c>
      <c r="Q200" s="34" t="str">
        <f t="shared" si="9"/>
        <v>Clear</v>
      </c>
      <c r="R200" s="41" t="str">
        <f>IF(I200=1,"Normal",IF(I200=2,"Yellow Alert",IF(I200=3,"Orange Alert",IF(I200=4,"Red Alert"))))</f>
        <v>Normal</v>
      </c>
      <c r="S200" s="60">
        <f t="shared" si="10"/>
        <v>9</v>
      </c>
      <c r="T200" s="60">
        <f>MONTH(dataset_1!B:B)</f>
        <v>1</v>
      </c>
      <c r="U200" s="60">
        <f t="shared" si="11"/>
        <v>2011</v>
      </c>
      <c r="V200" s="59" t="str">
        <f>TEXT(F200/24,"H AM/PM")</f>
        <v>1 PM</v>
      </c>
      <c r="W200" s="59" t="str">
        <f>IF(H200=6,"Saturday",IF(H200=0,"Sunday",IF(H200=1,"Monday",IF(H200=2,"Tuesday",IF(H200=3,"Wednesday",IF(H200=4,"Thursday",IF(H200=5,"Friday")))))))</f>
        <v>Sunday</v>
      </c>
      <c r="X200" s="59" t="str">
        <f>IF(G200=FALSE,"Working day", IF(G200=TRUE,"Holiday"))</f>
        <v>Working day</v>
      </c>
    </row>
    <row r="201" spans="1:24" x14ac:dyDescent="0.25">
      <c r="A201" s="32">
        <v>200</v>
      </c>
      <c r="B201" s="33">
        <v>40552</v>
      </c>
      <c r="C201" s="26">
        <v>1</v>
      </c>
      <c r="D201" s="26">
        <v>0</v>
      </c>
      <c r="E201" s="26">
        <v>1</v>
      </c>
      <c r="F201" s="26">
        <v>14</v>
      </c>
      <c r="G201" s="26" t="b">
        <v>0</v>
      </c>
      <c r="H201" s="26">
        <v>0</v>
      </c>
      <c r="I201" s="26">
        <v>1</v>
      </c>
      <c r="J201" s="26">
        <v>0.22</v>
      </c>
      <c r="K201" s="26">
        <v>0.19700000000000001</v>
      </c>
      <c r="L201" s="26">
        <v>0.32</v>
      </c>
      <c r="M201">
        <v>0.4627</v>
      </c>
      <c r="N201" s="26">
        <v>8</v>
      </c>
      <c r="O201" s="26">
        <v>64</v>
      </c>
      <c r="P201" s="26">
        <v>72</v>
      </c>
      <c r="Q201" s="34" t="str">
        <f t="shared" si="9"/>
        <v>Clear</v>
      </c>
      <c r="R201" s="41" t="str">
        <f>IF(I201=1,"Normal",IF(I201=2,"Yellow Alert",IF(I201=3,"Orange Alert",IF(I201=4,"Red Alert"))))</f>
        <v>Normal</v>
      </c>
      <c r="S201" s="60">
        <f t="shared" si="10"/>
        <v>9</v>
      </c>
      <c r="T201" s="60">
        <f>MONTH(dataset_1!B:B)</f>
        <v>1</v>
      </c>
      <c r="U201" s="60">
        <f t="shared" si="11"/>
        <v>2011</v>
      </c>
      <c r="V201" s="59" t="str">
        <f>TEXT(F201/24,"H AM/PM")</f>
        <v>2 PM</v>
      </c>
      <c r="W201" s="59" t="str">
        <f>IF(H201=6,"Saturday",IF(H201=0,"Sunday",IF(H201=1,"Monday",IF(H201=2,"Tuesday",IF(H201=3,"Wednesday",IF(H201=4,"Thursday",IF(H201=5,"Friday")))))))</f>
        <v>Sunday</v>
      </c>
      <c r="X201" s="59" t="str">
        <f>IF(G201=FALSE,"Working day", IF(G201=TRUE,"Holiday"))</f>
        <v>Working day</v>
      </c>
    </row>
    <row r="202" spans="1:24" x14ac:dyDescent="0.25">
      <c r="A202" s="32">
        <v>201</v>
      </c>
      <c r="B202" s="33">
        <v>40552</v>
      </c>
      <c r="C202" s="26">
        <v>1</v>
      </c>
      <c r="D202" s="26">
        <v>0</v>
      </c>
      <c r="E202" s="26">
        <v>1</v>
      </c>
      <c r="F202" s="26">
        <v>15</v>
      </c>
      <c r="G202" s="26" t="b">
        <v>0</v>
      </c>
      <c r="H202" s="26">
        <v>0</v>
      </c>
      <c r="I202" s="26">
        <v>1</v>
      </c>
      <c r="J202" s="26">
        <v>0.22</v>
      </c>
      <c r="K202" s="26">
        <v>0.16669999999999999</v>
      </c>
      <c r="L202" s="26">
        <v>0.35</v>
      </c>
      <c r="M202">
        <v>0.35820000000000002</v>
      </c>
      <c r="N202" s="26">
        <v>5</v>
      </c>
      <c r="O202" s="26">
        <v>77</v>
      </c>
      <c r="P202" s="26">
        <v>82</v>
      </c>
      <c r="Q202" s="34" t="str">
        <f t="shared" si="9"/>
        <v>Clear</v>
      </c>
      <c r="R202" s="41" t="str">
        <f>IF(I202=1,"Normal",IF(I202=2,"Yellow Alert",IF(I202=3,"Orange Alert",IF(I202=4,"Red Alert"))))</f>
        <v>Normal</v>
      </c>
      <c r="S202" s="60">
        <f t="shared" si="10"/>
        <v>9</v>
      </c>
      <c r="T202" s="60">
        <f>MONTH(dataset_1!B:B)</f>
        <v>1</v>
      </c>
      <c r="U202" s="60">
        <f t="shared" si="11"/>
        <v>2011</v>
      </c>
      <c r="V202" s="59" t="str">
        <f>TEXT(F202/24,"H AM/PM")</f>
        <v>3 PM</v>
      </c>
      <c r="W202" s="59" t="str">
        <f>IF(H202=6,"Saturday",IF(H202=0,"Sunday",IF(H202=1,"Monday",IF(H202=2,"Tuesday",IF(H202=3,"Wednesday",IF(H202=4,"Thursday",IF(H202=5,"Friday")))))))</f>
        <v>Sunday</v>
      </c>
      <c r="X202" s="59" t="str">
        <f>IF(G202=FALSE,"Working day", IF(G202=TRUE,"Holiday"))</f>
        <v>Working day</v>
      </c>
    </row>
    <row r="203" spans="1:24" x14ac:dyDescent="0.25">
      <c r="A203" s="32">
        <v>202</v>
      </c>
      <c r="B203" s="33">
        <v>40552</v>
      </c>
      <c r="C203" s="26">
        <v>1</v>
      </c>
      <c r="D203" s="26">
        <v>0</v>
      </c>
      <c r="E203" s="26">
        <v>1</v>
      </c>
      <c r="F203" s="26">
        <v>16</v>
      </c>
      <c r="G203" s="26" t="b">
        <v>0</v>
      </c>
      <c r="H203" s="26">
        <v>0</v>
      </c>
      <c r="I203" s="26">
        <v>1</v>
      </c>
      <c r="J203" s="26">
        <v>0.2</v>
      </c>
      <c r="K203" s="26">
        <v>0.1515</v>
      </c>
      <c r="L203" s="26">
        <v>0.34</v>
      </c>
      <c r="M203">
        <v>0.44779999999999998</v>
      </c>
      <c r="N203" s="26">
        <v>13</v>
      </c>
      <c r="O203" s="26">
        <v>79</v>
      </c>
      <c r="P203" s="26">
        <v>92</v>
      </c>
      <c r="Q203" s="34" t="str">
        <f t="shared" si="9"/>
        <v>Clear</v>
      </c>
      <c r="R203" s="41" t="str">
        <f>IF(I203=1,"Normal",IF(I203=2,"Yellow Alert",IF(I203=3,"Orange Alert",IF(I203=4,"Red Alert"))))</f>
        <v>Normal</v>
      </c>
      <c r="S203" s="60">
        <f t="shared" si="10"/>
        <v>9</v>
      </c>
      <c r="T203" s="60">
        <f>MONTH(dataset_1!B:B)</f>
        <v>1</v>
      </c>
      <c r="U203" s="60">
        <f t="shared" si="11"/>
        <v>2011</v>
      </c>
      <c r="V203" s="59" t="str">
        <f>TEXT(F203/24,"H AM/PM")</f>
        <v>4 PM</v>
      </c>
      <c r="W203" s="59" t="str">
        <f>IF(H203=6,"Saturday",IF(H203=0,"Sunday",IF(H203=1,"Monday",IF(H203=2,"Tuesday",IF(H203=3,"Wednesday",IF(H203=4,"Thursday",IF(H203=5,"Friday")))))))</f>
        <v>Sunday</v>
      </c>
      <c r="X203" s="59" t="str">
        <f>IF(G203=FALSE,"Working day", IF(G203=TRUE,"Holiday"))</f>
        <v>Working day</v>
      </c>
    </row>
    <row r="204" spans="1:24" x14ac:dyDescent="0.25">
      <c r="A204" s="32">
        <v>203</v>
      </c>
      <c r="B204" s="33">
        <v>40552</v>
      </c>
      <c r="C204" s="26">
        <v>1</v>
      </c>
      <c r="D204" s="26">
        <v>0</v>
      </c>
      <c r="E204" s="26">
        <v>1</v>
      </c>
      <c r="F204" s="26">
        <v>17</v>
      </c>
      <c r="G204" s="26" t="b">
        <v>0</v>
      </c>
      <c r="H204" s="26">
        <v>0</v>
      </c>
      <c r="I204" s="26">
        <v>1</v>
      </c>
      <c r="J204" s="26">
        <v>0.18</v>
      </c>
      <c r="K204" s="26">
        <v>0.13639999999999999</v>
      </c>
      <c r="L204" s="26">
        <v>0.37</v>
      </c>
      <c r="M204">
        <v>0.3881</v>
      </c>
      <c r="N204" s="26">
        <v>3</v>
      </c>
      <c r="O204" s="26">
        <v>59</v>
      </c>
      <c r="P204" s="26">
        <v>62</v>
      </c>
      <c r="Q204" s="34" t="str">
        <f t="shared" si="9"/>
        <v>Clear</v>
      </c>
      <c r="R204" s="41" t="str">
        <f>IF(I204=1,"Normal",IF(I204=2,"Yellow Alert",IF(I204=3,"Orange Alert",IF(I204=4,"Red Alert"))))</f>
        <v>Normal</v>
      </c>
      <c r="S204" s="60">
        <f t="shared" si="10"/>
        <v>9</v>
      </c>
      <c r="T204" s="60">
        <f>MONTH(dataset_1!B:B)</f>
        <v>1</v>
      </c>
      <c r="U204" s="60">
        <f t="shared" si="11"/>
        <v>2011</v>
      </c>
      <c r="V204" s="59" t="str">
        <f>TEXT(F204/24,"H AM/PM")</f>
        <v>5 PM</v>
      </c>
      <c r="W204" s="59" t="str">
        <f>IF(H204=6,"Saturday",IF(H204=0,"Sunday",IF(H204=1,"Monday",IF(H204=2,"Tuesday",IF(H204=3,"Wednesday",IF(H204=4,"Thursday",IF(H204=5,"Friday")))))))</f>
        <v>Sunday</v>
      </c>
      <c r="X204" s="59" t="str">
        <f>IF(G204=FALSE,"Working day", IF(G204=TRUE,"Holiday"))</f>
        <v>Working day</v>
      </c>
    </row>
    <row r="205" spans="1:24" x14ac:dyDescent="0.25">
      <c r="A205" s="32">
        <v>204</v>
      </c>
      <c r="B205" s="33">
        <v>40552</v>
      </c>
      <c r="C205" s="26">
        <v>1</v>
      </c>
      <c r="D205" s="26">
        <v>0</v>
      </c>
      <c r="E205" s="26">
        <v>1</v>
      </c>
      <c r="F205" s="26">
        <v>18</v>
      </c>
      <c r="G205" s="26" t="b">
        <v>0</v>
      </c>
      <c r="H205" s="26">
        <v>0</v>
      </c>
      <c r="I205" s="26">
        <v>1</v>
      </c>
      <c r="J205" s="26">
        <v>0.16</v>
      </c>
      <c r="K205" s="26">
        <v>0.13639999999999999</v>
      </c>
      <c r="L205" s="26">
        <v>0.4</v>
      </c>
      <c r="M205">
        <v>0.32840000000000003</v>
      </c>
      <c r="N205" s="26">
        <v>4</v>
      </c>
      <c r="O205" s="26">
        <v>44</v>
      </c>
      <c r="P205" s="26">
        <v>48</v>
      </c>
      <c r="Q205" s="34" t="str">
        <f t="shared" si="9"/>
        <v>Clear</v>
      </c>
      <c r="R205" s="41" t="str">
        <f>IF(I205=1,"Normal",IF(I205=2,"Yellow Alert",IF(I205=3,"Orange Alert",IF(I205=4,"Red Alert"))))</f>
        <v>Normal</v>
      </c>
      <c r="S205" s="60">
        <f t="shared" si="10"/>
        <v>9</v>
      </c>
      <c r="T205" s="60">
        <f>MONTH(dataset_1!B:B)</f>
        <v>1</v>
      </c>
      <c r="U205" s="60">
        <f t="shared" si="11"/>
        <v>2011</v>
      </c>
      <c r="V205" s="59" t="str">
        <f>TEXT(F205/24,"H AM/PM")</f>
        <v>6 PM</v>
      </c>
      <c r="W205" s="59" t="str">
        <f>IF(H205=6,"Saturday",IF(H205=0,"Sunday",IF(H205=1,"Monday",IF(H205=2,"Tuesday",IF(H205=3,"Wednesday",IF(H205=4,"Thursday",IF(H205=5,"Friday")))))))</f>
        <v>Sunday</v>
      </c>
      <c r="X205" s="59" t="str">
        <f>IF(G205=FALSE,"Working day", IF(G205=TRUE,"Holiday"))</f>
        <v>Working day</v>
      </c>
    </row>
    <row r="206" spans="1:24" x14ac:dyDescent="0.25">
      <c r="A206" s="32">
        <v>205</v>
      </c>
      <c r="B206" s="33">
        <v>40552</v>
      </c>
      <c r="C206" s="26">
        <v>1</v>
      </c>
      <c r="D206" s="26">
        <v>0</v>
      </c>
      <c r="E206" s="26">
        <v>1</v>
      </c>
      <c r="F206" s="26">
        <v>19</v>
      </c>
      <c r="G206" s="26" t="b">
        <v>0</v>
      </c>
      <c r="H206" s="26">
        <v>0</v>
      </c>
      <c r="I206" s="26">
        <v>1</v>
      </c>
      <c r="J206" s="26">
        <v>0.16</v>
      </c>
      <c r="K206" s="26">
        <v>0.1212</v>
      </c>
      <c r="L206" s="26">
        <v>0.43</v>
      </c>
      <c r="M206">
        <v>0.32840000000000003</v>
      </c>
      <c r="N206" s="26">
        <v>1</v>
      </c>
      <c r="O206" s="26">
        <v>40</v>
      </c>
      <c r="P206" s="26">
        <v>41</v>
      </c>
      <c r="Q206" s="34" t="str">
        <f t="shared" si="9"/>
        <v>Clear</v>
      </c>
      <c r="R206" s="41" t="str">
        <f>IF(I206=1,"Normal",IF(I206=2,"Yellow Alert",IF(I206=3,"Orange Alert",IF(I206=4,"Red Alert"))))</f>
        <v>Normal</v>
      </c>
      <c r="S206" s="60">
        <f t="shared" si="10"/>
        <v>9</v>
      </c>
      <c r="T206" s="60">
        <f>MONTH(dataset_1!B:B)</f>
        <v>1</v>
      </c>
      <c r="U206" s="60">
        <f t="shared" si="11"/>
        <v>2011</v>
      </c>
      <c r="V206" s="59" t="str">
        <f>TEXT(F206/24,"H AM/PM")</f>
        <v>7 PM</v>
      </c>
      <c r="W206" s="59" t="str">
        <f>IF(H206=6,"Saturday",IF(H206=0,"Sunday",IF(H206=1,"Monday",IF(H206=2,"Tuesday",IF(H206=3,"Wednesday",IF(H206=4,"Thursday",IF(H206=5,"Friday")))))))</f>
        <v>Sunday</v>
      </c>
      <c r="X206" s="59" t="str">
        <f>IF(G206=FALSE,"Working day", IF(G206=TRUE,"Holiday"))</f>
        <v>Working day</v>
      </c>
    </row>
    <row r="207" spans="1:24" x14ac:dyDescent="0.25">
      <c r="A207" s="32">
        <v>206</v>
      </c>
      <c r="B207" s="33">
        <v>40552</v>
      </c>
      <c r="C207" s="26">
        <v>1</v>
      </c>
      <c r="D207" s="26">
        <v>0</v>
      </c>
      <c r="E207" s="26">
        <v>1</v>
      </c>
      <c r="F207" s="26">
        <v>20</v>
      </c>
      <c r="G207" s="26" t="b">
        <v>0</v>
      </c>
      <c r="H207" s="26">
        <v>0</v>
      </c>
      <c r="I207" s="26">
        <v>1</v>
      </c>
      <c r="J207" s="26">
        <v>0.14000000000000001</v>
      </c>
      <c r="K207" s="26">
        <v>0.1061</v>
      </c>
      <c r="L207" s="26">
        <v>0.46</v>
      </c>
      <c r="M207">
        <v>0.25369999999999998</v>
      </c>
      <c r="N207" s="26">
        <v>0</v>
      </c>
      <c r="O207" s="26">
        <v>38</v>
      </c>
      <c r="P207" s="26">
        <v>38</v>
      </c>
      <c r="Q207" s="34" t="str">
        <f t="shared" si="9"/>
        <v>Clear</v>
      </c>
      <c r="R207" s="41" t="str">
        <f>IF(I207=1,"Normal",IF(I207=2,"Yellow Alert",IF(I207=3,"Orange Alert",IF(I207=4,"Red Alert"))))</f>
        <v>Normal</v>
      </c>
      <c r="S207" s="60">
        <f t="shared" si="10"/>
        <v>9</v>
      </c>
      <c r="T207" s="60">
        <f>MONTH(dataset_1!B:B)</f>
        <v>1</v>
      </c>
      <c r="U207" s="60">
        <f t="shared" si="11"/>
        <v>2011</v>
      </c>
      <c r="V207" s="59" t="str">
        <f>TEXT(F207/24,"H AM/PM")</f>
        <v>8 PM</v>
      </c>
      <c r="W207" s="59" t="str">
        <f>IF(H207=6,"Saturday",IF(H207=0,"Sunday",IF(H207=1,"Monday",IF(H207=2,"Tuesday",IF(H207=3,"Wednesday",IF(H207=4,"Thursday",IF(H207=5,"Friday")))))))</f>
        <v>Sunday</v>
      </c>
      <c r="X207" s="59" t="str">
        <f>IF(G207=FALSE,"Working day", IF(G207=TRUE,"Holiday"))</f>
        <v>Working day</v>
      </c>
    </row>
    <row r="208" spans="1:24" x14ac:dyDescent="0.25">
      <c r="A208" s="32">
        <v>207</v>
      </c>
      <c r="B208" s="33">
        <v>40552</v>
      </c>
      <c r="C208" s="26">
        <v>1</v>
      </c>
      <c r="D208" s="26">
        <v>0</v>
      </c>
      <c r="E208" s="26">
        <v>1</v>
      </c>
      <c r="F208" s="26">
        <v>21</v>
      </c>
      <c r="G208" s="26" t="b">
        <v>0</v>
      </c>
      <c r="H208" s="26">
        <v>0</v>
      </c>
      <c r="I208" s="26">
        <v>1</v>
      </c>
      <c r="J208" s="26">
        <v>0.14000000000000001</v>
      </c>
      <c r="K208" s="26">
        <v>0.1212</v>
      </c>
      <c r="L208" s="26">
        <v>0.46</v>
      </c>
      <c r="M208">
        <v>0.41789999999999999</v>
      </c>
      <c r="N208" s="26">
        <v>1</v>
      </c>
      <c r="O208" s="26">
        <v>19</v>
      </c>
      <c r="P208" s="26">
        <v>20</v>
      </c>
      <c r="Q208" s="34" t="str">
        <f t="shared" si="9"/>
        <v>Clear</v>
      </c>
      <c r="R208" s="41" t="str">
        <f>IF(I208=1,"Normal",IF(I208=2,"Yellow Alert",IF(I208=3,"Orange Alert",IF(I208=4,"Red Alert"))))</f>
        <v>Normal</v>
      </c>
      <c r="S208" s="60">
        <f t="shared" si="10"/>
        <v>9</v>
      </c>
      <c r="T208" s="60">
        <f>MONTH(dataset_1!B:B)</f>
        <v>1</v>
      </c>
      <c r="U208" s="60">
        <f t="shared" si="11"/>
        <v>2011</v>
      </c>
      <c r="V208" s="59" t="str">
        <f>TEXT(F208/24,"H AM/PM")</f>
        <v>9 PM</v>
      </c>
      <c r="W208" s="59" t="str">
        <f>IF(H208=6,"Saturday",IF(H208=0,"Sunday",IF(H208=1,"Monday",IF(H208=2,"Tuesday",IF(H208=3,"Wednesday",IF(H208=4,"Thursday",IF(H208=5,"Friday")))))))</f>
        <v>Sunday</v>
      </c>
      <c r="X208" s="59" t="str">
        <f>IF(G208=FALSE,"Working day", IF(G208=TRUE,"Holiday"))</f>
        <v>Working day</v>
      </c>
    </row>
    <row r="209" spans="1:24" x14ac:dyDescent="0.25">
      <c r="A209" s="32">
        <v>208</v>
      </c>
      <c r="B209" s="33">
        <v>40552</v>
      </c>
      <c r="C209" s="26">
        <v>1</v>
      </c>
      <c r="D209" s="26">
        <v>0</v>
      </c>
      <c r="E209" s="26">
        <v>1</v>
      </c>
      <c r="F209" s="26">
        <v>22</v>
      </c>
      <c r="G209" s="26" t="b">
        <v>0</v>
      </c>
      <c r="H209" s="26">
        <v>0</v>
      </c>
      <c r="I209" s="26">
        <v>1</v>
      </c>
      <c r="J209" s="26">
        <v>0.14000000000000001</v>
      </c>
      <c r="K209" s="26">
        <v>0.13639999999999999</v>
      </c>
      <c r="L209" s="26">
        <v>0.46</v>
      </c>
      <c r="M209">
        <v>0.29849999999999999</v>
      </c>
      <c r="N209" s="26">
        <v>5</v>
      </c>
      <c r="O209" s="26">
        <v>10</v>
      </c>
      <c r="P209" s="26">
        <v>15</v>
      </c>
      <c r="Q209" s="34" t="str">
        <f t="shared" si="9"/>
        <v>Clear</v>
      </c>
      <c r="R209" s="41" t="str">
        <f>IF(I209=1,"Normal",IF(I209=2,"Yellow Alert",IF(I209=3,"Orange Alert",IF(I209=4,"Red Alert"))))</f>
        <v>Normal</v>
      </c>
      <c r="S209" s="60">
        <f t="shared" si="10"/>
        <v>9</v>
      </c>
      <c r="T209" s="60">
        <f>MONTH(dataset_1!B:B)</f>
        <v>1</v>
      </c>
      <c r="U209" s="60">
        <f t="shared" si="11"/>
        <v>2011</v>
      </c>
      <c r="V209" s="59" t="str">
        <f>TEXT(F209/24,"H AM/PM")</f>
        <v>10 PM</v>
      </c>
      <c r="W209" s="59" t="str">
        <f>IF(H209=6,"Saturday",IF(H209=0,"Sunday",IF(H209=1,"Monday",IF(H209=2,"Tuesday",IF(H209=3,"Wednesday",IF(H209=4,"Thursday",IF(H209=5,"Friday")))))))</f>
        <v>Sunday</v>
      </c>
      <c r="X209" s="59" t="str">
        <f>IF(G209=FALSE,"Working day", IF(G209=TRUE,"Holiday"))</f>
        <v>Working day</v>
      </c>
    </row>
    <row r="210" spans="1:24" x14ac:dyDescent="0.25">
      <c r="A210" s="32">
        <v>209</v>
      </c>
      <c r="B210" s="33">
        <v>40552</v>
      </c>
      <c r="C210" s="26">
        <v>1</v>
      </c>
      <c r="D210" s="26">
        <v>0</v>
      </c>
      <c r="E210" s="26">
        <v>1</v>
      </c>
      <c r="F210" s="26">
        <v>23</v>
      </c>
      <c r="G210" s="26" t="b">
        <v>0</v>
      </c>
      <c r="H210" s="26">
        <v>0</v>
      </c>
      <c r="I210" s="26">
        <v>1</v>
      </c>
      <c r="J210" s="26">
        <v>0.12</v>
      </c>
      <c r="K210" s="26">
        <v>0.1212</v>
      </c>
      <c r="L210" s="26">
        <v>0.5</v>
      </c>
      <c r="M210">
        <v>0.19400000000000001</v>
      </c>
      <c r="N210" s="26">
        <v>0</v>
      </c>
      <c r="O210" s="26">
        <v>6</v>
      </c>
      <c r="P210" s="26">
        <v>6</v>
      </c>
      <c r="Q210" s="34" t="str">
        <f t="shared" si="9"/>
        <v>Clear</v>
      </c>
      <c r="R210" s="41" t="str">
        <f>IF(I210=1,"Normal",IF(I210=2,"Yellow Alert",IF(I210=3,"Orange Alert",IF(I210=4,"Red Alert"))))</f>
        <v>Normal</v>
      </c>
      <c r="S210" s="60">
        <f t="shared" si="10"/>
        <v>9</v>
      </c>
      <c r="T210" s="60">
        <f>MONTH(dataset_1!B:B)</f>
        <v>1</v>
      </c>
      <c r="U210" s="60">
        <f t="shared" si="11"/>
        <v>2011</v>
      </c>
      <c r="V210" s="59" t="str">
        <f>TEXT(F210/24,"H AM/PM")</f>
        <v>11 PM</v>
      </c>
      <c r="W210" s="59" t="str">
        <f>IF(H210=6,"Saturday",IF(H210=0,"Sunday",IF(H210=1,"Monday",IF(H210=2,"Tuesday",IF(H210=3,"Wednesday",IF(H210=4,"Thursday",IF(H210=5,"Friday")))))))</f>
        <v>Sunday</v>
      </c>
      <c r="X210" s="59" t="str">
        <f>IF(G210=FALSE,"Working day", IF(G210=TRUE,"Holiday"))</f>
        <v>Working day</v>
      </c>
    </row>
    <row r="211" spans="1:24" x14ac:dyDescent="0.25">
      <c r="A211" s="32">
        <v>210</v>
      </c>
      <c r="B211" s="33">
        <v>40553</v>
      </c>
      <c r="C211" s="26">
        <v>1</v>
      </c>
      <c r="D211" s="26">
        <v>0</v>
      </c>
      <c r="E211" s="26">
        <v>1</v>
      </c>
      <c r="F211" s="26">
        <v>0</v>
      </c>
      <c r="G211" s="26" t="b">
        <v>0</v>
      </c>
      <c r="H211" s="26">
        <v>1</v>
      </c>
      <c r="I211" s="26">
        <v>1</v>
      </c>
      <c r="J211" s="26">
        <v>0.12</v>
      </c>
      <c r="K211" s="26">
        <v>0.1212</v>
      </c>
      <c r="L211" s="26">
        <v>0.5</v>
      </c>
      <c r="M211">
        <v>0.28360000000000002</v>
      </c>
      <c r="N211" s="26">
        <v>2</v>
      </c>
      <c r="O211" s="26">
        <v>3</v>
      </c>
      <c r="P211" s="26">
        <v>5</v>
      </c>
      <c r="Q211" s="34" t="str">
        <f t="shared" si="9"/>
        <v>Clear</v>
      </c>
      <c r="R211" s="41" t="str">
        <f>IF(I211=1,"Normal",IF(I211=2,"Yellow Alert",IF(I211=3,"Orange Alert",IF(I211=4,"Red Alert"))))</f>
        <v>Normal</v>
      </c>
      <c r="S211" s="60">
        <f t="shared" si="10"/>
        <v>10</v>
      </c>
      <c r="T211" s="60">
        <f>MONTH(dataset_1!B:B)</f>
        <v>1</v>
      </c>
      <c r="U211" s="60">
        <f t="shared" si="11"/>
        <v>2011</v>
      </c>
      <c r="V211" s="59" t="str">
        <f>TEXT(F211/24,"H AM/PM")</f>
        <v>12 AM</v>
      </c>
      <c r="W211" s="59" t="str">
        <f>IF(H211=6,"Saturday",IF(H211=0,"Sunday",IF(H211=1,"Monday",IF(H211=2,"Tuesday",IF(H211=3,"Wednesday",IF(H211=4,"Thursday",IF(H211=5,"Friday")))))))</f>
        <v>Monday</v>
      </c>
      <c r="X211" s="59" t="str">
        <f>IF(G211=FALSE,"Working day", IF(G211=TRUE,"Holiday"))</f>
        <v>Working day</v>
      </c>
    </row>
    <row r="212" spans="1:24" x14ac:dyDescent="0.25">
      <c r="A212" s="32">
        <v>211</v>
      </c>
      <c r="B212" s="33">
        <v>40553</v>
      </c>
      <c r="C212" s="26">
        <v>1</v>
      </c>
      <c r="D212" s="26">
        <v>0</v>
      </c>
      <c r="E212" s="26">
        <v>1</v>
      </c>
      <c r="F212" s="26">
        <v>1</v>
      </c>
      <c r="G212" s="26" t="b">
        <v>0</v>
      </c>
      <c r="H212" s="26">
        <v>1</v>
      </c>
      <c r="I212" s="26">
        <v>1</v>
      </c>
      <c r="J212" s="26">
        <v>0.12</v>
      </c>
      <c r="K212" s="26">
        <v>0.1212</v>
      </c>
      <c r="L212" s="26">
        <v>0.5</v>
      </c>
      <c r="M212">
        <v>0.28360000000000002</v>
      </c>
      <c r="N212" s="26">
        <v>1</v>
      </c>
      <c r="O212" s="26">
        <v>0</v>
      </c>
      <c r="P212" s="26">
        <v>1</v>
      </c>
      <c r="Q212" s="34" t="str">
        <f t="shared" si="9"/>
        <v>Clear</v>
      </c>
      <c r="R212" s="41" t="str">
        <f>IF(I212=1,"Normal",IF(I212=2,"Yellow Alert",IF(I212=3,"Orange Alert",IF(I212=4,"Red Alert"))))</f>
        <v>Normal</v>
      </c>
      <c r="S212" s="60">
        <f t="shared" si="10"/>
        <v>10</v>
      </c>
      <c r="T212" s="60">
        <f>MONTH(dataset_1!B:B)</f>
        <v>1</v>
      </c>
      <c r="U212" s="60">
        <f t="shared" si="11"/>
        <v>2011</v>
      </c>
      <c r="V212" s="59" t="str">
        <f>TEXT(F212/24,"H AM/PM")</f>
        <v>1 AM</v>
      </c>
      <c r="W212" s="59" t="str">
        <f>IF(H212=6,"Saturday",IF(H212=0,"Sunday",IF(H212=1,"Monday",IF(H212=2,"Tuesday",IF(H212=3,"Wednesday",IF(H212=4,"Thursday",IF(H212=5,"Friday")))))))</f>
        <v>Monday</v>
      </c>
      <c r="X212" s="59" t="str">
        <f>IF(G212=FALSE,"Working day", IF(G212=TRUE,"Holiday"))</f>
        <v>Working day</v>
      </c>
    </row>
    <row r="213" spans="1:24" x14ac:dyDescent="0.25">
      <c r="A213" s="32">
        <v>212</v>
      </c>
      <c r="B213" s="33">
        <v>40553</v>
      </c>
      <c r="C213" s="26">
        <v>1</v>
      </c>
      <c r="D213" s="26">
        <v>0</v>
      </c>
      <c r="E213" s="26">
        <v>1</v>
      </c>
      <c r="F213" s="26">
        <v>2</v>
      </c>
      <c r="G213" s="26" t="b">
        <v>0</v>
      </c>
      <c r="H213" s="26">
        <v>1</v>
      </c>
      <c r="I213" s="26">
        <v>1</v>
      </c>
      <c r="J213" s="26">
        <v>0.12</v>
      </c>
      <c r="K213" s="26">
        <v>0.1212</v>
      </c>
      <c r="L213" s="26">
        <v>0.5</v>
      </c>
      <c r="M213">
        <v>0.22389999999999999</v>
      </c>
      <c r="N213" s="26">
        <v>0</v>
      </c>
      <c r="O213" s="26">
        <v>3</v>
      </c>
      <c r="P213" s="26">
        <v>3</v>
      </c>
      <c r="Q213" s="34" t="str">
        <f t="shared" si="9"/>
        <v>Clear</v>
      </c>
      <c r="R213" s="41" t="str">
        <f>IF(I213=1,"Normal",IF(I213=2,"Yellow Alert",IF(I213=3,"Orange Alert",IF(I213=4,"Red Alert"))))</f>
        <v>Normal</v>
      </c>
      <c r="S213" s="60">
        <f t="shared" si="10"/>
        <v>10</v>
      </c>
      <c r="T213" s="60">
        <f>MONTH(dataset_1!B:B)</f>
        <v>1</v>
      </c>
      <c r="U213" s="60">
        <f t="shared" si="11"/>
        <v>2011</v>
      </c>
      <c r="V213" s="59" t="str">
        <f>TEXT(F213/24,"H AM/PM")</f>
        <v>2 AM</v>
      </c>
      <c r="W213" s="59" t="str">
        <f>IF(H213=6,"Saturday",IF(H213=0,"Sunday",IF(H213=1,"Monday",IF(H213=2,"Tuesday",IF(H213=3,"Wednesday",IF(H213=4,"Thursday",IF(H213=5,"Friday")))))))</f>
        <v>Monday</v>
      </c>
      <c r="X213" s="59" t="str">
        <f>IF(G213=FALSE,"Working day", IF(G213=TRUE,"Holiday"))</f>
        <v>Working day</v>
      </c>
    </row>
    <row r="214" spans="1:24" x14ac:dyDescent="0.25">
      <c r="A214" s="32">
        <v>213</v>
      </c>
      <c r="B214" s="33">
        <v>40553</v>
      </c>
      <c r="C214" s="26">
        <v>1</v>
      </c>
      <c r="D214" s="26">
        <v>0</v>
      </c>
      <c r="E214" s="26">
        <v>1</v>
      </c>
      <c r="F214" s="26">
        <v>3</v>
      </c>
      <c r="G214" s="26" t="b">
        <v>0</v>
      </c>
      <c r="H214" s="26">
        <v>1</v>
      </c>
      <c r="I214" s="26">
        <v>1</v>
      </c>
      <c r="J214" s="26">
        <v>0.12</v>
      </c>
      <c r="K214" s="26">
        <v>0.1212</v>
      </c>
      <c r="L214" s="26">
        <v>0.5</v>
      </c>
      <c r="M214">
        <v>0.22389999999999999</v>
      </c>
      <c r="N214" s="26">
        <v>0</v>
      </c>
      <c r="O214" s="26">
        <v>1</v>
      </c>
      <c r="P214" s="26">
        <v>1</v>
      </c>
      <c r="Q214" s="34" t="str">
        <f t="shared" si="9"/>
        <v>Clear</v>
      </c>
      <c r="R214" s="41" t="str">
        <f>IF(I214=1,"Normal",IF(I214=2,"Yellow Alert",IF(I214=3,"Orange Alert",IF(I214=4,"Red Alert"))))</f>
        <v>Normal</v>
      </c>
      <c r="S214" s="60">
        <f t="shared" si="10"/>
        <v>10</v>
      </c>
      <c r="T214" s="60">
        <f>MONTH(dataset_1!B:B)</f>
        <v>1</v>
      </c>
      <c r="U214" s="60">
        <f t="shared" si="11"/>
        <v>2011</v>
      </c>
      <c r="V214" s="59" t="str">
        <f>TEXT(F214/24,"H AM/PM")</f>
        <v>3 AM</v>
      </c>
      <c r="W214" s="59" t="str">
        <f>IF(H214=6,"Saturday",IF(H214=0,"Sunday",IF(H214=1,"Monday",IF(H214=2,"Tuesday",IF(H214=3,"Wednesday",IF(H214=4,"Thursday",IF(H214=5,"Friday")))))))</f>
        <v>Monday</v>
      </c>
      <c r="X214" s="59" t="str">
        <f>IF(G214=FALSE,"Working day", IF(G214=TRUE,"Holiday"))</f>
        <v>Working day</v>
      </c>
    </row>
    <row r="215" spans="1:24" x14ac:dyDescent="0.25">
      <c r="A215" s="32">
        <v>214</v>
      </c>
      <c r="B215" s="33">
        <v>40553</v>
      </c>
      <c r="C215" s="26">
        <v>1</v>
      </c>
      <c r="D215" s="26">
        <v>0</v>
      </c>
      <c r="E215" s="26">
        <v>1</v>
      </c>
      <c r="F215" s="26">
        <v>4</v>
      </c>
      <c r="G215" s="26" t="b">
        <v>0</v>
      </c>
      <c r="H215" s="26">
        <v>1</v>
      </c>
      <c r="I215" s="26">
        <v>1</v>
      </c>
      <c r="J215" s="26">
        <v>0.1</v>
      </c>
      <c r="K215" s="26">
        <v>0.1061</v>
      </c>
      <c r="L215" s="26">
        <v>0.54</v>
      </c>
      <c r="M215">
        <v>0.1343</v>
      </c>
      <c r="N215" s="26">
        <v>1</v>
      </c>
      <c r="O215" s="26">
        <v>2</v>
      </c>
      <c r="P215" s="26">
        <v>3</v>
      </c>
      <c r="Q215" s="34" t="str">
        <f t="shared" si="9"/>
        <v>Clear</v>
      </c>
      <c r="R215" s="41" t="str">
        <f>IF(I215=1,"Normal",IF(I215=2,"Yellow Alert",IF(I215=3,"Orange Alert",IF(I215=4,"Red Alert"))))</f>
        <v>Normal</v>
      </c>
      <c r="S215" s="60">
        <f t="shared" si="10"/>
        <v>10</v>
      </c>
      <c r="T215" s="60">
        <f>MONTH(dataset_1!B:B)</f>
        <v>1</v>
      </c>
      <c r="U215" s="60">
        <f t="shared" si="11"/>
        <v>2011</v>
      </c>
      <c r="V215" s="59" t="str">
        <f>TEXT(F215/24,"H AM/PM")</f>
        <v>4 AM</v>
      </c>
      <c r="W215" s="59" t="str">
        <f>IF(H215=6,"Saturday",IF(H215=0,"Sunday",IF(H215=1,"Monday",IF(H215=2,"Tuesday",IF(H215=3,"Wednesday",IF(H215=4,"Thursday",IF(H215=5,"Friday")))))))</f>
        <v>Monday</v>
      </c>
      <c r="X215" s="59" t="str">
        <f>IF(G215=FALSE,"Working day", IF(G215=TRUE,"Holiday"))</f>
        <v>Working day</v>
      </c>
    </row>
    <row r="216" spans="1:24" x14ac:dyDescent="0.25">
      <c r="A216" s="32">
        <v>215</v>
      </c>
      <c r="B216" s="33">
        <v>40553</v>
      </c>
      <c r="C216" s="26">
        <v>1</v>
      </c>
      <c r="D216" s="26">
        <v>0</v>
      </c>
      <c r="E216" s="26">
        <v>1</v>
      </c>
      <c r="F216" s="26">
        <v>5</v>
      </c>
      <c r="G216" s="26" t="b">
        <v>0</v>
      </c>
      <c r="H216" s="26">
        <v>1</v>
      </c>
      <c r="I216" s="26">
        <v>1</v>
      </c>
      <c r="J216" s="26">
        <v>0.1</v>
      </c>
      <c r="K216" s="26">
        <v>0.1212</v>
      </c>
      <c r="L216" s="26">
        <v>0.54</v>
      </c>
      <c r="M216">
        <v>0.25369999999999998</v>
      </c>
      <c r="N216" s="26">
        <v>0</v>
      </c>
      <c r="O216" s="26">
        <v>3</v>
      </c>
      <c r="P216" s="26">
        <v>3</v>
      </c>
      <c r="Q216" s="34" t="str">
        <f t="shared" si="9"/>
        <v>Clear</v>
      </c>
      <c r="R216" s="41" t="str">
        <f>IF(I216=1,"Normal",IF(I216=2,"Yellow Alert",IF(I216=3,"Orange Alert",IF(I216=4,"Red Alert"))))</f>
        <v>Normal</v>
      </c>
      <c r="S216" s="60">
        <f t="shared" si="10"/>
        <v>10</v>
      </c>
      <c r="T216" s="60">
        <f>MONTH(dataset_1!B:B)</f>
        <v>1</v>
      </c>
      <c r="U216" s="60">
        <f t="shared" si="11"/>
        <v>2011</v>
      </c>
      <c r="V216" s="59" t="str">
        <f>TEXT(F216/24,"H AM/PM")</f>
        <v>5 AM</v>
      </c>
      <c r="W216" s="59" t="str">
        <f>IF(H216=6,"Saturday",IF(H216=0,"Sunday",IF(H216=1,"Monday",IF(H216=2,"Tuesday",IF(H216=3,"Wednesday",IF(H216=4,"Thursday",IF(H216=5,"Friday")))))))</f>
        <v>Monday</v>
      </c>
      <c r="X216" s="59" t="str">
        <f>IF(G216=FALSE,"Working day", IF(G216=TRUE,"Holiday"))</f>
        <v>Working day</v>
      </c>
    </row>
    <row r="217" spans="1:24" x14ac:dyDescent="0.25">
      <c r="A217" s="32">
        <v>216</v>
      </c>
      <c r="B217" s="33">
        <v>40553</v>
      </c>
      <c r="C217" s="26">
        <v>1</v>
      </c>
      <c r="D217" s="26">
        <v>0</v>
      </c>
      <c r="E217" s="26">
        <v>1</v>
      </c>
      <c r="F217" s="26">
        <v>6</v>
      </c>
      <c r="G217" s="26" t="b">
        <v>0</v>
      </c>
      <c r="H217" s="26">
        <v>1</v>
      </c>
      <c r="I217" s="26">
        <v>1</v>
      </c>
      <c r="J217" s="26">
        <v>0.12</v>
      </c>
      <c r="K217" s="26">
        <v>0.1212</v>
      </c>
      <c r="L217" s="26">
        <v>0.5</v>
      </c>
      <c r="M217">
        <v>0.28360000000000002</v>
      </c>
      <c r="N217" s="26">
        <v>0</v>
      </c>
      <c r="O217" s="26">
        <v>31</v>
      </c>
      <c r="P217" s="26">
        <v>31</v>
      </c>
      <c r="Q217" s="34" t="str">
        <f t="shared" si="9"/>
        <v>Clear</v>
      </c>
      <c r="R217" s="41" t="str">
        <f>IF(I217=1,"Normal",IF(I217=2,"Yellow Alert",IF(I217=3,"Orange Alert",IF(I217=4,"Red Alert"))))</f>
        <v>Normal</v>
      </c>
      <c r="S217" s="60">
        <f t="shared" si="10"/>
        <v>10</v>
      </c>
      <c r="T217" s="60">
        <f>MONTH(dataset_1!B:B)</f>
        <v>1</v>
      </c>
      <c r="U217" s="60">
        <f t="shared" si="11"/>
        <v>2011</v>
      </c>
      <c r="V217" s="59" t="str">
        <f>TEXT(F217/24,"H AM/PM")</f>
        <v>6 AM</v>
      </c>
      <c r="W217" s="59" t="str">
        <f>IF(H217=6,"Saturday",IF(H217=0,"Sunday",IF(H217=1,"Monday",IF(H217=2,"Tuesday",IF(H217=3,"Wednesday",IF(H217=4,"Thursday",IF(H217=5,"Friday")))))))</f>
        <v>Monday</v>
      </c>
      <c r="X217" s="59" t="str">
        <f>IF(G217=FALSE,"Working day", IF(G217=TRUE,"Holiday"))</f>
        <v>Working day</v>
      </c>
    </row>
    <row r="218" spans="1:24" x14ac:dyDescent="0.25">
      <c r="A218" s="32">
        <v>217</v>
      </c>
      <c r="B218" s="33">
        <v>40553</v>
      </c>
      <c r="C218" s="26">
        <v>1</v>
      </c>
      <c r="D218" s="26">
        <v>0</v>
      </c>
      <c r="E218" s="26">
        <v>1</v>
      </c>
      <c r="F218" s="26">
        <v>7</v>
      </c>
      <c r="G218" s="26" t="b">
        <v>0</v>
      </c>
      <c r="H218" s="26">
        <v>1</v>
      </c>
      <c r="I218" s="26">
        <v>1</v>
      </c>
      <c r="J218" s="26">
        <v>0.12</v>
      </c>
      <c r="K218" s="26">
        <v>0.1212</v>
      </c>
      <c r="L218" s="26">
        <v>0.5</v>
      </c>
      <c r="M218">
        <v>0.22389999999999999</v>
      </c>
      <c r="N218" s="26">
        <v>2</v>
      </c>
      <c r="O218" s="26">
        <v>75</v>
      </c>
      <c r="P218" s="26">
        <v>77</v>
      </c>
      <c r="Q218" s="34" t="str">
        <f t="shared" si="9"/>
        <v>Clear</v>
      </c>
      <c r="R218" s="41" t="str">
        <f>IF(I218=1,"Normal",IF(I218=2,"Yellow Alert",IF(I218=3,"Orange Alert",IF(I218=4,"Red Alert"))))</f>
        <v>Normal</v>
      </c>
      <c r="S218" s="60">
        <f t="shared" si="10"/>
        <v>10</v>
      </c>
      <c r="T218" s="60">
        <f>MONTH(dataset_1!B:B)</f>
        <v>1</v>
      </c>
      <c r="U218" s="60">
        <f t="shared" si="11"/>
        <v>2011</v>
      </c>
      <c r="V218" s="59" t="str">
        <f>TEXT(F218/24,"H AM/PM")</f>
        <v>7 AM</v>
      </c>
      <c r="W218" s="59" t="str">
        <f>IF(H218=6,"Saturday",IF(H218=0,"Sunday",IF(H218=1,"Monday",IF(H218=2,"Tuesday",IF(H218=3,"Wednesday",IF(H218=4,"Thursday",IF(H218=5,"Friday")))))))</f>
        <v>Monday</v>
      </c>
      <c r="X218" s="59" t="str">
        <f>IF(G218=FALSE,"Working day", IF(G218=TRUE,"Holiday"))</f>
        <v>Working day</v>
      </c>
    </row>
    <row r="219" spans="1:24" x14ac:dyDescent="0.25">
      <c r="A219" s="32">
        <v>218</v>
      </c>
      <c r="B219" s="33">
        <v>40553</v>
      </c>
      <c r="C219" s="26">
        <v>1</v>
      </c>
      <c r="D219" s="26">
        <v>0</v>
      </c>
      <c r="E219" s="26">
        <v>1</v>
      </c>
      <c r="F219" s="26">
        <v>8</v>
      </c>
      <c r="G219" s="26" t="b">
        <v>0</v>
      </c>
      <c r="H219" s="26">
        <v>1</v>
      </c>
      <c r="I219" s="26">
        <v>2</v>
      </c>
      <c r="J219" s="26">
        <v>0.12</v>
      </c>
      <c r="K219" s="26">
        <v>0.1212</v>
      </c>
      <c r="L219" s="26">
        <v>0.5</v>
      </c>
      <c r="M219">
        <v>0.28360000000000002</v>
      </c>
      <c r="N219" s="26">
        <v>4</v>
      </c>
      <c r="O219" s="26">
        <v>184</v>
      </c>
      <c r="P219" s="26">
        <v>188</v>
      </c>
      <c r="Q219" s="34" t="str">
        <f t="shared" si="9"/>
        <v>Cloudy</v>
      </c>
      <c r="R219" s="41" t="str">
        <f>IF(I219=1,"Normal",IF(I219=2,"Yellow Alert",IF(I219=3,"Orange Alert",IF(I219=4,"Red Alert"))))</f>
        <v>Yellow Alert</v>
      </c>
      <c r="S219" s="60">
        <f t="shared" si="10"/>
        <v>10</v>
      </c>
      <c r="T219" s="60">
        <f>MONTH(dataset_1!B:B)</f>
        <v>1</v>
      </c>
      <c r="U219" s="60">
        <f t="shared" si="11"/>
        <v>2011</v>
      </c>
      <c r="V219" s="59" t="str">
        <f>TEXT(F219/24,"H AM/PM")</f>
        <v>8 AM</v>
      </c>
      <c r="W219" s="59" t="str">
        <f>IF(H219=6,"Saturday",IF(H219=0,"Sunday",IF(H219=1,"Monday",IF(H219=2,"Tuesday",IF(H219=3,"Wednesday",IF(H219=4,"Thursday",IF(H219=5,"Friday")))))))</f>
        <v>Monday</v>
      </c>
      <c r="X219" s="59" t="str">
        <f>IF(G219=FALSE,"Working day", IF(G219=TRUE,"Holiday"))</f>
        <v>Working day</v>
      </c>
    </row>
    <row r="220" spans="1:24" x14ac:dyDescent="0.25">
      <c r="A220" s="32">
        <v>219</v>
      </c>
      <c r="B220" s="33">
        <v>40553</v>
      </c>
      <c r="C220" s="26">
        <v>1</v>
      </c>
      <c r="D220" s="26">
        <v>0</v>
      </c>
      <c r="E220" s="26">
        <v>1</v>
      </c>
      <c r="F220" s="26">
        <v>9</v>
      </c>
      <c r="G220" s="26" t="b">
        <v>0</v>
      </c>
      <c r="H220" s="26">
        <v>1</v>
      </c>
      <c r="I220" s="26">
        <v>2</v>
      </c>
      <c r="J220" s="26">
        <v>0.14000000000000001</v>
      </c>
      <c r="K220" s="26">
        <v>0.1212</v>
      </c>
      <c r="L220" s="26">
        <v>0.5</v>
      </c>
      <c r="M220">
        <v>0.25369999999999998</v>
      </c>
      <c r="N220" s="26">
        <v>2</v>
      </c>
      <c r="O220" s="26">
        <v>92</v>
      </c>
      <c r="P220" s="26">
        <v>94</v>
      </c>
      <c r="Q220" s="34" t="str">
        <f t="shared" si="9"/>
        <v>Cloudy</v>
      </c>
      <c r="R220" s="41" t="str">
        <f>IF(I220=1,"Normal",IF(I220=2,"Yellow Alert",IF(I220=3,"Orange Alert",IF(I220=4,"Red Alert"))))</f>
        <v>Yellow Alert</v>
      </c>
      <c r="S220" s="60">
        <f t="shared" si="10"/>
        <v>10</v>
      </c>
      <c r="T220" s="60">
        <f>MONTH(dataset_1!B:B)</f>
        <v>1</v>
      </c>
      <c r="U220" s="60">
        <f t="shared" si="11"/>
        <v>2011</v>
      </c>
      <c r="V220" s="59" t="str">
        <f>TEXT(F220/24,"H AM/PM")</f>
        <v>9 AM</v>
      </c>
      <c r="W220" s="59" t="str">
        <f>IF(H220=6,"Saturday",IF(H220=0,"Sunday",IF(H220=1,"Monday",IF(H220=2,"Tuesday",IF(H220=3,"Wednesday",IF(H220=4,"Thursday",IF(H220=5,"Friday")))))))</f>
        <v>Monday</v>
      </c>
      <c r="X220" s="59" t="str">
        <f>IF(G220=FALSE,"Working day", IF(G220=TRUE,"Holiday"))</f>
        <v>Working day</v>
      </c>
    </row>
    <row r="221" spans="1:24" x14ac:dyDescent="0.25">
      <c r="A221" s="32">
        <v>220</v>
      </c>
      <c r="B221" s="33">
        <v>40553</v>
      </c>
      <c r="C221" s="26">
        <v>1</v>
      </c>
      <c r="D221" s="26">
        <v>0</v>
      </c>
      <c r="E221" s="26">
        <v>1</v>
      </c>
      <c r="F221" s="26">
        <v>10</v>
      </c>
      <c r="G221" s="26" t="b">
        <v>0</v>
      </c>
      <c r="H221" s="26">
        <v>1</v>
      </c>
      <c r="I221" s="26">
        <v>2</v>
      </c>
      <c r="J221" s="26">
        <v>0.14000000000000001</v>
      </c>
      <c r="K221" s="26">
        <v>0.13639999999999999</v>
      </c>
      <c r="L221" s="26">
        <v>0.5</v>
      </c>
      <c r="M221">
        <v>0.29849999999999999</v>
      </c>
      <c r="N221" s="26">
        <v>0</v>
      </c>
      <c r="O221" s="26">
        <v>31</v>
      </c>
      <c r="P221" s="26">
        <v>31</v>
      </c>
      <c r="Q221" s="34" t="str">
        <f t="shared" si="9"/>
        <v>Cloudy</v>
      </c>
      <c r="R221" s="41" t="str">
        <f>IF(I221=1,"Normal",IF(I221=2,"Yellow Alert",IF(I221=3,"Orange Alert",IF(I221=4,"Red Alert"))))</f>
        <v>Yellow Alert</v>
      </c>
      <c r="S221" s="60">
        <f t="shared" si="10"/>
        <v>10</v>
      </c>
      <c r="T221" s="60">
        <f>MONTH(dataset_1!B:B)</f>
        <v>1</v>
      </c>
      <c r="U221" s="60">
        <f t="shared" si="11"/>
        <v>2011</v>
      </c>
      <c r="V221" s="59" t="str">
        <f>TEXT(F221/24,"H AM/PM")</f>
        <v>10 AM</v>
      </c>
      <c r="W221" s="59" t="str">
        <f>IF(H221=6,"Saturday",IF(H221=0,"Sunday",IF(H221=1,"Monday",IF(H221=2,"Tuesday",IF(H221=3,"Wednesday",IF(H221=4,"Thursday",IF(H221=5,"Friday")))))))</f>
        <v>Monday</v>
      </c>
      <c r="X221" s="59" t="str">
        <f>IF(G221=FALSE,"Working day", IF(G221=TRUE,"Holiday"))</f>
        <v>Working day</v>
      </c>
    </row>
    <row r="222" spans="1:24" x14ac:dyDescent="0.25">
      <c r="A222" s="32">
        <v>221</v>
      </c>
      <c r="B222" s="33">
        <v>40553</v>
      </c>
      <c r="C222" s="26">
        <v>1</v>
      </c>
      <c r="D222" s="26">
        <v>0</v>
      </c>
      <c r="E222" s="26">
        <v>1</v>
      </c>
      <c r="F222" s="26">
        <v>11</v>
      </c>
      <c r="G222" s="26" t="b">
        <v>0</v>
      </c>
      <c r="H222" s="26">
        <v>1</v>
      </c>
      <c r="I222" s="26">
        <v>2</v>
      </c>
      <c r="J222" s="26">
        <v>0.16</v>
      </c>
      <c r="K222" s="26">
        <v>0.18179999999999999</v>
      </c>
      <c r="L222" s="26">
        <v>0.47</v>
      </c>
      <c r="M222">
        <v>0.28360000000000002</v>
      </c>
      <c r="N222" s="26">
        <v>2</v>
      </c>
      <c r="O222" s="26">
        <v>28</v>
      </c>
      <c r="P222" s="26">
        <v>30</v>
      </c>
      <c r="Q222" s="34" t="str">
        <f t="shared" si="9"/>
        <v>Cloudy</v>
      </c>
      <c r="R222" s="41" t="str">
        <f>IF(I222=1,"Normal",IF(I222=2,"Yellow Alert",IF(I222=3,"Orange Alert",IF(I222=4,"Red Alert"))))</f>
        <v>Yellow Alert</v>
      </c>
      <c r="S222" s="60">
        <f t="shared" si="10"/>
        <v>10</v>
      </c>
      <c r="T222" s="60">
        <f>MONTH(dataset_1!B:B)</f>
        <v>1</v>
      </c>
      <c r="U222" s="60">
        <f t="shared" si="11"/>
        <v>2011</v>
      </c>
      <c r="V222" s="59" t="str">
        <f>TEXT(F222/24,"H AM/PM")</f>
        <v>11 AM</v>
      </c>
      <c r="W222" s="59" t="str">
        <f>IF(H222=6,"Saturday",IF(H222=0,"Sunday",IF(H222=1,"Monday",IF(H222=2,"Tuesday",IF(H222=3,"Wednesday",IF(H222=4,"Thursday",IF(H222=5,"Friday")))))))</f>
        <v>Monday</v>
      </c>
      <c r="X222" s="59" t="str">
        <f>IF(G222=FALSE,"Working day", IF(G222=TRUE,"Holiday"))</f>
        <v>Working day</v>
      </c>
    </row>
    <row r="223" spans="1:24" x14ac:dyDescent="0.25">
      <c r="A223" s="32">
        <v>222</v>
      </c>
      <c r="B223" s="33">
        <v>40553</v>
      </c>
      <c r="C223" s="26">
        <v>1</v>
      </c>
      <c r="D223" s="26">
        <v>0</v>
      </c>
      <c r="E223" s="26">
        <v>1</v>
      </c>
      <c r="F223" s="26">
        <v>12</v>
      </c>
      <c r="G223" s="26" t="b">
        <v>0</v>
      </c>
      <c r="H223" s="26">
        <v>1</v>
      </c>
      <c r="I223" s="26">
        <v>2</v>
      </c>
      <c r="J223" s="26">
        <v>0.2</v>
      </c>
      <c r="K223" s="26">
        <v>0.18179999999999999</v>
      </c>
      <c r="L223" s="26">
        <v>0.4</v>
      </c>
      <c r="M223">
        <v>0.28360000000000002</v>
      </c>
      <c r="N223" s="26">
        <v>5</v>
      </c>
      <c r="O223" s="26">
        <v>47</v>
      </c>
      <c r="P223" s="26">
        <v>52</v>
      </c>
      <c r="Q223" s="34" t="str">
        <f t="shared" si="9"/>
        <v>Cloudy</v>
      </c>
      <c r="R223" s="41" t="str">
        <f>IF(I223=1,"Normal",IF(I223=2,"Yellow Alert",IF(I223=3,"Orange Alert",IF(I223=4,"Red Alert"))))</f>
        <v>Yellow Alert</v>
      </c>
      <c r="S223" s="60">
        <f t="shared" si="10"/>
        <v>10</v>
      </c>
      <c r="T223" s="60">
        <f>MONTH(dataset_1!B:B)</f>
        <v>1</v>
      </c>
      <c r="U223" s="60">
        <f t="shared" si="11"/>
        <v>2011</v>
      </c>
      <c r="V223" s="59" t="str">
        <f>TEXT(F223/24,"H AM/PM")</f>
        <v>12 PM</v>
      </c>
      <c r="W223" s="59" t="str">
        <f>IF(H223=6,"Saturday",IF(H223=0,"Sunday",IF(H223=1,"Monday",IF(H223=2,"Tuesday",IF(H223=3,"Wednesday",IF(H223=4,"Thursday",IF(H223=5,"Friday")))))))</f>
        <v>Monday</v>
      </c>
      <c r="X223" s="59" t="str">
        <f>IF(G223=FALSE,"Working day", IF(G223=TRUE,"Holiday"))</f>
        <v>Working day</v>
      </c>
    </row>
    <row r="224" spans="1:24" x14ac:dyDescent="0.25">
      <c r="A224" s="32">
        <v>223</v>
      </c>
      <c r="B224" s="33">
        <v>40553</v>
      </c>
      <c r="C224" s="26">
        <v>1</v>
      </c>
      <c r="D224" s="26">
        <v>0</v>
      </c>
      <c r="E224" s="26">
        <v>1</v>
      </c>
      <c r="F224" s="26">
        <v>13</v>
      </c>
      <c r="G224" s="26" t="b">
        <v>0</v>
      </c>
      <c r="H224" s="26">
        <v>1</v>
      </c>
      <c r="I224" s="26">
        <v>2</v>
      </c>
      <c r="J224" s="26">
        <v>0.2</v>
      </c>
      <c r="K224" s="26">
        <v>0.19700000000000001</v>
      </c>
      <c r="L224" s="26">
        <v>0.4</v>
      </c>
      <c r="M224">
        <v>0.28360000000000002</v>
      </c>
      <c r="N224" s="26">
        <v>4</v>
      </c>
      <c r="O224" s="26">
        <v>50</v>
      </c>
      <c r="P224" s="26">
        <v>54</v>
      </c>
      <c r="Q224" s="34" t="str">
        <f t="shared" si="9"/>
        <v>Cloudy</v>
      </c>
      <c r="R224" s="41" t="str">
        <f>IF(I224=1,"Normal",IF(I224=2,"Yellow Alert",IF(I224=3,"Orange Alert",IF(I224=4,"Red Alert"))))</f>
        <v>Yellow Alert</v>
      </c>
      <c r="S224" s="60">
        <f t="shared" si="10"/>
        <v>10</v>
      </c>
      <c r="T224" s="60">
        <f>MONTH(dataset_1!B:B)</f>
        <v>1</v>
      </c>
      <c r="U224" s="60">
        <f t="shared" si="11"/>
        <v>2011</v>
      </c>
      <c r="V224" s="59" t="str">
        <f>TEXT(F224/24,"H AM/PM")</f>
        <v>1 PM</v>
      </c>
      <c r="W224" s="59" t="str">
        <f>IF(H224=6,"Saturday",IF(H224=0,"Sunday",IF(H224=1,"Monday",IF(H224=2,"Tuesday",IF(H224=3,"Wednesday",IF(H224=4,"Thursday",IF(H224=5,"Friday")))))))</f>
        <v>Monday</v>
      </c>
      <c r="X224" s="59" t="str">
        <f>IF(G224=FALSE,"Working day", IF(G224=TRUE,"Holiday"))</f>
        <v>Working day</v>
      </c>
    </row>
    <row r="225" spans="1:24" x14ac:dyDescent="0.25">
      <c r="A225" s="32">
        <v>224</v>
      </c>
      <c r="B225" s="33">
        <v>40553</v>
      </c>
      <c r="C225" s="26">
        <v>1</v>
      </c>
      <c r="D225" s="26">
        <v>0</v>
      </c>
      <c r="E225" s="26">
        <v>1</v>
      </c>
      <c r="F225" s="26">
        <v>14</v>
      </c>
      <c r="G225" s="26" t="b">
        <v>0</v>
      </c>
      <c r="H225" s="26">
        <v>1</v>
      </c>
      <c r="I225" s="26">
        <v>2</v>
      </c>
      <c r="J225" s="26">
        <v>0.2</v>
      </c>
      <c r="K225" s="26">
        <v>0.19700000000000001</v>
      </c>
      <c r="L225" s="26">
        <v>0.4</v>
      </c>
      <c r="M225">
        <v>0.22389999999999999</v>
      </c>
      <c r="N225" s="26">
        <v>0</v>
      </c>
      <c r="O225" s="26">
        <v>47</v>
      </c>
      <c r="P225" s="26">
        <v>47</v>
      </c>
      <c r="Q225" s="34" t="str">
        <f t="shared" si="9"/>
        <v>Cloudy</v>
      </c>
      <c r="R225" s="41" t="str">
        <f>IF(I225=1,"Normal",IF(I225=2,"Yellow Alert",IF(I225=3,"Orange Alert",IF(I225=4,"Red Alert"))))</f>
        <v>Yellow Alert</v>
      </c>
      <c r="S225" s="60">
        <f t="shared" si="10"/>
        <v>10</v>
      </c>
      <c r="T225" s="60">
        <f>MONTH(dataset_1!B:B)</f>
        <v>1</v>
      </c>
      <c r="U225" s="60">
        <f t="shared" si="11"/>
        <v>2011</v>
      </c>
      <c r="V225" s="59" t="str">
        <f>TEXT(F225/24,"H AM/PM")</f>
        <v>2 PM</v>
      </c>
      <c r="W225" s="59" t="str">
        <f>IF(H225=6,"Saturday",IF(H225=0,"Sunday",IF(H225=1,"Monday",IF(H225=2,"Tuesday",IF(H225=3,"Wednesday",IF(H225=4,"Thursday",IF(H225=5,"Friday")))))))</f>
        <v>Monday</v>
      </c>
      <c r="X225" s="59" t="str">
        <f>IF(G225=FALSE,"Working day", IF(G225=TRUE,"Holiday"))</f>
        <v>Working day</v>
      </c>
    </row>
    <row r="226" spans="1:24" x14ac:dyDescent="0.25">
      <c r="A226" s="32">
        <v>225</v>
      </c>
      <c r="B226" s="33">
        <v>40553</v>
      </c>
      <c r="C226" s="26">
        <v>1</v>
      </c>
      <c r="D226" s="26">
        <v>0</v>
      </c>
      <c r="E226" s="26">
        <v>1</v>
      </c>
      <c r="F226" s="26">
        <v>15</v>
      </c>
      <c r="G226" s="26" t="b">
        <v>0</v>
      </c>
      <c r="H226" s="26">
        <v>1</v>
      </c>
      <c r="I226" s="26">
        <v>2</v>
      </c>
      <c r="J226" s="26">
        <v>0.2</v>
      </c>
      <c r="K226" s="26">
        <v>0.21210000000000001</v>
      </c>
      <c r="L226" s="26">
        <v>0.4</v>
      </c>
      <c r="M226">
        <v>0.22389999999999999</v>
      </c>
      <c r="N226" s="26">
        <v>2</v>
      </c>
      <c r="O226" s="26">
        <v>43</v>
      </c>
      <c r="P226" s="26">
        <v>45</v>
      </c>
      <c r="Q226" s="34" t="str">
        <f t="shared" si="9"/>
        <v>Cloudy</v>
      </c>
      <c r="R226" s="41" t="str">
        <f>IF(I226=1,"Normal",IF(I226=2,"Yellow Alert",IF(I226=3,"Orange Alert",IF(I226=4,"Red Alert"))))</f>
        <v>Yellow Alert</v>
      </c>
      <c r="S226" s="60">
        <f t="shared" si="10"/>
        <v>10</v>
      </c>
      <c r="T226" s="60">
        <f>MONTH(dataset_1!B:B)</f>
        <v>1</v>
      </c>
      <c r="U226" s="60">
        <f t="shared" si="11"/>
        <v>2011</v>
      </c>
      <c r="V226" s="59" t="str">
        <f>TEXT(F226/24,"H AM/PM")</f>
        <v>3 PM</v>
      </c>
      <c r="W226" s="59" t="str">
        <f>IF(H226=6,"Saturday",IF(H226=0,"Sunday",IF(H226=1,"Monday",IF(H226=2,"Tuesday",IF(H226=3,"Wednesday",IF(H226=4,"Thursday",IF(H226=5,"Friday")))))))</f>
        <v>Monday</v>
      </c>
      <c r="X226" s="59" t="str">
        <f>IF(G226=FALSE,"Working day", IF(G226=TRUE,"Holiday"))</f>
        <v>Working day</v>
      </c>
    </row>
    <row r="227" spans="1:24" x14ac:dyDescent="0.25">
      <c r="A227" s="32">
        <v>226</v>
      </c>
      <c r="B227" s="33">
        <v>40553</v>
      </c>
      <c r="C227" s="26">
        <v>1</v>
      </c>
      <c r="D227" s="26">
        <v>0</v>
      </c>
      <c r="E227" s="26">
        <v>1</v>
      </c>
      <c r="F227" s="26">
        <v>16</v>
      </c>
      <c r="G227" s="26" t="b">
        <v>0</v>
      </c>
      <c r="H227" s="26">
        <v>1</v>
      </c>
      <c r="I227" s="26">
        <v>1</v>
      </c>
      <c r="J227" s="26">
        <v>0.2</v>
      </c>
      <c r="K227" s="26">
        <v>0.2273</v>
      </c>
      <c r="L227" s="26">
        <v>0.4</v>
      </c>
      <c r="M227">
        <v>0.1343</v>
      </c>
      <c r="N227" s="26">
        <v>4</v>
      </c>
      <c r="O227" s="26">
        <v>70</v>
      </c>
      <c r="P227" s="26">
        <v>74</v>
      </c>
      <c r="Q227" s="34" t="str">
        <f t="shared" si="9"/>
        <v>Clear</v>
      </c>
      <c r="R227" s="41" t="str">
        <f>IF(I227=1,"Normal",IF(I227=2,"Yellow Alert",IF(I227=3,"Orange Alert",IF(I227=4,"Red Alert"))))</f>
        <v>Normal</v>
      </c>
      <c r="S227" s="60">
        <f t="shared" si="10"/>
        <v>10</v>
      </c>
      <c r="T227" s="60">
        <f>MONTH(dataset_1!B:B)</f>
        <v>1</v>
      </c>
      <c r="U227" s="60">
        <f t="shared" si="11"/>
        <v>2011</v>
      </c>
      <c r="V227" s="59" t="str">
        <f>TEXT(F227/24,"H AM/PM")</f>
        <v>4 PM</v>
      </c>
      <c r="W227" s="59" t="str">
        <f>IF(H227=6,"Saturday",IF(H227=0,"Sunday",IF(H227=1,"Monday",IF(H227=2,"Tuesday",IF(H227=3,"Wednesday",IF(H227=4,"Thursday",IF(H227=5,"Friday")))))))</f>
        <v>Monday</v>
      </c>
      <c r="X227" s="59" t="str">
        <f>IF(G227=FALSE,"Working day", IF(G227=TRUE,"Holiday"))</f>
        <v>Working day</v>
      </c>
    </row>
    <row r="228" spans="1:24" x14ac:dyDescent="0.25">
      <c r="A228" s="32">
        <v>227</v>
      </c>
      <c r="B228" s="33">
        <v>40553</v>
      </c>
      <c r="C228" s="26">
        <v>1</v>
      </c>
      <c r="D228" s="26">
        <v>0</v>
      </c>
      <c r="E228" s="26">
        <v>1</v>
      </c>
      <c r="F228" s="26">
        <v>17</v>
      </c>
      <c r="G228" s="26" t="b">
        <v>0</v>
      </c>
      <c r="H228" s="26">
        <v>1</v>
      </c>
      <c r="I228" s="26">
        <v>1</v>
      </c>
      <c r="J228" s="26">
        <v>0.2</v>
      </c>
      <c r="K228" s="26">
        <v>0.19700000000000001</v>
      </c>
      <c r="L228" s="26">
        <v>0.4</v>
      </c>
      <c r="M228">
        <v>0.1045</v>
      </c>
      <c r="N228" s="26">
        <v>4</v>
      </c>
      <c r="O228" s="26">
        <v>174</v>
      </c>
      <c r="P228" s="26">
        <v>178</v>
      </c>
      <c r="Q228" s="34" t="str">
        <f t="shared" si="9"/>
        <v>Clear</v>
      </c>
      <c r="R228" s="41" t="str">
        <f>IF(I228=1,"Normal",IF(I228=2,"Yellow Alert",IF(I228=3,"Orange Alert",IF(I228=4,"Red Alert"))))</f>
        <v>Normal</v>
      </c>
      <c r="S228" s="60">
        <f t="shared" si="10"/>
        <v>10</v>
      </c>
      <c r="T228" s="60">
        <f>MONTH(dataset_1!B:B)</f>
        <v>1</v>
      </c>
      <c r="U228" s="60">
        <f t="shared" si="11"/>
        <v>2011</v>
      </c>
      <c r="V228" s="59" t="str">
        <f>TEXT(F228/24,"H AM/PM")</f>
        <v>5 PM</v>
      </c>
      <c r="W228" s="59" t="str">
        <f>IF(H228=6,"Saturday",IF(H228=0,"Sunday",IF(H228=1,"Monday",IF(H228=2,"Tuesday",IF(H228=3,"Wednesday",IF(H228=4,"Thursday",IF(H228=5,"Friday")))))))</f>
        <v>Monday</v>
      </c>
      <c r="X228" s="59" t="str">
        <f>IF(G228=FALSE,"Working day", IF(G228=TRUE,"Holiday"))</f>
        <v>Working day</v>
      </c>
    </row>
    <row r="229" spans="1:24" x14ac:dyDescent="0.25">
      <c r="A229" s="32">
        <v>228</v>
      </c>
      <c r="B229" s="33">
        <v>40553</v>
      </c>
      <c r="C229" s="26">
        <v>1</v>
      </c>
      <c r="D229" s="26">
        <v>0</v>
      </c>
      <c r="E229" s="26">
        <v>1</v>
      </c>
      <c r="F229" s="26">
        <v>18</v>
      </c>
      <c r="G229" s="26" t="b">
        <v>0</v>
      </c>
      <c r="H229" s="26">
        <v>1</v>
      </c>
      <c r="I229" s="26">
        <v>1</v>
      </c>
      <c r="J229" s="26">
        <v>0.2</v>
      </c>
      <c r="K229" s="26">
        <v>0.16669999999999999</v>
      </c>
      <c r="L229" s="26">
        <v>0.4</v>
      </c>
      <c r="M229">
        <v>0.22389999999999999</v>
      </c>
      <c r="N229" s="26">
        <v>1</v>
      </c>
      <c r="O229" s="26">
        <v>154</v>
      </c>
      <c r="P229" s="26">
        <v>155</v>
      </c>
      <c r="Q229" s="34" t="str">
        <f t="shared" si="9"/>
        <v>Clear</v>
      </c>
      <c r="R229" s="41" t="str">
        <f>IF(I229=1,"Normal",IF(I229=2,"Yellow Alert",IF(I229=3,"Orange Alert",IF(I229=4,"Red Alert"))))</f>
        <v>Normal</v>
      </c>
      <c r="S229" s="60">
        <f t="shared" si="10"/>
        <v>10</v>
      </c>
      <c r="T229" s="60">
        <f>MONTH(dataset_1!B:B)</f>
        <v>1</v>
      </c>
      <c r="U229" s="60">
        <f t="shared" si="11"/>
        <v>2011</v>
      </c>
      <c r="V229" s="59" t="str">
        <f>TEXT(F229/24,"H AM/PM")</f>
        <v>6 PM</v>
      </c>
      <c r="W229" s="59" t="str">
        <f>IF(H229=6,"Saturday",IF(H229=0,"Sunday",IF(H229=1,"Monday",IF(H229=2,"Tuesday",IF(H229=3,"Wednesday",IF(H229=4,"Thursday",IF(H229=5,"Friday")))))))</f>
        <v>Monday</v>
      </c>
      <c r="X229" s="59" t="str">
        <f>IF(G229=FALSE,"Working day", IF(G229=TRUE,"Holiday"))</f>
        <v>Working day</v>
      </c>
    </row>
    <row r="230" spans="1:24" x14ac:dyDescent="0.25">
      <c r="A230" s="32">
        <v>229</v>
      </c>
      <c r="B230" s="33">
        <v>40553</v>
      </c>
      <c r="C230" s="26">
        <v>1</v>
      </c>
      <c r="D230" s="26">
        <v>0</v>
      </c>
      <c r="E230" s="26">
        <v>1</v>
      </c>
      <c r="F230" s="26">
        <v>19</v>
      </c>
      <c r="G230" s="26" t="b">
        <v>0</v>
      </c>
      <c r="H230" s="26">
        <v>1</v>
      </c>
      <c r="I230" s="26">
        <v>1</v>
      </c>
      <c r="J230" s="26">
        <v>0.16</v>
      </c>
      <c r="K230" s="26">
        <v>0.16669999999999999</v>
      </c>
      <c r="L230" s="26">
        <v>0.47</v>
      </c>
      <c r="M230">
        <v>0.16420000000000001</v>
      </c>
      <c r="N230" s="26">
        <v>3</v>
      </c>
      <c r="O230" s="26">
        <v>92</v>
      </c>
      <c r="P230" s="26">
        <v>95</v>
      </c>
      <c r="Q230" s="34" t="str">
        <f t="shared" si="9"/>
        <v>Clear</v>
      </c>
      <c r="R230" s="41" t="str">
        <f>IF(I230=1,"Normal",IF(I230=2,"Yellow Alert",IF(I230=3,"Orange Alert",IF(I230=4,"Red Alert"))))</f>
        <v>Normal</v>
      </c>
      <c r="S230" s="60">
        <f t="shared" si="10"/>
        <v>10</v>
      </c>
      <c r="T230" s="60">
        <f>MONTH(dataset_1!B:B)</f>
        <v>1</v>
      </c>
      <c r="U230" s="60">
        <f t="shared" si="11"/>
        <v>2011</v>
      </c>
      <c r="V230" s="59" t="str">
        <f>TEXT(F230/24,"H AM/PM")</f>
        <v>7 PM</v>
      </c>
      <c r="W230" s="59" t="str">
        <f>IF(H230=6,"Saturday",IF(H230=0,"Sunday",IF(H230=1,"Monday",IF(H230=2,"Tuesday",IF(H230=3,"Wednesday",IF(H230=4,"Thursday",IF(H230=5,"Friday")))))))</f>
        <v>Monday</v>
      </c>
      <c r="X230" s="59" t="str">
        <f>IF(G230=FALSE,"Working day", IF(G230=TRUE,"Holiday"))</f>
        <v>Working day</v>
      </c>
    </row>
    <row r="231" spans="1:24" x14ac:dyDescent="0.25">
      <c r="A231" s="32">
        <v>230</v>
      </c>
      <c r="B231" s="33">
        <v>40553</v>
      </c>
      <c r="C231" s="26">
        <v>1</v>
      </c>
      <c r="D231" s="26">
        <v>0</v>
      </c>
      <c r="E231" s="26">
        <v>1</v>
      </c>
      <c r="F231" s="26">
        <v>20</v>
      </c>
      <c r="G231" s="26" t="b">
        <v>0</v>
      </c>
      <c r="H231" s="26">
        <v>1</v>
      </c>
      <c r="I231" s="26">
        <v>1</v>
      </c>
      <c r="J231" s="26">
        <v>0.16</v>
      </c>
      <c r="K231" s="26">
        <v>0.13639999999999999</v>
      </c>
      <c r="L231" s="26">
        <v>0.5</v>
      </c>
      <c r="M231">
        <v>0.16420000000000001</v>
      </c>
      <c r="N231" s="26">
        <v>1</v>
      </c>
      <c r="O231" s="26">
        <v>73</v>
      </c>
      <c r="P231" s="26">
        <v>74</v>
      </c>
      <c r="Q231" s="34" t="str">
        <f t="shared" si="9"/>
        <v>Clear</v>
      </c>
      <c r="R231" s="41" t="str">
        <f>IF(I231=1,"Normal",IF(I231=2,"Yellow Alert",IF(I231=3,"Orange Alert",IF(I231=4,"Red Alert"))))</f>
        <v>Normal</v>
      </c>
      <c r="S231" s="60">
        <f t="shared" si="10"/>
        <v>10</v>
      </c>
      <c r="T231" s="60">
        <f>MONTH(dataset_1!B:B)</f>
        <v>1</v>
      </c>
      <c r="U231" s="60">
        <f t="shared" si="11"/>
        <v>2011</v>
      </c>
      <c r="V231" s="59" t="str">
        <f>TEXT(F231/24,"H AM/PM")</f>
        <v>8 PM</v>
      </c>
      <c r="W231" s="59" t="str">
        <f>IF(H231=6,"Saturday",IF(H231=0,"Sunday",IF(H231=1,"Monday",IF(H231=2,"Tuesday",IF(H231=3,"Wednesday",IF(H231=4,"Thursday",IF(H231=5,"Friday")))))))</f>
        <v>Monday</v>
      </c>
      <c r="X231" s="59" t="str">
        <f>IF(G231=FALSE,"Working day", IF(G231=TRUE,"Holiday"))</f>
        <v>Working day</v>
      </c>
    </row>
    <row r="232" spans="1:24" x14ac:dyDescent="0.25">
      <c r="A232" s="32">
        <v>231</v>
      </c>
      <c r="B232" s="33">
        <v>40553</v>
      </c>
      <c r="C232" s="26">
        <v>1</v>
      </c>
      <c r="D232" s="26">
        <v>0</v>
      </c>
      <c r="E232" s="26">
        <v>1</v>
      </c>
      <c r="F232" s="26">
        <v>21</v>
      </c>
      <c r="G232" s="26" t="b">
        <v>0</v>
      </c>
      <c r="H232" s="26">
        <v>1</v>
      </c>
      <c r="I232" s="26">
        <v>1</v>
      </c>
      <c r="J232" s="26">
        <v>0.14000000000000001</v>
      </c>
      <c r="K232" s="26">
        <v>0.1515</v>
      </c>
      <c r="L232" s="26">
        <v>0.59</v>
      </c>
      <c r="M232">
        <v>0.19400000000000001</v>
      </c>
      <c r="N232" s="26">
        <v>1</v>
      </c>
      <c r="O232" s="26">
        <v>37</v>
      </c>
      <c r="P232" s="26">
        <v>38</v>
      </c>
      <c r="Q232" s="34" t="str">
        <f t="shared" si="9"/>
        <v>Clear</v>
      </c>
      <c r="R232" s="41" t="str">
        <f>IF(I232=1,"Normal",IF(I232=2,"Yellow Alert",IF(I232=3,"Orange Alert",IF(I232=4,"Red Alert"))))</f>
        <v>Normal</v>
      </c>
      <c r="S232" s="60">
        <f t="shared" si="10"/>
        <v>10</v>
      </c>
      <c r="T232" s="60">
        <f>MONTH(dataset_1!B:B)</f>
        <v>1</v>
      </c>
      <c r="U232" s="60">
        <f t="shared" si="11"/>
        <v>2011</v>
      </c>
      <c r="V232" s="59" t="str">
        <f>TEXT(F232/24,"H AM/PM")</f>
        <v>9 PM</v>
      </c>
      <c r="W232" s="59" t="str">
        <f>IF(H232=6,"Saturday",IF(H232=0,"Sunday",IF(H232=1,"Monday",IF(H232=2,"Tuesday",IF(H232=3,"Wednesday",IF(H232=4,"Thursday",IF(H232=5,"Friday")))))))</f>
        <v>Monday</v>
      </c>
      <c r="X232" s="59" t="str">
        <f>IF(G232=FALSE,"Working day", IF(G232=TRUE,"Holiday"))</f>
        <v>Working day</v>
      </c>
    </row>
    <row r="233" spans="1:24" x14ac:dyDescent="0.25">
      <c r="A233" s="32">
        <v>232</v>
      </c>
      <c r="B233" s="33">
        <v>40553</v>
      </c>
      <c r="C233" s="26">
        <v>1</v>
      </c>
      <c r="D233" s="26">
        <v>0</v>
      </c>
      <c r="E233" s="26">
        <v>1</v>
      </c>
      <c r="F233" s="26">
        <v>22</v>
      </c>
      <c r="G233" s="26" t="b">
        <v>0</v>
      </c>
      <c r="H233" s="26">
        <v>1</v>
      </c>
      <c r="I233" s="26">
        <v>1</v>
      </c>
      <c r="J233" s="26">
        <v>0.14000000000000001</v>
      </c>
      <c r="K233" s="26">
        <v>0.1515</v>
      </c>
      <c r="L233" s="26">
        <v>0.59</v>
      </c>
      <c r="M233">
        <v>0.16420000000000001</v>
      </c>
      <c r="N233" s="26">
        <v>2</v>
      </c>
      <c r="O233" s="26">
        <v>22</v>
      </c>
      <c r="P233" s="26">
        <v>24</v>
      </c>
      <c r="Q233" s="34" t="str">
        <f t="shared" si="9"/>
        <v>Clear</v>
      </c>
      <c r="R233" s="41" t="str">
        <f>IF(I233=1,"Normal",IF(I233=2,"Yellow Alert",IF(I233=3,"Orange Alert",IF(I233=4,"Red Alert"))))</f>
        <v>Normal</v>
      </c>
      <c r="S233" s="60">
        <f t="shared" si="10"/>
        <v>10</v>
      </c>
      <c r="T233" s="60">
        <f>MONTH(dataset_1!B:B)</f>
        <v>1</v>
      </c>
      <c r="U233" s="60">
        <f t="shared" si="11"/>
        <v>2011</v>
      </c>
      <c r="V233" s="59" t="str">
        <f>TEXT(F233/24,"H AM/PM")</f>
        <v>10 PM</v>
      </c>
      <c r="W233" s="59" t="str">
        <f>IF(H233=6,"Saturday",IF(H233=0,"Sunday",IF(H233=1,"Monday",IF(H233=2,"Tuesday",IF(H233=3,"Wednesday",IF(H233=4,"Thursday",IF(H233=5,"Friday")))))))</f>
        <v>Monday</v>
      </c>
      <c r="X233" s="59" t="str">
        <f>IF(G233=FALSE,"Working day", IF(G233=TRUE,"Holiday"))</f>
        <v>Working day</v>
      </c>
    </row>
    <row r="234" spans="1:24" x14ac:dyDescent="0.25">
      <c r="A234" s="32">
        <v>233</v>
      </c>
      <c r="B234" s="33">
        <v>40553</v>
      </c>
      <c r="C234" s="26">
        <v>1</v>
      </c>
      <c r="D234" s="26">
        <v>0</v>
      </c>
      <c r="E234" s="26">
        <v>1</v>
      </c>
      <c r="F234" s="26">
        <v>23</v>
      </c>
      <c r="G234" s="26" t="b">
        <v>0</v>
      </c>
      <c r="H234" s="26">
        <v>1</v>
      </c>
      <c r="I234" s="26">
        <v>1</v>
      </c>
      <c r="J234" s="26">
        <v>0.14000000000000001</v>
      </c>
      <c r="K234" s="26">
        <v>0.16669999999999999</v>
      </c>
      <c r="L234" s="26">
        <v>0.59</v>
      </c>
      <c r="M234">
        <v>0.16420000000000001</v>
      </c>
      <c r="N234" s="26">
        <v>0</v>
      </c>
      <c r="O234" s="26">
        <v>18</v>
      </c>
      <c r="P234" s="26">
        <v>18</v>
      </c>
      <c r="Q234" s="34" t="str">
        <f t="shared" si="9"/>
        <v>Clear</v>
      </c>
      <c r="R234" s="41" t="str">
        <f>IF(I234=1,"Normal",IF(I234=2,"Yellow Alert",IF(I234=3,"Orange Alert",IF(I234=4,"Red Alert"))))</f>
        <v>Normal</v>
      </c>
      <c r="S234" s="60">
        <f t="shared" si="10"/>
        <v>10</v>
      </c>
      <c r="T234" s="60">
        <f>MONTH(dataset_1!B:B)</f>
        <v>1</v>
      </c>
      <c r="U234" s="60">
        <f t="shared" si="11"/>
        <v>2011</v>
      </c>
      <c r="V234" s="59" t="str">
        <f>TEXT(F234/24,"H AM/PM")</f>
        <v>11 PM</v>
      </c>
      <c r="W234" s="59" t="str">
        <f>IF(H234=6,"Saturday",IF(H234=0,"Sunday",IF(H234=1,"Monday",IF(H234=2,"Tuesday",IF(H234=3,"Wednesday",IF(H234=4,"Thursday",IF(H234=5,"Friday")))))))</f>
        <v>Monday</v>
      </c>
      <c r="X234" s="59" t="str">
        <f>IF(G234=FALSE,"Working day", IF(G234=TRUE,"Holiday"))</f>
        <v>Working day</v>
      </c>
    </row>
    <row r="235" spans="1:24" x14ac:dyDescent="0.25">
      <c r="A235" s="32">
        <v>234</v>
      </c>
      <c r="B235" s="33">
        <v>40554</v>
      </c>
      <c r="C235" s="26">
        <v>1</v>
      </c>
      <c r="D235" s="26">
        <v>0</v>
      </c>
      <c r="E235" s="26">
        <v>1</v>
      </c>
      <c r="F235" s="26">
        <v>0</v>
      </c>
      <c r="G235" s="26" t="b">
        <v>0</v>
      </c>
      <c r="H235" s="26">
        <v>2</v>
      </c>
      <c r="I235" s="26">
        <v>1</v>
      </c>
      <c r="J235" s="26">
        <v>0.14000000000000001</v>
      </c>
      <c r="K235" s="26">
        <v>0.1515</v>
      </c>
      <c r="L235" s="26">
        <v>0.59</v>
      </c>
      <c r="M235">
        <v>0.1045</v>
      </c>
      <c r="N235" s="26">
        <v>2</v>
      </c>
      <c r="O235" s="26">
        <v>10</v>
      </c>
      <c r="P235" s="26">
        <v>12</v>
      </c>
      <c r="Q235" s="34" t="str">
        <f t="shared" si="9"/>
        <v>Clear</v>
      </c>
      <c r="R235" s="41" t="str">
        <f>IF(I235=1,"Normal",IF(I235=2,"Yellow Alert",IF(I235=3,"Orange Alert",IF(I235=4,"Red Alert"))))</f>
        <v>Normal</v>
      </c>
      <c r="S235" s="60">
        <f t="shared" si="10"/>
        <v>11</v>
      </c>
      <c r="T235" s="60">
        <f>MONTH(dataset_1!B:B)</f>
        <v>1</v>
      </c>
      <c r="U235" s="60">
        <f t="shared" si="11"/>
        <v>2011</v>
      </c>
      <c r="V235" s="59" t="str">
        <f>TEXT(F235/24,"H AM/PM")</f>
        <v>12 AM</v>
      </c>
      <c r="W235" s="59" t="str">
        <f>IF(H235=6,"Saturday",IF(H235=0,"Sunday",IF(H235=1,"Monday",IF(H235=2,"Tuesday",IF(H235=3,"Wednesday",IF(H235=4,"Thursday",IF(H235=5,"Friday")))))))</f>
        <v>Tuesday</v>
      </c>
      <c r="X235" s="59" t="str">
        <f>IF(G235=FALSE,"Working day", IF(G235=TRUE,"Holiday"))</f>
        <v>Working day</v>
      </c>
    </row>
    <row r="236" spans="1:24" x14ac:dyDescent="0.25">
      <c r="A236" s="32">
        <v>235</v>
      </c>
      <c r="B236" s="33">
        <v>40554</v>
      </c>
      <c r="C236" s="26">
        <v>1</v>
      </c>
      <c r="D236" s="26">
        <v>0</v>
      </c>
      <c r="E236" s="26">
        <v>1</v>
      </c>
      <c r="F236" s="26">
        <v>1</v>
      </c>
      <c r="G236" s="26" t="b">
        <v>0</v>
      </c>
      <c r="H236" s="26">
        <v>2</v>
      </c>
      <c r="I236" s="26">
        <v>1</v>
      </c>
      <c r="J236" s="26">
        <v>0.14000000000000001</v>
      </c>
      <c r="K236" s="26">
        <v>0.1515</v>
      </c>
      <c r="L236" s="26">
        <v>0.59</v>
      </c>
      <c r="M236">
        <v>0.16420000000000001</v>
      </c>
      <c r="N236" s="26">
        <v>0</v>
      </c>
      <c r="O236" s="26">
        <v>3</v>
      </c>
      <c r="P236" s="26">
        <v>3</v>
      </c>
      <c r="Q236" s="34" t="str">
        <f t="shared" si="9"/>
        <v>Clear</v>
      </c>
      <c r="R236" s="41" t="str">
        <f>IF(I236=1,"Normal",IF(I236=2,"Yellow Alert",IF(I236=3,"Orange Alert",IF(I236=4,"Red Alert"))))</f>
        <v>Normal</v>
      </c>
      <c r="S236" s="60">
        <f t="shared" si="10"/>
        <v>11</v>
      </c>
      <c r="T236" s="60">
        <f>MONTH(dataset_1!B:B)</f>
        <v>1</v>
      </c>
      <c r="U236" s="60">
        <f t="shared" si="11"/>
        <v>2011</v>
      </c>
      <c r="V236" s="59" t="str">
        <f>TEXT(F236/24,"H AM/PM")</f>
        <v>1 AM</v>
      </c>
      <c r="W236" s="59" t="str">
        <f>IF(H236=6,"Saturday",IF(H236=0,"Sunday",IF(H236=1,"Monday",IF(H236=2,"Tuesday",IF(H236=3,"Wednesday",IF(H236=4,"Thursday",IF(H236=5,"Friday")))))))</f>
        <v>Tuesday</v>
      </c>
      <c r="X236" s="59" t="str">
        <f>IF(G236=FALSE,"Working day", IF(G236=TRUE,"Holiday"))</f>
        <v>Working day</v>
      </c>
    </row>
    <row r="237" spans="1:24" x14ac:dyDescent="0.25">
      <c r="A237" s="32">
        <v>236</v>
      </c>
      <c r="B237" s="33">
        <v>40554</v>
      </c>
      <c r="C237" s="26">
        <v>1</v>
      </c>
      <c r="D237" s="26">
        <v>0</v>
      </c>
      <c r="E237" s="26">
        <v>1</v>
      </c>
      <c r="F237" s="26">
        <v>2</v>
      </c>
      <c r="G237" s="26" t="b">
        <v>0</v>
      </c>
      <c r="H237" s="26">
        <v>2</v>
      </c>
      <c r="I237" s="26">
        <v>2</v>
      </c>
      <c r="J237" s="26">
        <v>0.16</v>
      </c>
      <c r="K237" s="26">
        <v>0.18179999999999999</v>
      </c>
      <c r="L237" s="26">
        <v>0.55000000000000004</v>
      </c>
      <c r="M237">
        <v>0.19400000000000001</v>
      </c>
      <c r="N237" s="26">
        <v>0</v>
      </c>
      <c r="O237" s="26">
        <v>3</v>
      </c>
      <c r="P237" s="26">
        <v>3</v>
      </c>
      <c r="Q237" s="34" t="str">
        <f t="shared" si="9"/>
        <v>Cloudy</v>
      </c>
      <c r="R237" s="41" t="str">
        <f>IF(I237=1,"Normal",IF(I237=2,"Yellow Alert",IF(I237=3,"Orange Alert",IF(I237=4,"Red Alert"))))</f>
        <v>Yellow Alert</v>
      </c>
      <c r="S237" s="60">
        <f t="shared" si="10"/>
        <v>11</v>
      </c>
      <c r="T237" s="60">
        <f>MONTH(dataset_1!B:B)</f>
        <v>1</v>
      </c>
      <c r="U237" s="60">
        <f t="shared" si="11"/>
        <v>2011</v>
      </c>
      <c r="V237" s="59" t="str">
        <f>TEXT(F237/24,"H AM/PM")</f>
        <v>2 AM</v>
      </c>
      <c r="W237" s="59" t="str">
        <f>IF(H237=6,"Saturday",IF(H237=0,"Sunday",IF(H237=1,"Monday",IF(H237=2,"Tuesday",IF(H237=3,"Wednesday",IF(H237=4,"Thursday",IF(H237=5,"Friday")))))))</f>
        <v>Tuesday</v>
      </c>
      <c r="X237" s="59" t="str">
        <f>IF(G237=FALSE,"Working day", IF(G237=TRUE,"Holiday"))</f>
        <v>Working day</v>
      </c>
    </row>
    <row r="238" spans="1:24" x14ac:dyDescent="0.25">
      <c r="A238" s="32">
        <v>237</v>
      </c>
      <c r="B238" s="33">
        <v>40554</v>
      </c>
      <c r="C238" s="26">
        <v>1</v>
      </c>
      <c r="D238" s="26">
        <v>0</v>
      </c>
      <c r="E238" s="26">
        <v>1</v>
      </c>
      <c r="F238" s="26">
        <v>5</v>
      </c>
      <c r="G238" s="26" t="b">
        <v>0</v>
      </c>
      <c r="H238" s="26">
        <v>2</v>
      </c>
      <c r="I238" s="26">
        <v>2</v>
      </c>
      <c r="J238" s="26">
        <v>0.16</v>
      </c>
      <c r="K238" s="26">
        <v>0.18179999999999999</v>
      </c>
      <c r="L238" s="26">
        <v>0.55000000000000004</v>
      </c>
      <c r="M238">
        <v>0.1343</v>
      </c>
      <c r="N238" s="26">
        <v>0</v>
      </c>
      <c r="O238" s="26">
        <v>6</v>
      </c>
      <c r="P238" s="26">
        <v>6</v>
      </c>
      <c r="Q238" s="34" t="str">
        <f t="shared" si="9"/>
        <v>Cloudy</v>
      </c>
      <c r="R238" s="41" t="str">
        <f>IF(I238=1,"Normal",IF(I238=2,"Yellow Alert",IF(I238=3,"Orange Alert",IF(I238=4,"Red Alert"))))</f>
        <v>Yellow Alert</v>
      </c>
      <c r="S238" s="60">
        <f t="shared" si="10"/>
        <v>11</v>
      </c>
      <c r="T238" s="60">
        <f>MONTH(dataset_1!B:B)</f>
        <v>1</v>
      </c>
      <c r="U238" s="60">
        <f t="shared" si="11"/>
        <v>2011</v>
      </c>
      <c r="V238" s="59" t="str">
        <f>TEXT(F238/24,"H AM/PM")</f>
        <v>5 AM</v>
      </c>
      <c r="W238" s="59" t="str">
        <f>IF(H238=6,"Saturday",IF(H238=0,"Sunday",IF(H238=1,"Monday",IF(H238=2,"Tuesday",IF(H238=3,"Wednesday",IF(H238=4,"Thursday",IF(H238=5,"Friday")))))))</f>
        <v>Tuesday</v>
      </c>
      <c r="X238" s="59" t="str">
        <f>IF(G238=FALSE,"Working day", IF(G238=TRUE,"Holiday"))</f>
        <v>Working day</v>
      </c>
    </row>
    <row r="239" spans="1:24" x14ac:dyDescent="0.25">
      <c r="A239" s="32">
        <v>238</v>
      </c>
      <c r="B239" s="33">
        <v>40554</v>
      </c>
      <c r="C239" s="26">
        <v>1</v>
      </c>
      <c r="D239" s="26">
        <v>0</v>
      </c>
      <c r="E239" s="26">
        <v>1</v>
      </c>
      <c r="F239" s="26">
        <v>6</v>
      </c>
      <c r="G239" s="26" t="b">
        <v>0</v>
      </c>
      <c r="H239" s="26">
        <v>2</v>
      </c>
      <c r="I239" s="26">
        <v>2</v>
      </c>
      <c r="J239" s="26">
        <v>0.16</v>
      </c>
      <c r="K239" s="26">
        <v>0.2273</v>
      </c>
      <c r="L239" s="26">
        <v>0.55000000000000004</v>
      </c>
      <c r="M239">
        <v>0.1343</v>
      </c>
      <c r="N239" s="26">
        <v>0</v>
      </c>
      <c r="O239" s="26">
        <v>27</v>
      </c>
      <c r="P239" s="26">
        <v>27</v>
      </c>
      <c r="Q239" s="34" t="str">
        <f t="shared" si="9"/>
        <v>Cloudy</v>
      </c>
      <c r="R239" s="41" t="str">
        <f>IF(I239=1,"Normal",IF(I239=2,"Yellow Alert",IF(I239=3,"Orange Alert",IF(I239=4,"Red Alert"))))</f>
        <v>Yellow Alert</v>
      </c>
      <c r="S239" s="60">
        <f t="shared" si="10"/>
        <v>11</v>
      </c>
      <c r="T239" s="60">
        <f>MONTH(dataset_1!B:B)</f>
        <v>1</v>
      </c>
      <c r="U239" s="60">
        <f t="shared" si="11"/>
        <v>2011</v>
      </c>
      <c r="V239" s="59" t="str">
        <f>TEXT(F239/24,"H AM/PM")</f>
        <v>6 AM</v>
      </c>
      <c r="W239" s="59" t="str">
        <f>IF(H239=6,"Saturday",IF(H239=0,"Sunday",IF(H239=1,"Monday",IF(H239=2,"Tuesday",IF(H239=3,"Wednesday",IF(H239=4,"Thursday",IF(H239=5,"Friday")))))))</f>
        <v>Tuesday</v>
      </c>
      <c r="X239" s="59" t="str">
        <f>IF(G239=FALSE,"Working day", IF(G239=TRUE,"Holiday"))</f>
        <v>Working day</v>
      </c>
    </row>
    <row r="240" spans="1:24" x14ac:dyDescent="0.25">
      <c r="A240" s="32">
        <v>239</v>
      </c>
      <c r="B240" s="33">
        <v>40554</v>
      </c>
      <c r="C240" s="26">
        <v>1</v>
      </c>
      <c r="D240" s="26">
        <v>0</v>
      </c>
      <c r="E240" s="26">
        <v>1</v>
      </c>
      <c r="F240" s="26">
        <v>7</v>
      </c>
      <c r="G240" s="26" t="b">
        <v>0</v>
      </c>
      <c r="H240" s="26">
        <v>2</v>
      </c>
      <c r="I240" s="26">
        <v>2</v>
      </c>
      <c r="J240" s="26">
        <v>0.16</v>
      </c>
      <c r="K240" s="26">
        <v>0.21210000000000001</v>
      </c>
      <c r="L240" s="26">
        <v>0.55000000000000004</v>
      </c>
      <c r="M240">
        <v>0</v>
      </c>
      <c r="N240" s="26">
        <v>2</v>
      </c>
      <c r="O240" s="26">
        <v>97</v>
      </c>
      <c r="P240" s="26">
        <v>99</v>
      </c>
      <c r="Q240" s="34" t="str">
        <f t="shared" si="9"/>
        <v>Cloudy</v>
      </c>
      <c r="R240" s="41" t="str">
        <f>IF(I240=1,"Normal",IF(I240=2,"Yellow Alert",IF(I240=3,"Orange Alert",IF(I240=4,"Red Alert"))))</f>
        <v>Yellow Alert</v>
      </c>
      <c r="S240" s="60">
        <f t="shared" si="10"/>
        <v>11</v>
      </c>
      <c r="T240" s="60">
        <f>MONTH(dataset_1!B:B)</f>
        <v>1</v>
      </c>
      <c r="U240" s="60">
        <f t="shared" si="11"/>
        <v>2011</v>
      </c>
      <c r="V240" s="59" t="str">
        <f>TEXT(F240/24,"H AM/PM")</f>
        <v>7 AM</v>
      </c>
      <c r="W240" s="59" t="str">
        <f>IF(H240=6,"Saturday",IF(H240=0,"Sunday",IF(H240=1,"Monday",IF(H240=2,"Tuesday",IF(H240=3,"Wednesday",IF(H240=4,"Thursday",IF(H240=5,"Friday")))))))</f>
        <v>Tuesday</v>
      </c>
      <c r="X240" s="59" t="str">
        <f>IF(G240=FALSE,"Working day", IF(G240=TRUE,"Holiday"))</f>
        <v>Working day</v>
      </c>
    </row>
    <row r="241" spans="1:24" x14ac:dyDescent="0.25">
      <c r="A241" s="32">
        <v>240</v>
      </c>
      <c r="B241" s="33">
        <v>40554</v>
      </c>
      <c r="C241" s="26">
        <v>1</v>
      </c>
      <c r="D241" s="26">
        <v>0</v>
      </c>
      <c r="E241" s="26">
        <v>1</v>
      </c>
      <c r="F241" s="26">
        <v>8</v>
      </c>
      <c r="G241" s="26" t="b">
        <v>0</v>
      </c>
      <c r="H241" s="26">
        <v>2</v>
      </c>
      <c r="I241" s="26">
        <v>2</v>
      </c>
      <c r="J241" s="26">
        <v>0.18</v>
      </c>
      <c r="K241" s="26">
        <v>0.19700000000000001</v>
      </c>
      <c r="L241" s="26">
        <v>0.51</v>
      </c>
      <c r="M241">
        <v>8.9599999999999999E-2</v>
      </c>
      <c r="N241" s="26">
        <v>3</v>
      </c>
      <c r="O241" s="26">
        <v>214</v>
      </c>
      <c r="P241" s="26">
        <v>217</v>
      </c>
      <c r="Q241" s="34" t="str">
        <f t="shared" si="9"/>
        <v>Cloudy</v>
      </c>
      <c r="R241" s="41" t="str">
        <f>IF(I241=1,"Normal",IF(I241=2,"Yellow Alert",IF(I241=3,"Orange Alert",IF(I241=4,"Red Alert"))))</f>
        <v>Yellow Alert</v>
      </c>
      <c r="S241" s="60">
        <f t="shared" si="10"/>
        <v>11</v>
      </c>
      <c r="T241" s="60">
        <f>MONTH(dataset_1!B:B)</f>
        <v>1</v>
      </c>
      <c r="U241" s="60">
        <f t="shared" si="11"/>
        <v>2011</v>
      </c>
      <c r="V241" s="59" t="str">
        <f>TEXT(F241/24,"H AM/PM")</f>
        <v>8 AM</v>
      </c>
      <c r="W241" s="59" t="str">
        <f>IF(H241=6,"Saturday",IF(H241=0,"Sunday",IF(H241=1,"Monday",IF(H241=2,"Tuesday",IF(H241=3,"Wednesday",IF(H241=4,"Thursday",IF(H241=5,"Friday")))))))</f>
        <v>Tuesday</v>
      </c>
      <c r="X241" s="59" t="str">
        <f>IF(G241=FALSE,"Working day", IF(G241=TRUE,"Holiday"))</f>
        <v>Working day</v>
      </c>
    </row>
    <row r="242" spans="1:24" x14ac:dyDescent="0.25">
      <c r="A242" s="32">
        <v>241</v>
      </c>
      <c r="B242" s="33">
        <v>40554</v>
      </c>
      <c r="C242" s="26">
        <v>1</v>
      </c>
      <c r="D242" s="26">
        <v>0</v>
      </c>
      <c r="E242" s="26">
        <v>1</v>
      </c>
      <c r="F242" s="26">
        <v>9</v>
      </c>
      <c r="G242" s="26" t="b">
        <v>0</v>
      </c>
      <c r="H242" s="26">
        <v>2</v>
      </c>
      <c r="I242" s="26">
        <v>2</v>
      </c>
      <c r="J242" s="26">
        <v>0.18</v>
      </c>
      <c r="K242" s="26">
        <v>0.21210000000000001</v>
      </c>
      <c r="L242" s="26">
        <v>0.51</v>
      </c>
      <c r="M242">
        <v>0.16420000000000001</v>
      </c>
      <c r="N242" s="26">
        <v>3</v>
      </c>
      <c r="O242" s="26">
        <v>127</v>
      </c>
      <c r="P242" s="26">
        <v>130</v>
      </c>
      <c r="Q242" s="34" t="str">
        <f t="shared" si="9"/>
        <v>Cloudy</v>
      </c>
      <c r="R242" s="41" t="str">
        <f>IF(I242=1,"Normal",IF(I242=2,"Yellow Alert",IF(I242=3,"Orange Alert",IF(I242=4,"Red Alert"))))</f>
        <v>Yellow Alert</v>
      </c>
      <c r="S242" s="60">
        <f t="shared" si="10"/>
        <v>11</v>
      </c>
      <c r="T242" s="60">
        <f>MONTH(dataset_1!B:B)</f>
        <v>1</v>
      </c>
      <c r="U242" s="60">
        <f t="shared" si="11"/>
        <v>2011</v>
      </c>
      <c r="V242" s="59" t="str">
        <f>TEXT(F242/24,"H AM/PM")</f>
        <v>9 AM</v>
      </c>
      <c r="W242" s="59" t="str">
        <f>IF(H242=6,"Saturday",IF(H242=0,"Sunday",IF(H242=1,"Monday",IF(H242=2,"Tuesday",IF(H242=3,"Wednesday",IF(H242=4,"Thursday",IF(H242=5,"Friday")))))))</f>
        <v>Tuesday</v>
      </c>
      <c r="X242" s="59" t="str">
        <f>IF(G242=FALSE,"Working day", IF(G242=TRUE,"Holiday"))</f>
        <v>Working day</v>
      </c>
    </row>
    <row r="243" spans="1:24" x14ac:dyDescent="0.25">
      <c r="A243" s="32">
        <v>242</v>
      </c>
      <c r="B243" s="33">
        <v>40554</v>
      </c>
      <c r="C243" s="26">
        <v>1</v>
      </c>
      <c r="D243" s="26">
        <v>0</v>
      </c>
      <c r="E243" s="26">
        <v>1</v>
      </c>
      <c r="F243" s="26">
        <v>10</v>
      </c>
      <c r="G243" s="26" t="b">
        <v>0</v>
      </c>
      <c r="H243" s="26">
        <v>2</v>
      </c>
      <c r="I243" s="26">
        <v>2</v>
      </c>
      <c r="J243" s="26">
        <v>0.2</v>
      </c>
      <c r="K243" s="26">
        <v>0.21210000000000001</v>
      </c>
      <c r="L243" s="26">
        <v>0.51</v>
      </c>
      <c r="M243">
        <v>0.16420000000000001</v>
      </c>
      <c r="N243" s="26">
        <v>3</v>
      </c>
      <c r="O243" s="26">
        <v>51</v>
      </c>
      <c r="P243" s="26">
        <v>54</v>
      </c>
      <c r="Q243" s="34" t="str">
        <f t="shared" si="9"/>
        <v>Cloudy</v>
      </c>
      <c r="R243" s="41" t="str">
        <f>IF(I243=1,"Normal",IF(I243=2,"Yellow Alert",IF(I243=3,"Orange Alert",IF(I243=4,"Red Alert"))))</f>
        <v>Yellow Alert</v>
      </c>
      <c r="S243" s="60">
        <f t="shared" si="10"/>
        <v>11</v>
      </c>
      <c r="T243" s="60">
        <f>MONTH(dataset_1!B:B)</f>
        <v>1</v>
      </c>
      <c r="U243" s="60">
        <f t="shared" si="11"/>
        <v>2011</v>
      </c>
      <c r="V243" s="59" t="str">
        <f>TEXT(F243/24,"H AM/PM")</f>
        <v>10 AM</v>
      </c>
      <c r="W243" s="59" t="str">
        <f>IF(H243=6,"Saturday",IF(H243=0,"Sunday",IF(H243=1,"Monday",IF(H243=2,"Tuesday",IF(H243=3,"Wednesday",IF(H243=4,"Thursday",IF(H243=5,"Friday")))))))</f>
        <v>Tuesday</v>
      </c>
      <c r="X243" s="59" t="str">
        <f>IF(G243=FALSE,"Working day", IF(G243=TRUE,"Holiday"))</f>
        <v>Working day</v>
      </c>
    </row>
    <row r="244" spans="1:24" x14ac:dyDescent="0.25">
      <c r="A244" s="32">
        <v>243</v>
      </c>
      <c r="B244" s="33">
        <v>40554</v>
      </c>
      <c r="C244" s="26">
        <v>1</v>
      </c>
      <c r="D244" s="26">
        <v>0</v>
      </c>
      <c r="E244" s="26">
        <v>1</v>
      </c>
      <c r="F244" s="26">
        <v>11</v>
      </c>
      <c r="G244" s="26" t="b">
        <v>0</v>
      </c>
      <c r="H244" s="26">
        <v>2</v>
      </c>
      <c r="I244" s="26">
        <v>2</v>
      </c>
      <c r="J244" s="26">
        <v>0.2</v>
      </c>
      <c r="K244" s="26">
        <v>0.2273</v>
      </c>
      <c r="L244" s="26">
        <v>0.47</v>
      </c>
      <c r="M244">
        <v>0.1343</v>
      </c>
      <c r="N244" s="26">
        <v>4</v>
      </c>
      <c r="O244" s="26">
        <v>31</v>
      </c>
      <c r="P244" s="26">
        <v>35</v>
      </c>
      <c r="Q244" s="34" t="str">
        <f t="shared" si="9"/>
        <v>Cloudy</v>
      </c>
      <c r="R244" s="41" t="str">
        <f>IF(I244=1,"Normal",IF(I244=2,"Yellow Alert",IF(I244=3,"Orange Alert",IF(I244=4,"Red Alert"))))</f>
        <v>Yellow Alert</v>
      </c>
      <c r="S244" s="60">
        <f t="shared" si="10"/>
        <v>11</v>
      </c>
      <c r="T244" s="60">
        <f>MONTH(dataset_1!B:B)</f>
        <v>1</v>
      </c>
      <c r="U244" s="60">
        <f t="shared" si="11"/>
        <v>2011</v>
      </c>
      <c r="V244" s="59" t="str">
        <f>TEXT(F244/24,"H AM/PM")</f>
        <v>11 AM</v>
      </c>
      <c r="W244" s="59" t="str">
        <f>IF(H244=6,"Saturday",IF(H244=0,"Sunday",IF(H244=1,"Monday",IF(H244=2,"Tuesday",IF(H244=3,"Wednesday",IF(H244=4,"Thursday",IF(H244=5,"Friday")))))))</f>
        <v>Tuesday</v>
      </c>
      <c r="X244" s="59" t="str">
        <f>IF(G244=FALSE,"Working day", IF(G244=TRUE,"Holiday"))</f>
        <v>Working day</v>
      </c>
    </row>
    <row r="245" spans="1:24" x14ac:dyDescent="0.25">
      <c r="A245" s="32">
        <v>244</v>
      </c>
      <c r="B245" s="33">
        <v>40554</v>
      </c>
      <c r="C245" s="26">
        <v>1</v>
      </c>
      <c r="D245" s="26">
        <v>0</v>
      </c>
      <c r="E245" s="26">
        <v>1</v>
      </c>
      <c r="F245" s="26">
        <v>12</v>
      </c>
      <c r="G245" s="26" t="b">
        <v>0</v>
      </c>
      <c r="H245" s="26">
        <v>2</v>
      </c>
      <c r="I245" s="26">
        <v>2</v>
      </c>
      <c r="J245" s="26">
        <v>0.2</v>
      </c>
      <c r="K245" s="26">
        <v>0.2273</v>
      </c>
      <c r="L245" s="26">
        <v>0.51</v>
      </c>
      <c r="M245">
        <v>0.1045</v>
      </c>
      <c r="N245" s="26">
        <v>2</v>
      </c>
      <c r="O245" s="26">
        <v>55</v>
      </c>
      <c r="P245" s="26">
        <v>57</v>
      </c>
      <c r="Q245" s="34" t="str">
        <f t="shared" si="9"/>
        <v>Cloudy</v>
      </c>
      <c r="R245" s="41" t="str">
        <f>IF(I245=1,"Normal",IF(I245=2,"Yellow Alert",IF(I245=3,"Orange Alert",IF(I245=4,"Red Alert"))))</f>
        <v>Yellow Alert</v>
      </c>
      <c r="S245" s="60">
        <f t="shared" si="10"/>
        <v>11</v>
      </c>
      <c r="T245" s="60">
        <f>MONTH(dataset_1!B:B)</f>
        <v>1</v>
      </c>
      <c r="U245" s="60">
        <f t="shared" si="11"/>
        <v>2011</v>
      </c>
      <c r="V245" s="59" t="str">
        <f>TEXT(F245/24,"H AM/PM")</f>
        <v>12 PM</v>
      </c>
      <c r="W245" s="59" t="str">
        <f>IF(H245=6,"Saturday",IF(H245=0,"Sunday",IF(H245=1,"Monday",IF(H245=2,"Tuesday",IF(H245=3,"Wednesday",IF(H245=4,"Thursday",IF(H245=5,"Friday")))))))</f>
        <v>Tuesday</v>
      </c>
      <c r="X245" s="59" t="str">
        <f>IF(G245=FALSE,"Working day", IF(G245=TRUE,"Holiday"))</f>
        <v>Working day</v>
      </c>
    </row>
    <row r="246" spans="1:24" x14ac:dyDescent="0.25">
      <c r="A246" s="32">
        <v>245</v>
      </c>
      <c r="B246" s="33">
        <v>40554</v>
      </c>
      <c r="C246" s="26">
        <v>1</v>
      </c>
      <c r="D246" s="26">
        <v>0</v>
      </c>
      <c r="E246" s="26">
        <v>1</v>
      </c>
      <c r="F246" s="26">
        <v>13</v>
      </c>
      <c r="G246" s="26" t="b">
        <v>0</v>
      </c>
      <c r="H246" s="26">
        <v>2</v>
      </c>
      <c r="I246" s="26">
        <v>2</v>
      </c>
      <c r="J246" s="26">
        <v>0.2</v>
      </c>
      <c r="K246" s="26">
        <v>0.2273</v>
      </c>
      <c r="L246" s="26">
        <v>0.59</v>
      </c>
      <c r="M246">
        <v>8.9599999999999999E-2</v>
      </c>
      <c r="N246" s="26">
        <v>6</v>
      </c>
      <c r="O246" s="26">
        <v>46</v>
      </c>
      <c r="P246" s="26">
        <v>52</v>
      </c>
      <c r="Q246" s="34" t="str">
        <f t="shared" si="9"/>
        <v>Cloudy</v>
      </c>
      <c r="R246" s="41" t="str">
        <f>IF(I246=1,"Normal",IF(I246=2,"Yellow Alert",IF(I246=3,"Orange Alert",IF(I246=4,"Red Alert"))))</f>
        <v>Yellow Alert</v>
      </c>
      <c r="S246" s="60">
        <f t="shared" si="10"/>
        <v>11</v>
      </c>
      <c r="T246" s="60">
        <f>MONTH(dataset_1!B:B)</f>
        <v>1</v>
      </c>
      <c r="U246" s="60">
        <f t="shared" si="11"/>
        <v>2011</v>
      </c>
      <c r="V246" s="59" t="str">
        <f>TEXT(F246/24,"H AM/PM")</f>
        <v>1 PM</v>
      </c>
      <c r="W246" s="59" t="str">
        <f>IF(H246=6,"Saturday",IF(H246=0,"Sunday",IF(H246=1,"Monday",IF(H246=2,"Tuesday",IF(H246=3,"Wednesday",IF(H246=4,"Thursday",IF(H246=5,"Friday")))))))</f>
        <v>Tuesday</v>
      </c>
      <c r="X246" s="59" t="str">
        <f>IF(G246=FALSE,"Working day", IF(G246=TRUE,"Holiday"))</f>
        <v>Working day</v>
      </c>
    </row>
    <row r="247" spans="1:24" x14ac:dyDescent="0.25">
      <c r="A247" s="32">
        <v>246</v>
      </c>
      <c r="B247" s="33">
        <v>40554</v>
      </c>
      <c r="C247" s="26">
        <v>1</v>
      </c>
      <c r="D247" s="26">
        <v>0</v>
      </c>
      <c r="E247" s="26">
        <v>1</v>
      </c>
      <c r="F247" s="26">
        <v>14</v>
      </c>
      <c r="G247" s="26" t="b">
        <v>0</v>
      </c>
      <c r="H247" s="26">
        <v>2</v>
      </c>
      <c r="I247" s="26">
        <v>2</v>
      </c>
      <c r="J247" s="26">
        <v>0.2</v>
      </c>
      <c r="K247" s="26">
        <v>0.19700000000000001</v>
      </c>
      <c r="L247" s="26">
        <v>0.59</v>
      </c>
      <c r="M247">
        <v>8.9599999999999999E-2</v>
      </c>
      <c r="N247" s="26">
        <v>3</v>
      </c>
      <c r="O247" s="26">
        <v>60</v>
      </c>
      <c r="P247" s="26">
        <v>63</v>
      </c>
      <c r="Q247" s="34" t="str">
        <f t="shared" si="9"/>
        <v>Cloudy</v>
      </c>
      <c r="R247" s="41" t="str">
        <f>IF(I247=1,"Normal",IF(I247=2,"Yellow Alert",IF(I247=3,"Orange Alert",IF(I247=4,"Red Alert"))))</f>
        <v>Yellow Alert</v>
      </c>
      <c r="S247" s="60">
        <f t="shared" si="10"/>
        <v>11</v>
      </c>
      <c r="T247" s="60">
        <f>MONTH(dataset_1!B:B)</f>
        <v>1</v>
      </c>
      <c r="U247" s="60">
        <f t="shared" si="11"/>
        <v>2011</v>
      </c>
      <c r="V247" s="59" t="str">
        <f>TEXT(F247/24,"H AM/PM")</f>
        <v>2 PM</v>
      </c>
      <c r="W247" s="59" t="str">
        <f>IF(H247=6,"Saturday",IF(H247=0,"Sunday",IF(H247=1,"Monday",IF(H247=2,"Tuesday",IF(H247=3,"Wednesday",IF(H247=4,"Thursday",IF(H247=5,"Friday")))))))</f>
        <v>Tuesday</v>
      </c>
      <c r="X247" s="59" t="str">
        <f>IF(G247=FALSE,"Working day", IF(G247=TRUE,"Holiday"))</f>
        <v>Working day</v>
      </c>
    </row>
    <row r="248" spans="1:24" x14ac:dyDescent="0.25">
      <c r="A248" s="32">
        <v>247</v>
      </c>
      <c r="B248" s="33">
        <v>40554</v>
      </c>
      <c r="C248" s="26">
        <v>1</v>
      </c>
      <c r="D248" s="26">
        <v>0</v>
      </c>
      <c r="E248" s="26">
        <v>1</v>
      </c>
      <c r="F248" s="26">
        <v>15</v>
      </c>
      <c r="G248" s="26" t="b">
        <v>0</v>
      </c>
      <c r="H248" s="26">
        <v>2</v>
      </c>
      <c r="I248" s="26">
        <v>2</v>
      </c>
      <c r="J248" s="26">
        <v>0.16</v>
      </c>
      <c r="K248" s="26">
        <v>0.1515</v>
      </c>
      <c r="L248" s="26">
        <v>0.8</v>
      </c>
      <c r="M248">
        <v>8.9599999999999999E-2</v>
      </c>
      <c r="N248" s="26">
        <v>2</v>
      </c>
      <c r="O248" s="26">
        <v>45</v>
      </c>
      <c r="P248" s="26">
        <v>47</v>
      </c>
      <c r="Q248" s="34" t="str">
        <f t="shared" si="9"/>
        <v>Cloudy</v>
      </c>
      <c r="R248" s="41" t="str">
        <f>IF(I248=1,"Normal",IF(I248=2,"Yellow Alert",IF(I248=3,"Orange Alert",IF(I248=4,"Red Alert"))))</f>
        <v>Yellow Alert</v>
      </c>
      <c r="S248" s="60">
        <f t="shared" si="10"/>
        <v>11</v>
      </c>
      <c r="T248" s="60">
        <f>MONTH(dataset_1!B:B)</f>
        <v>1</v>
      </c>
      <c r="U248" s="60">
        <f t="shared" si="11"/>
        <v>2011</v>
      </c>
      <c r="V248" s="59" t="str">
        <f>TEXT(F248/24,"H AM/PM")</f>
        <v>3 PM</v>
      </c>
      <c r="W248" s="59" t="str">
        <f>IF(H248=6,"Saturday",IF(H248=0,"Sunday",IF(H248=1,"Monday",IF(H248=2,"Tuesday",IF(H248=3,"Wednesday",IF(H248=4,"Thursday",IF(H248=5,"Friday")))))))</f>
        <v>Tuesday</v>
      </c>
      <c r="X248" s="59" t="str">
        <f>IF(G248=FALSE,"Working day", IF(G248=TRUE,"Holiday"))</f>
        <v>Working day</v>
      </c>
    </row>
    <row r="249" spans="1:24" x14ac:dyDescent="0.25">
      <c r="A249" s="32">
        <v>248</v>
      </c>
      <c r="B249" s="33">
        <v>40554</v>
      </c>
      <c r="C249" s="26">
        <v>1</v>
      </c>
      <c r="D249" s="26">
        <v>0</v>
      </c>
      <c r="E249" s="26">
        <v>1</v>
      </c>
      <c r="F249" s="26">
        <v>16</v>
      </c>
      <c r="G249" s="26" t="b">
        <v>0</v>
      </c>
      <c r="H249" s="26">
        <v>2</v>
      </c>
      <c r="I249" s="26">
        <v>2</v>
      </c>
      <c r="J249" s="26">
        <v>0.16</v>
      </c>
      <c r="K249" s="26">
        <v>0.1515</v>
      </c>
      <c r="L249" s="26">
        <v>0.86</v>
      </c>
      <c r="M249">
        <v>0.22389999999999999</v>
      </c>
      <c r="N249" s="26">
        <v>4</v>
      </c>
      <c r="O249" s="26">
        <v>72</v>
      </c>
      <c r="P249" s="26">
        <v>76</v>
      </c>
      <c r="Q249" s="34" t="str">
        <f t="shared" si="9"/>
        <v>Cloudy</v>
      </c>
      <c r="R249" s="41" t="str">
        <f>IF(I249=1,"Normal",IF(I249=2,"Yellow Alert",IF(I249=3,"Orange Alert",IF(I249=4,"Red Alert"))))</f>
        <v>Yellow Alert</v>
      </c>
      <c r="S249" s="60">
        <f t="shared" si="10"/>
        <v>11</v>
      </c>
      <c r="T249" s="60">
        <f>MONTH(dataset_1!B:B)</f>
        <v>1</v>
      </c>
      <c r="U249" s="60">
        <f t="shared" si="11"/>
        <v>2011</v>
      </c>
      <c r="V249" s="59" t="str">
        <f>TEXT(F249/24,"H AM/PM")</f>
        <v>4 PM</v>
      </c>
      <c r="W249" s="59" t="str">
        <f>IF(H249=6,"Saturday",IF(H249=0,"Sunday",IF(H249=1,"Monday",IF(H249=2,"Tuesday",IF(H249=3,"Wednesday",IF(H249=4,"Thursday",IF(H249=5,"Friday")))))))</f>
        <v>Tuesday</v>
      </c>
      <c r="X249" s="59" t="str">
        <f>IF(G249=FALSE,"Working day", IF(G249=TRUE,"Holiday"))</f>
        <v>Working day</v>
      </c>
    </row>
    <row r="250" spans="1:24" x14ac:dyDescent="0.25">
      <c r="A250" s="32">
        <v>249</v>
      </c>
      <c r="B250" s="33">
        <v>40554</v>
      </c>
      <c r="C250" s="26">
        <v>1</v>
      </c>
      <c r="D250" s="26">
        <v>0</v>
      </c>
      <c r="E250" s="26">
        <v>1</v>
      </c>
      <c r="F250" s="26">
        <v>17</v>
      </c>
      <c r="G250" s="26" t="b">
        <v>0</v>
      </c>
      <c r="H250" s="26">
        <v>2</v>
      </c>
      <c r="I250" s="26">
        <v>2</v>
      </c>
      <c r="J250" s="26">
        <v>0.16</v>
      </c>
      <c r="K250" s="26">
        <v>0.18179999999999999</v>
      </c>
      <c r="L250" s="26">
        <v>0.86</v>
      </c>
      <c r="M250">
        <v>0.22389999999999999</v>
      </c>
      <c r="N250" s="26">
        <v>6</v>
      </c>
      <c r="O250" s="26">
        <v>130</v>
      </c>
      <c r="P250" s="26">
        <v>136</v>
      </c>
      <c r="Q250" s="34" t="str">
        <f t="shared" si="9"/>
        <v>Cloudy</v>
      </c>
      <c r="R250" s="41" t="str">
        <f>IF(I250=1,"Normal",IF(I250=2,"Yellow Alert",IF(I250=3,"Orange Alert",IF(I250=4,"Red Alert"))))</f>
        <v>Yellow Alert</v>
      </c>
      <c r="S250" s="60">
        <f t="shared" si="10"/>
        <v>11</v>
      </c>
      <c r="T250" s="60">
        <f>MONTH(dataset_1!B:B)</f>
        <v>1</v>
      </c>
      <c r="U250" s="60">
        <f t="shared" si="11"/>
        <v>2011</v>
      </c>
      <c r="V250" s="59" t="str">
        <f>TEXT(F250/24,"H AM/PM")</f>
        <v>5 PM</v>
      </c>
      <c r="W250" s="59" t="str">
        <f>IF(H250=6,"Saturday",IF(H250=0,"Sunday",IF(H250=1,"Monday",IF(H250=2,"Tuesday",IF(H250=3,"Wednesday",IF(H250=4,"Thursday",IF(H250=5,"Friday")))))))</f>
        <v>Tuesday</v>
      </c>
      <c r="X250" s="59" t="str">
        <f>IF(G250=FALSE,"Working day", IF(G250=TRUE,"Holiday"))</f>
        <v>Working day</v>
      </c>
    </row>
    <row r="251" spans="1:24" x14ac:dyDescent="0.25">
      <c r="A251" s="32">
        <v>250</v>
      </c>
      <c r="B251" s="33">
        <v>40554</v>
      </c>
      <c r="C251" s="26">
        <v>1</v>
      </c>
      <c r="D251" s="26">
        <v>0</v>
      </c>
      <c r="E251" s="26">
        <v>1</v>
      </c>
      <c r="F251" s="26">
        <v>18</v>
      </c>
      <c r="G251" s="26" t="b">
        <v>0</v>
      </c>
      <c r="H251" s="26">
        <v>2</v>
      </c>
      <c r="I251" s="26">
        <v>3</v>
      </c>
      <c r="J251" s="26">
        <v>0.16</v>
      </c>
      <c r="K251" s="26">
        <v>0.2273</v>
      </c>
      <c r="L251" s="26">
        <v>0.93</v>
      </c>
      <c r="M251">
        <v>0.1045</v>
      </c>
      <c r="N251" s="26">
        <v>1</v>
      </c>
      <c r="O251" s="26">
        <v>94</v>
      </c>
      <c r="P251" s="26">
        <v>95</v>
      </c>
      <c r="Q251" s="34" t="str">
        <f t="shared" si="9"/>
        <v>Light Rain</v>
      </c>
      <c r="R251" s="41" t="str">
        <f>IF(I251=1,"Normal",IF(I251=2,"Yellow Alert",IF(I251=3,"Orange Alert",IF(I251=4,"Red Alert"))))</f>
        <v>Orange Alert</v>
      </c>
      <c r="S251" s="60">
        <f t="shared" si="10"/>
        <v>11</v>
      </c>
      <c r="T251" s="60">
        <f>MONTH(dataset_1!B:B)</f>
        <v>1</v>
      </c>
      <c r="U251" s="60">
        <f t="shared" si="11"/>
        <v>2011</v>
      </c>
      <c r="V251" s="59" t="str">
        <f>TEXT(F251/24,"H AM/PM")</f>
        <v>6 PM</v>
      </c>
      <c r="W251" s="59" t="str">
        <f>IF(H251=6,"Saturday",IF(H251=0,"Sunday",IF(H251=1,"Monday",IF(H251=2,"Tuesday",IF(H251=3,"Wednesday",IF(H251=4,"Thursday",IF(H251=5,"Friday")))))))</f>
        <v>Tuesday</v>
      </c>
      <c r="X251" s="59" t="str">
        <f>IF(G251=FALSE,"Working day", IF(G251=TRUE,"Holiday"))</f>
        <v>Working day</v>
      </c>
    </row>
    <row r="252" spans="1:24" x14ac:dyDescent="0.25">
      <c r="A252" s="32">
        <v>251</v>
      </c>
      <c r="B252" s="33">
        <v>40554</v>
      </c>
      <c r="C252" s="26">
        <v>1</v>
      </c>
      <c r="D252" s="26">
        <v>0</v>
      </c>
      <c r="E252" s="26">
        <v>1</v>
      </c>
      <c r="F252" s="26">
        <v>19</v>
      </c>
      <c r="G252" s="26" t="b">
        <v>0</v>
      </c>
      <c r="H252" s="26">
        <v>2</v>
      </c>
      <c r="I252" s="26">
        <v>3</v>
      </c>
      <c r="J252" s="26">
        <v>0.16</v>
      </c>
      <c r="K252" s="26">
        <v>0.1515</v>
      </c>
      <c r="L252" s="26">
        <v>0.93</v>
      </c>
      <c r="M252">
        <v>0</v>
      </c>
      <c r="N252" s="26">
        <v>0</v>
      </c>
      <c r="O252" s="26">
        <v>51</v>
      </c>
      <c r="P252" s="26">
        <v>51</v>
      </c>
      <c r="Q252" s="34" t="str">
        <f t="shared" si="9"/>
        <v>Light Rain</v>
      </c>
      <c r="R252" s="41" t="str">
        <f>IF(I252=1,"Normal",IF(I252=2,"Yellow Alert",IF(I252=3,"Orange Alert",IF(I252=4,"Red Alert"))))</f>
        <v>Orange Alert</v>
      </c>
      <c r="S252" s="60">
        <f t="shared" si="10"/>
        <v>11</v>
      </c>
      <c r="T252" s="60">
        <f>MONTH(dataset_1!B:B)</f>
        <v>1</v>
      </c>
      <c r="U252" s="60">
        <f t="shared" si="11"/>
        <v>2011</v>
      </c>
      <c r="V252" s="59" t="str">
        <f>TEXT(F252/24,"H AM/PM")</f>
        <v>7 PM</v>
      </c>
      <c r="W252" s="59" t="str">
        <f>IF(H252=6,"Saturday",IF(H252=0,"Sunday",IF(H252=1,"Monday",IF(H252=2,"Tuesday",IF(H252=3,"Wednesday",IF(H252=4,"Thursday",IF(H252=5,"Friday")))))))</f>
        <v>Tuesday</v>
      </c>
      <c r="X252" s="59" t="str">
        <f>IF(G252=FALSE,"Working day", IF(G252=TRUE,"Holiday"))</f>
        <v>Working day</v>
      </c>
    </row>
    <row r="253" spans="1:24" x14ac:dyDescent="0.25">
      <c r="A253" s="32">
        <v>252</v>
      </c>
      <c r="B253" s="33">
        <v>40554</v>
      </c>
      <c r="C253" s="26">
        <v>1</v>
      </c>
      <c r="D253" s="26">
        <v>0</v>
      </c>
      <c r="E253" s="26">
        <v>1</v>
      </c>
      <c r="F253" s="26">
        <v>20</v>
      </c>
      <c r="G253" s="26" t="b">
        <v>0</v>
      </c>
      <c r="H253" s="26">
        <v>2</v>
      </c>
      <c r="I253" s="26">
        <v>3</v>
      </c>
      <c r="J253" s="26">
        <v>0.16</v>
      </c>
      <c r="K253" s="26">
        <v>0.19700000000000001</v>
      </c>
      <c r="L253" s="26">
        <v>0.93</v>
      </c>
      <c r="M253">
        <v>0.19400000000000001</v>
      </c>
      <c r="N253" s="26">
        <v>0</v>
      </c>
      <c r="O253" s="26">
        <v>32</v>
      </c>
      <c r="P253" s="26">
        <v>32</v>
      </c>
      <c r="Q253" s="34" t="str">
        <f t="shared" si="9"/>
        <v>Light Rain</v>
      </c>
      <c r="R253" s="41" t="str">
        <f>IF(I253=1,"Normal",IF(I253=2,"Yellow Alert",IF(I253=3,"Orange Alert",IF(I253=4,"Red Alert"))))</f>
        <v>Orange Alert</v>
      </c>
      <c r="S253" s="60">
        <f t="shared" si="10"/>
        <v>11</v>
      </c>
      <c r="T253" s="60">
        <f>MONTH(dataset_1!B:B)</f>
        <v>1</v>
      </c>
      <c r="U253" s="60">
        <f t="shared" si="11"/>
        <v>2011</v>
      </c>
      <c r="V253" s="59" t="str">
        <f>TEXT(F253/24,"H AM/PM")</f>
        <v>8 PM</v>
      </c>
      <c r="W253" s="59" t="str">
        <f>IF(H253=6,"Saturday",IF(H253=0,"Sunday",IF(H253=1,"Monday",IF(H253=2,"Tuesday",IF(H253=3,"Wednesday",IF(H253=4,"Thursday",IF(H253=5,"Friday")))))))</f>
        <v>Tuesday</v>
      </c>
      <c r="X253" s="59" t="str">
        <f>IF(G253=FALSE,"Working day", IF(G253=TRUE,"Holiday"))</f>
        <v>Working day</v>
      </c>
    </row>
    <row r="254" spans="1:24" x14ac:dyDescent="0.25">
      <c r="A254" s="32">
        <v>253</v>
      </c>
      <c r="B254" s="33">
        <v>40554</v>
      </c>
      <c r="C254" s="26">
        <v>1</v>
      </c>
      <c r="D254" s="26">
        <v>0</v>
      </c>
      <c r="E254" s="26">
        <v>1</v>
      </c>
      <c r="F254" s="26">
        <v>21</v>
      </c>
      <c r="G254" s="26" t="b">
        <v>0</v>
      </c>
      <c r="H254" s="26">
        <v>2</v>
      </c>
      <c r="I254" s="26">
        <v>3</v>
      </c>
      <c r="J254" s="26">
        <v>0.16</v>
      </c>
      <c r="K254" s="26">
        <v>0.18179999999999999</v>
      </c>
      <c r="L254" s="26">
        <v>0.86</v>
      </c>
      <c r="M254">
        <v>8.9599999999999999E-2</v>
      </c>
      <c r="N254" s="26">
        <v>0</v>
      </c>
      <c r="O254" s="26">
        <v>20</v>
      </c>
      <c r="P254" s="26">
        <v>20</v>
      </c>
      <c r="Q254" s="34" t="str">
        <f t="shared" si="9"/>
        <v>Light Rain</v>
      </c>
      <c r="R254" s="41" t="str">
        <f>IF(I254=1,"Normal",IF(I254=2,"Yellow Alert",IF(I254=3,"Orange Alert",IF(I254=4,"Red Alert"))))</f>
        <v>Orange Alert</v>
      </c>
      <c r="S254" s="60">
        <f t="shared" si="10"/>
        <v>11</v>
      </c>
      <c r="T254" s="60">
        <f>MONTH(dataset_1!B:B)</f>
        <v>1</v>
      </c>
      <c r="U254" s="60">
        <f t="shared" si="11"/>
        <v>2011</v>
      </c>
      <c r="V254" s="59" t="str">
        <f>TEXT(F254/24,"H AM/PM")</f>
        <v>9 PM</v>
      </c>
      <c r="W254" s="59" t="str">
        <f>IF(H254=6,"Saturday",IF(H254=0,"Sunday",IF(H254=1,"Monday",IF(H254=2,"Tuesday",IF(H254=3,"Wednesday",IF(H254=4,"Thursday",IF(H254=5,"Friday")))))))</f>
        <v>Tuesday</v>
      </c>
      <c r="X254" s="59" t="str">
        <f>IF(G254=FALSE,"Working day", IF(G254=TRUE,"Holiday"))</f>
        <v>Working day</v>
      </c>
    </row>
    <row r="255" spans="1:24" x14ac:dyDescent="0.25">
      <c r="A255" s="32">
        <v>254</v>
      </c>
      <c r="B255" s="33">
        <v>40554</v>
      </c>
      <c r="C255" s="26">
        <v>1</v>
      </c>
      <c r="D255" s="26">
        <v>0</v>
      </c>
      <c r="E255" s="26">
        <v>1</v>
      </c>
      <c r="F255" s="26">
        <v>22</v>
      </c>
      <c r="G255" s="26" t="b">
        <v>0</v>
      </c>
      <c r="H255" s="26">
        <v>2</v>
      </c>
      <c r="I255" s="26">
        <v>3</v>
      </c>
      <c r="J255" s="26">
        <v>0.16</v>
      </c>
      <c r="K255" s="26">
        <v>0.19700000000000001</v>
      </c>
      <c r="L255" s="26">
        <v>0.93</v>
      </c>
      <c r="M255">
        <v>0.1045</v>
      </c>
      <c r="N255" s="26">
        <v>1</v>
      </c>
      <c r="O255" s="26">
        <v>28</v>
      </c>
      <c r="P255" s="26">
        <v>29</v>
      </c>
      <c r="Q255" s="34" t="str">
        <f t="shared" si="9"/>
        <v>Light Rain</v>
      </c>
      <c r="R255" s="41" t="str">
        <f>IF(I255=1,"Normal",IF(I255=2,"Yellow Alert",IF(I255=3,"Orange Alert",IF(I255=4,"Red Alert"))))</f>
        <v>Orange Alert</v>
      </c>
      <c r="S255" s="60">
        <f t="shared" si="10"/>
        <v>11</v>
      </c>
      <c r="T255" s="60">
        <f>MONTH(dataset_1!B:B)</f>
        <v>1</v>
      </c>
      <c r="U255" s="60">
        <f t="shared" si="11"/>
        <v>2011</v>
      </c>
      <c r="V255" s="59" t="str">
        <f>TEXT(F255/24,"H AM/PM")</f>
        <v>10 PM</v>
      </c>
      <c r="W255" s="59" t="str">
        <f>IF(H255=6,"Saturday",IF(H255=0,"Sunday",IF(H255=1,"Monday",IF(H255=2,"Tuesday",IF(H255=3,"Wednesday",IF(H255=4,"Thursday",IF(H255=5,"Friday")))))))</f>
        <v>Tuesday</v>
      </c>
      <c r="X255" s="59" t="str">
        <f>IF(G255=FALSE,"Working day", IF(G255=TRUE,"Holiday"))</f>
        <v>Working day</v>
      </c>
    </row>
    <row r="256" spans="1:24" x14ac:dyDescent="0.25">
      <c r="A256" s="32">
        <v>255</v>
      </c>
      <c r="B256" s="33">
        <v>40554</v>
      </c>
      <c r="C256" s="26">
        <v>1</v>
      </c>
      <c r="D256" s="26">
        <v>0</v>
      </c>
      <c r="E256" s="26">
        <v>1</v>
      </c>
      <c r="F256" s="26">
        <v>23</v>
      </c>
      <c r="G256" s="26" t="b">
        <v>0</v>
      </c>
      <c r="H256" s="26">
        <v>2</v>
      </c>
      <c r="I256" s="26">
        <v>3</v>
      </c>
      <c r="J256" s="26">
        <v>0.16</v>
      </c>
      <c r="K256" s="26">
        <v>0.19700000000000001</v>
      </c>
      <c r="L256" s="26">
        <v>0.93</v>
      </c>
      <c r="M256">
        <v>8.9599999999999999E-2</v>
      </c>
      <c r="N256" s="26">
        <v>1</v>
      </c>
      <c r="O256" s="26">
        <v>18</v>
      </c>
      <c r="P256" s="26">
        <v>19</v>
      </c>
      <c r="Q256" s="34" t="str">
        <f t="shared" si="9"/>
        <v>Light Rain</v>
      </c>
      <c r="R256" s="41" t="str">
        <f>IF(I256=1,"Normal",IF(I256=2,"Yellow Alert",IF(I256=3,"Orange Alert",IF(I256=4,"Red Alert"))))</f>
        <v>Orange Alert</v>
      </c>
      <c r="S256" s="60">
        <f t="shared" si="10"/>
        <v>11</v>
      </c>
      <c r="T256" s="60">
        <f>MONTH(dataset_1!B:B)</f>
        <v>1</v>
      </c>
      <c r="U256" s="60">
        <f t="shared" si="11"/>
        <v>2011</v>
      </c>
      <c r="V256" s="59" t="str">
        <f>TEXT(F256/24,"H AM/PM")</f>
        <v>11 PM</v>
      </c>
      <c r="W256" s="59" t="str">
        <f>IF(H256=6,"Saturday",IF(H256=0,"Sunday",IF(H256=1,"Monday",IF(H256=2,"Tuesday",IF(H256=3,"Wednesday",IF(H256=4,"Thursday",IF(H256=5,"Friday")))))))</f>
        <v>Tuesday</v>
      </c>
      <c r="X256" s="59" t="str">
        <f>IF(G256=FALSE,"Working day", IF(G256=TRUE,"Holiday"))</f>
        <v>Working day</v>
      </c>
    </row>
    <row r="257" spans="1:24" x14ac:dyDescent="0.25">
      <c r="A257" s="32">
        <v>256</v>
      </c>
      <c r="B257" s="33">
        <v>40555</v>
      </c>
      <c r="C257" s="26">
        <v>1</v>
      </c>
      <c r="D257" s="26">
        <v>0</v>
      </c>
      <c r="E257" s="26">
        <v>1</v>
      </c>
      <c r="F257" s="26">
        <v>0</v>
      </c>
      <c r="G257" s="26" t="b">
        <v>0</v>
      </c>
      <c r="H257" s="26">
        <v>3</v>
      </c>
      <c r="I257" s="26">
        <v>2</v>
      </c>
      <c r="J257" s="26">
        <v>0.16</v>
      </c>
      <c r="K257" s="26">
        <v>0.18179999999999999</v>
      </c>
      <c r="L257" s="26">
        <v>0.86</v>
      </c>
      <c r="M257">
        <v>8.9599999999999999E-2</v>
      </c>
      <c r="N257" s="26">
        <v>0</v>
      </c>
      <c r="O257" s="26">
        <v>7</v>
      </c>
      <c r="P257" s="26">
        <v>7</v>
      </c>
      <c r="Q257" s="34" t="str">
        <f t="shared" si="9"/>
        <v>Cloudy</v>
      </c>
      <c r="R257" s="41" t="str">
        <f>IF(I257=1,"Normal",IF(I257=2,"Yellow Alert",IF(I257=3,"Orange Alert",IF(I257=4,"Red Alert"))))</f>
        <v>Yellow Alert</v>
      </c>
      <c r="S257" s="60">
        <f t="shared" si="10"/>
        <v>12</v>
      </c>
      <c r="T257" s="60">
        <f>MONTH(dataset_1!B:B)</f>
        <v>1</v>
      </c>
      <c r="U257" s="60">
        <f t="shared" si="11"/>
        <v>2011</v>
      </c>
      <c r="V257" s="59" t="str">
        <f>TEXT(F257/24,"H AM/PM")</f>
        <v>12 AM</v>
      </c>
      <c r="W257" s="59" t="str">
        <f>IF(H257=6,"Saturday",IF(H257=0,"Sunday",IF(H257=1,"Monday",IF(H257=2,"Tuesday",IF(H257=3,"Wednesday",IF(H257=4,"Thursday",IF(H257=5,"Friday")))))))</f>
        <v>Wednesday</v>
      </c>
      <c r="X257" s="59" t="str">
        <f>IF(G257=FALSE,"Working day", IF(G257=TRUE,"Holiday"))</f>
        <v>Working day</v>
      </c>
    </row>
    <row r="258" spans="1:24" x14ac:dyDescent="0.25">
      <c r="A258" s="32">
        <v>257</v>
      </c>
      <c r="B258" s="33">
        <v>40555</v>
      </c>
      <c r="C258" s="26">
        <v>1</v>
      </c>
      <c r="D258" s="26">
        <v>0</v>
      </c>
      <c r="E258" s="26">
        <v>1</v>
      </c>
      <c r="F258" s="26">
        <v>1</v>
      </c>
      <c r="G258" s="26" t="b">
        <v>0</v>
      </c>
      <c r="H258" s="26">
        <v>3</v>
      </c>
      <c r="I258" s="26">
        <v>2</v>
      </c>
      <c r="J258" s="26">
        <v>0.16</v>
      </c>
      <c r="K258" s="26">
        <v>0.1515</v>
      </c>
      <c r="L258" s="26">
        <v>0.86</v>
      </c>
      <c r="M258">
        <v>0.1045</v>
      </c>
      <c r="N258" s="26">
        <v>0</v>
      </c>
      <c r="O258" s="26">
        <v>6</v>
      </c>
      <c r="P258" s="26">
        <v>6</v>
      </c>
      <c r="Q258" s="34" t="str">
        <f t="shared" ref="Q258:Q321" si="12">IF(I258=1,"Clear",IF(I258=2,"Cloudy",IF(I258=3,"Light Rain",IF(I258=4,"Heavy Rain"))))</f>
        <v>Cloudy</v>
      </c>
      <c r="R258" s="41" t="str">
        <f>IF(I258=1,"Normal",IF(I258=2,"Yellow Alert",IF(I258=3,"Orange Alert",IF(I258=4,"Red Alert"))))</f>
        <v>Yellow Alert</v>
      </c>
      <c r="S258" s="60">
        <f t="shared" ref="S258:S321" si="13">DAY(B:B)</f>
        <v>12</v>
      </c>
      <c r="T258" s="60">
        <f>MONTH(dataset_1!B:B)</f>
        <v>1</v>
      </c>
      <c r="U258" s="60">
        <f t="shared" ref="U258:U321" si="14">YEAR(B:B)</f>
        <v>2011</v>
      </c>
      <c r="V258" s="59" t="str">
        <f>TEXT(F258/24,"H AM/PM")</f>
        <v>1 AM</v>
      </c>
      <c r="W258" s="59" t="str">
        <f>IF(H258=6,"Saturday",IF(H258=0,"Sunday",IF(H258=1,"Monday",IF(H258=2,"Tuesday",IF(H258=3,"Wednesday",IF(H258=4,"Thursday",IF(H258=5,"Friday")))))))</f>
        <v>Wednesday</v>
      </c>
      <c r="X258" s="59" t="str">
        <f>IF(G258=FALSE,"Working day", IF(G258=TRUE,"Holiday"))</f>
        <v>Working day</v>
      </c>
    </row>
    <row r="259" spans="1:24" x14ac:dyDescent="0.25">
      <c r="A259" s="32">
        <v>258</v>
      </c>
      <c r="B259" s="33">
        <v>40555</v>
      </c>
      <c r="C259" s="26">
        <v>1</v>
      </c>
      <c r="D259" s="26">
        <v>0</v>
      </c>
      <c r="E259" s="26">
        <v>1</v>
      </c>
      <c r="F259" s="26">
        <v>2</v>
      </c>
      <c r="G259" s="26" t="b">
        <v>0</v>
      </c>
      <c r="H259" s="26">
        <v>3</v>
      </c>
      <c r="I259" s="26">
        <v>1</v>
      </c>
      <c r="J259" s="26">
        <v>0.14000000000000001</v>
      </c>
      <c r="K259" s="26">
        <v>0.1515</v>
      </c>
      <c r="L259" s="26">
        <v>0.86</v>
      </c>
      <c r="M259">
        <v>0.1343</v>
      </c>
      <c r="N259" s="26">
        <v>0</v>
      </c>
      <c r="O259" s="26">
        <v>1</v>
      </c>
      <c r="P259" s="26">
        <v>1</v>
      </c>
      <c r="Q259" s="34" t="str">
        <f t="shared" si="12"/>
        <v>Clear</v>
      </c>
      <c r="R259" s="41" t="str">
        <f>IF(I259=1,"Normal",IF(I259=2,"Yellow Alert",IF(I259=3,"Orange Alert",IF(I259=4,"Red Alert"))))</f>
        <v>Normal</v>
      </c>
      <c r="S259" s="60">
        <f t="shared" si="13"/>
        <v>12</v>
      </c>
      <c r="T259" s="60">
        <f>MONTH(dataset_1!B:B)</f>
        <v>1</v>
      </c>
      <c r="U259" s="60">
        <f t="shared" si="14"/>
        <v>2011</v>
      </c>
      <c r="V259" s="59" t="str">
        <f>TEXT(F259/24,"H AM/PM")</f>
        <v>2 AM</v>
      </c>
      <c r="W259" s="59" t="str">
        <f>IF(H259=6,"Saturday",IF(H259=0,"Sunday",IF(H259=1,"Monday",IF(H259=2,"Tuesday",IF(H259=3,"Wednesday",IF(H259=4,"Thursday",IF(H259=5,"Friday")))))))</f>
        <v>Wednesday</v>
      </c>
      <c r="X259" s="59" t="str">
        <f>IF(G259=FALSE,"Working day", IF(G259=TRUE,"Holiday"))</f>
        <v>Working day</v>
      </c>
    </row>
    <row r="260" spans="1:24" x14ac:dyDescent="0.25">
      <c r="A260" s="32">
        <v>259</v>
      </c>
      <c r="B260" s="33">
        <v>40555</v>
      </c>
      <c r="C260" s="26">
        <v>1</v>
      </c>
      <c r="D260" s="26">
        <v>0</v>
      </c>
      <c r="E260" s="26">
        <v>1</v>
      </c>
      <c r="F260" s="26">
        <v>5</v>
      </c>
      <c r="G260" s="26" t="b">
        <v>0</v>
      </c>
      <c r="H260" s="26">
        <v>3</v>
      </c>
      <c r="I260" s="26">
        <v>1</v>
      </c>
      <c r="J260" s="26">
        <v>0.14000000000000001</v>
      </c>
      <c r="K260" s="26">
        <v>0.1515</v>
      </c>
      <c r="L260" s="26">
        <v>0.86</v>
      </c>
      <c r="M260">
        <v>0.16420000000000001</v>
      </c>
      <c r="N260" s="26">
        <v>0</v>
      </c>
      <c r="O260" s="26">
        <v>5</v>
      </c>
      <c r="P260" s="26">
        <v>5</v>
      </c>
      <c r="Q260" s="34" t="str">
        <f t="shared" si="12"/>
        <v>Clear</v>
      </c>
      <c r="R260" s="41" t="str">
        <f>IF(I260=1,"Normal",IF(I260=2,"Yellow Alert",IF(I260=3,"Orange Alert",IF(I260=4,"Red Alert"))))</f>
        <v>Normal</v>
      </c>
      <c r="S260" s="60">
        <f t="shared" si="13"/>
        <v>12</v>
      </c>
      <c r="T260" s="60">
        <f>MONTH(dataset_1!B:B)</f>
        <v>1</v>
      </c>
      <c r="U260" s="60">
        <f t="shared" si="14"/>
        <v>2011</v>
      </c>
      <c r="V260" s="59" t="str">
        <f>TEXT(F260/24,"H AM/PM")</f>
        <v>5 AM</v>
      </c>
      <c r="W260" s="59" t="str">
        <f>IF(H260=6,"Saturday",IF(H260=0,"Sunday",IF(H260=1,"Monday",IF(H260=2,"Tuesday",IF(H260=3,"Wednesday",IF(H260=4,"Thursday",IF(H260=5,"Friday")))))))</f>
        <v>Wednesday</v>
      </c>
      <c r="X260" s="59" t="str">
        <f>IF(G260=FALSE,"Working day", IF(G260=TRUE,"Holiday"))</f>
        <v>Working day</v>
      </c>
    </row>
    <row r="261" spans="1:24" x14ac:dyDescent="0.25">
      <c r="A261" s="32">
        <v>260</v>
      </c>
      <c r="B261" s="33">
        <v>40555</v>
      </c>
      <c r="C261" s="26">
        <v>1</v>
      </c>
      <c r="D261" s="26">
        <v>0</v>
      </c>
      <c r="E261" s="26">
        <v>1</v>
      </c>
      <c r="F261" s="26">
        <v>6</v>
      </c>
      <c r="G261" s="26" t="b">
        <v>0</v>
      </c>
      <c r="H261" s="26">
        <v>3</v>
      </c>
      <c r="I261" s="26">
        <v>1</v>
      </c>
      <c r="J261" s="26">
        <v>0.12</v>
      </c>
      <c r="K261" s="26">
        <v>0.1515</v>
      </c>
      <c r="L261" s="26">
        <v>0.93</v>
      </c>
      <c r="M261">
        <v>0.1343</v>
      </c>
      <c r="N261" s="26">
        <v>0</v>
      </c>
      <c r="O261" s="26">
        <v>16</v>
      </c>
      <c r="P261" s="26">
        <v>16</v>
      </c>
      <c r="Q261" s="34" t="str">
        <f t="shared" si="12"/>
        <v>Clear</v>
      </c>
      <c r="R261" s="41" t="str">
        <f>IF(I261=1,"Normal",IF(I261=2,"Yellow Alert",IF(I261=3,"Orange Alert",IF(I261=4,"Red Alert"))))</f>
        <v>Normal</v>
      </c>
      <c r="S261" s="60">
        <f t="shared" si="13"/>
        <v>12</v>
      </c>
      <c r="T261" s="60">
        <f>MONTH(dataset_1!B:B)</f>
        <v>1</v>
      </c>
      <c r="U261" s="60">
        <f t="shared" si="14"/>
        <v>2011</v>
      </c>
      <c r="V261" s="59" t="str">
        <f>TEXT(F261/24,"H AM/PM")</f>
        <v>6 AM</v>
      </c>
      <c r="W261" s="59" t="str">
        <f>IF(H261=6,"Saturday",IF(H261=0,"Sunday",IF(H261=1,"Monday",IF(H261=2,"Tuesday",IF(H261=3,"Wednesday",IF(H261=4,"Thursday",IF(H261=5,"Friday")))))))</f>
        <v>Wednesday</v>
      </c>
      <c r="X261" s="59" t="str">
        <f>IF(G261=FALSE,"Working day", IF(G261=TRUE,"Holiday"))</f>
        <v>Working day</v>
      </c>
    </row>
    <row r="262" spans="1:24" x14ac:dyDescent="0.25">
      <c r="A262" s="32">
        <v>261</v>
      </c>
      <c r="B262" s="33">
        <v>40555</v>
      </c>
      <c r="C262" s="26">
        <v>1</v>
      </c>
      <c r="D262" s="26">
        <v>0</v>
      </c>
      <c r="E262" s="26">
        <v>1</v>
      </c>
      <c r="F262" s="26">
        <v>7</v>
      </c>
      <c r="G262" s="26" t="b">
        <v>0</v>
      </c>
      <c r="H262" s="26">
        <v>3</v>
      </c>
      <c r="I262" s="26">
        <v>1</v>
      </c>
      <c r="J262" s="26">
        <v>0.14000000000000001</v>
      </c>
      <c r="K262" s="26">
        <v>0.16669999999999999</v>
      </c>
      <c r="L262" s="26">
        <v>0.69</v>
      </c>
      <c r="M262">
        <v>0.1343</v>
      </c>
      <c r="N262" s="26">
        <v>0</v>
      </c>
      <c r="O262" s="26">
        <v>54</v>
      </c>
      <c r="P262" s="26">
        <v>54</v>
      </c>
      <c r="Q262" s="34" t="str">
        <f t="shared" si="12"/>
        <v>Clear</v>
      </c>
      <c r="R262" s="41" t="str">
        <f>IF(I262=1,"Normal",IF(I262=2,"Yellow Alert",IF(I262=3,"Orange Alert",IF(I262=4,"Red Alert"))))</f>
        <v>Normal</v>
      </c>
      <c r="S262" s="60">
        <f t="shared" si="13"/>
        <v>12</v>
      </c>
      <c r="T262" s="60">
        <f>MONTH(dataset_1!B:B)</f>
        <v>1</v>
      </c>
      <c r="U262" s="60">
        <f t="shared" si="14"/>
        <v>2011</v>
      </c>
      <c r="V262" s="59" t="str">
        <f>TEXT(F262/24,"H AM/PM")</f>
        <v>7 AM</v>
      </c>
      <c r="W262" s="59" t="str">
        <f>IF(H262=6,"Saturday",IF(H262=0,"Sunday",IF(H262=1,"Monday",IF(H262=2,"Tuesday",IF(H262=3,"Wednesday",IF(H262=4,"Thursday",IF(H262=5,"Friday")))))))</f>
        <v>Wednesday</v>
      </c>
      <c r="X262" s="59" t="str">
        <f>IF(G262=FALSE,"Working day", IF(G262=TRUE,"Holiday"))</f>
        <v>Working day</v>
      </c>
    </row>
    <row r="263" spans="1:24" x14ac:dyDescent="0.25">
      <c r="A263" s="32">
        <v>262</v>
      </c>
      <c r="B263" s="33">
        <v>40555</v>
      </c>
      <c r="C263" s="26">
        <v>1</v>
      </c>
      <c r="D263" s="26">
        <v>0</v>
      </c>
      <c r="E263" s="26">
        <v>1</v>
      </c>
      <c r="F263" s="26">
        <v>8</v>
      </c>
      <c r="G263" s="26" t="b">
        <v>0</v>
      </c>
      <c r="H263" s="26">
        <v>3</v>
      </c>
      <c r="I263" s="26">
        <v>1</v>
      </c>
      <c r="J263" s="26">
        <v>0.16</v>
      </c>
      <c r="K263" s="26">
        <v>0.13639999999999999</v>
      </c>
      <c r="L263" s="26">
        <v>0.59</v>
      </c>
      <c r="M263">
        <v>0.16420000000000001</v>
      </c>
      <c r="N263" s="26">
        <v>3</v>
      </c>
      <c r="O263" s="26">
        <v>125</v>
      </c>
      <c r="P263" s="26">
        <v>128</v>
      </c>
      <c r="Q263" s="34" t="str">
        <f t="shared" si="12"/>
        <v>Clear</v>
      </c>
      <c r="R263" s="41" t="str">
        <f>IF(I263=1,"Normal",IF(I263=2,"Yellow Alert",IF(I263=3,"Orange Alert",IF(I263=4,"Red Alert"))))</f>
        <v>Normal</v>
      </c>
      <c r="S263" s="60">
        <f t="shared" si="13"/>
        <v>12</v>
      </c>
      <c r="T263" s="60">
        <f>MONTH(dataset_1!B:B)</f>
        <v>1</v>
      </c>
      <c r="U263" s="60">
        <f t="shared" si="14"/>
        <v>2011</v>
      </c>
      <c r="V263" s="59" t="str">
        <f>TEXT(F263/24,"H AM/PM")</f>
        <v>8 AM</v>
      </c>
      <c r="W263" s="59" t="str">
        <f>IF(H263=6,"Saturday",IF(H263=0,"Sunday",IF(H263=1,"Monday",IF(H263=2,"Tuesday",IF(H263=3,"Wednesday",IF(H263=4,"Thursday",IF(H263=5,"Friday")))))))</f>
        <v>Wednesday</v>
      </c>
      <c r="X263" s="59" t="str">
        <f>IF(G263=FALSE,"Working day", IF(G263=TRUE,"Holiday"))</f>
        <v>Working day</v>
      </c>
    </row>
    <row r="264" spans="1:24" x14ac:dyDescent="0.25">
      <c r="A264" s="32">
        <v>263</v>
      </c>
      <c r="B264" s="33">
        <v>40555</v>
      </c>
      <c r="C264" s="26">
        <v>1</v>
      </c>
      <c r="D264" s="26">
        <v>0</v>
      </c>
      <c r="E264" s="26">
        <v>1</v>
      </c>
      <c r="F264" s="26">
        <v>9</v>
      </c>
      <c r="G264" s="26" t="b">
        <v>0</v>
      </c>
      <c r="H264" s="26">
        <v>3</v>
      </c>
      <c r="I264" s="26">
        <v>1</v>
      </c>
      <c r="J264" s="26">
        <v>0.16</v>
      </c>
      <c r="K264" s="26">
        <v>0.18179999999999999</v>
      </c>
      <c r="L264" s="26">
        <v>0.59</v>
      </c>
      <c r="M264">
        <v>0.32840000000000003</v>
      </c>
      <c r="N264" s="26">
        <v>3</v>
      </c>
      <c r="O264" s="26">
        <v>78</v>
      </c>
      <c r="P264" s="26">
        <v>81</v>
      </c>
      <c r="Q264" s="34" t="str">
        <f t="shared" si="12"/>
        <v>Clear</v>
      </c>
      <c r="R264" s="41" t="str">
        <f>IF(I264=1,"Normal",IF(I264=2,"Yellow Alert",IF(I264=3,"Orange Alert",IF(I264=4,"Red Alert"))))</f>
        <v>Normal</v>
      </c>
      <c r="S264" s="60">
        <f t="shared" si="13"/>
        <v>12</v>
      </c>
      <c r="T264" s="60">
        <f>MONTH(dataset_1!B:B)</f>
        <v>1</v>
      </c>
      <c r="U264" s="60">
        <f t="shared" si="14"/>
        <v>2011</v>
      </c>
      <c r="V264" s="59" t="str">
        <f>TEXT(F264/24,"H AM/PM")</f>
        <v>9 AM</v>
      </c>
      <c r="W264" s="59" t="str">
        <f>IF(H264=6,"Saturday",IF(H264=0,"Sunday",IF(H264=1,"Monday",IF(H264=2,"Tuesday",IF(H264=3,"Wednesday",IF(H264=4,"Thursday",IF(H264=5,"Friday")))))))</f>
        <v>Wednesday</v>
      </c>
      <c r="X264" s="59" t="str">
        <f>IF(G264=FALSE,"Working day", IF(G264=TRUE,"Holiday"))</f>
        <v>Working day</v>
      </c>
    </row>
    <row r="265" spans="1:24" x14ac:dyDescent="0.25">
      <c r="A265" s="32">
        <v>264</v>
      </c>
      <c r="B265" s="33">
        <v>40555</v>
      </c>
      <c r="C265" s="26">
        <v>1</v>
      </c>
      <c r="D265" s="26">
        <v>0</v>
      </c>
      <c r="E265" s="26">
        <v>1</v>
      </c>
      <c r="F265" s="26">
        <v>10</v>
      </c>
      <c r="G265" s="26" t="b">
        <v>0</v>
      </c>
      <c r="H265" s="26">
        <v>3</v>
      </c>
      <c r="I265" s="26">
        <v>1</v>
      </c>
      <c r="J265" s="26">
        <v>0.18</v>
      </c>
      <c r="K265" s="26">
        <v>0.18179999999999999</v>
      </c>
      <c r="L265" s="26">
        <v>0.55000000000000004</v>
      </c>
      <c r="M265">
        <v>0.22389999999999999</v>
      </c>
      <c r="N265" s="26">
        <v>0</v>
      </c>
      <c r="O265" s="26">
        <v>39</v>
      </c>
      <c r="P265" s="26">
        <v>39</v>
      </c>
      <c r="Q265" s="34" t="str">
        <f t="shared" si="12"/>
        <v>Clear</v>
      </c>
      <c r="R265" s="41" t="str">
        <f>IF(I265=1,"Normal",IF(I265=2,"Yellow Alert",IF(I265=3,"Orange Alert",IF(I265=4,"Red Alert"))))</f>
        <v>Normal</v>
      </c>
      <c r="S265" s="60">
        <f t="shared" si="13"/>
        <v>12</v>
      </c>
      <c r="T265" s="60">
        <f>MONTH(dataset_1!B:B)</f>
        <v>1</v>
      </c>
      <c r="U265" s="60">
        <f t="shared" si="14"/>
        <v>2011</v>
      </c>
      <c r="V265" s="59" t="str">
        <f>TEXT(F265/24,"H AM/PM")</f>
        <v>10 AM</v>
      </c>
      <c r="W265" s="59" t="str">
        <f>IF(H265=6,"Saturday",IF(H265=0,"Sunday",IF(H265=1,"Monday",IF(H265=2,"Tuesday",IF(H265=3,"Wednesday",IF(H265=4,"Thursday",IF(H265=5,"Friday")))))))</f>
        <v>Wednesday</v>
      </c>
      <c r="X265" s="59" t="str">
        <f>IF(G265=FALSE,"Working day", IF(G265=TRUE,"Holiday"))</f>
        <v>Working day</v>
      </c>
    </row>
    <row r="266" spans="1:24" x14ac:dyDescent="0.25">
      <c r="A266" s="32">
        <v>265</v>
      </c>
      <c r="B266" s="33">
        <v>40555</v>
      </c>
      <c r="C266" s="26">
        <v>1</v>
      </c>
      <c r="D266" s="26">
        <v>0</v>
      </c>
      <c r="E266" s="26">
        <v>1</v>
      </c>
      <c r="F266" s="26">
        <v>11</v>
      </c>
      <c r="G266" s="26" t="b">
        <v>0</v>
      </c>
      <c r="H266" s="26">
        <v>3</v>
      </c>
      <c r="I266" s="26">
        <v>1</v>
      </c>
      <c r="J266" s="26">
        <v>0.2</v>
      </c>
      <c r="K266" s="26">
        <v>0.1515</v>
      </c>
      <c r="L266" s="26">
        <v>0.51</v>
      </c>
      <c r="M266">
        <v>0.3881</v>
      </c>
      <c r="N266" s="26">
        <v>3</v>
      </c>
      <c r="O266" s="26">
        <v>32</v>
      </c>
      <c r="P266" s="26">
        <v>35</v>
      </c>
      <c r="Q266" s="34" t="str">
        <f t="shared" si="12"/>
        <v>Clear</v>
      </c>
      <c r="R266" s="41" t="str">
        <f>IF(I266=1,"Normal",IF(I266=2,"Yellow Alert",IF(I266=3,"Orange Alert",IF(I266=4,"Red Alert"))))</f>
        <v>Normal</v>
      </c>
      <c r="S266" s="60">
        <f t="shared" si="13"/>
        <v>12</v>
      </c>
      <c r="T266" s="60">
        <f>MONTH(dataset_1!B:B)</f>
        <v>1</v>
      </c>
      <c r="U266" s="60">
        <f t="shared" si="14"/>
        <v>2011</v>
      </c>
      <c r="V266" s="59" t="str">
        <f>TEXT(F266/24,"H AM/PM")</f>
        <v>11 AM</v>
      </c>
      <c r="W266" s="59" t="str">
        <f>IF(H266=6,"Saturday",IF(H266=0,"Sunday",IF(H266=1,"Monday",IF(H266=2,"Tuesday",IF(H266=3,"Wednesday",IF(H266=4,"Thursday",IF(H266=5,"Friday")))))))</f>
        <v>Wednesday</v>
      </c>
      <c r="X266" s="59" t="str">
        <f>IF(G266=FALSE,"Working day", IF(G266=TRUE,"Holiday"))</f>
        <v>Working day</v>
      </c>
    </row>
    <row r="267" spans="1:24" x14ac:dyDescent="0.25">
      <c r="A267" s="32">
        <v>266</v>
      </c>
      <c r="B267" s="33">
        <v>40555</v>
      </c>
      <c r="C267" s="26">
        <v>1</v>
      </c>
      <c r="D267" s="26">
        <v>0</v>
      </c>
      <c r="E267" s="26">
        <v>1</v>
      </c>
      <c r="F267" s="26">
        <v>12</v>
      </c>
      <c r="G267" s="26" t="b">
        <v>0</v>
      </c>
      <c r="H267" s="26">
        <v>3</v>
      </c>
      <c r="I267" s="26">
        <v>1</v>
      </c>
      <c r="J267" s="26">
        <v>0.2</v>
      </c>
      <c r="K267" s="26">
        <v>0.19700000000000001</v>
      </c>
      <c r="L267" s="26">
        <v>0.47</v>
      </c>
      <c r="M267">
        <v>0.58209999999999995</v>
      </c>
      <c r="N267" s="26">
        <v>3</v>
      </c>
      <c r="O267" s="26">
        <v>52</v>
      </c>
      <c r="P267" s="26">
        <v>55</v>
      </c>
      <c r="Q267" s="34" t="str">
        <f t="shared" si="12"/>
        <v>Clear</v>
      </c>
      <c r="R267" s="41" t="str">
        <f>IF(I267=1,"Normal",IF(I267=2,"Yellow Alert",IF(I267=3,"Orange Alert",IF(I267=4,"Red Alert"))))</f>
        <v>Normal</v>
      </c>
      <c r="S267" s="60">
        <f t="shared" si="13"/>
        <v>12</v>
      </c>
      <c r="T267" s="60">
        <f>MONTH(dataset_1!B:B)</f>
        <v>1</v>
      </c>
      <c r="U267" s="60">
        <f t="shared" si="14"/>
        <v>2011</v>
      </c>
      <c r="V267" s="59" t="str">
        <f>TEXT(F267/24,"H AM/PM")</f>
        <v>12 PM</v>
      </c>
      <c r="W267" s="59" t="str">
        <f>IF(H267=6,"Saturday",IF(H267=0,"Sunday",IF(H267=1,"Monday",IF(H267=2,"Tuesday",IF(H267=3,"Wednesday",IF(H267=4,"Thursday",IF(H267=5,"Friday")))))))</f>
        <v>Wednesday</v>
      </c>
      <c r="X267" s="59" t="str">
        <f>IF(G267=FALSE,"Working day", IF(G267=TRUE,"Holiday"))</f>
        <v>Working day</v>
      </c>
    </row>
    <row r="268" spans="1:24" x14ac:dyDescent="0.25">
      <c r="A268" s="32">
        <v>267</v>
      </c>
      <c r="B268" s="33">
        <v>40555</v>
      </c>
      <c r="C268" s="26">
        <v>1</v>
      </c>
      <c r="D268" s="26">
        <v>0</v>
      </c>
      <c r="E268" s="26">
        <v>1</v>
      </c>
      <c r="F268" s="26">
        <v>13</v>
      </c>
      <c r="G268" s="26" t="b">
        <v>0</v>
      </c>
      <c r="H268" s="26">
        <v>3</v>
      </c>
      <c r="I268" s="26">
        <v>1</v>
      </c>
      <c r="J268" s="26">
        <v>0.22</v>
      </c>
      <c r="K268" s="26">
        <v>0.18179999999999999</v>
      </c>
      <c r="L268" s="26">
        <v>0.44</v>
      </c>
      <c r="M268">
        <v>0.35820000000000002</v>
      </c>
      <c r="N268" s="26">
        <v>0</v>
      </c>
      <c r="O268" s="26">
        <v>49</v>
      </c>
      <c r="P268" s="26">
        <v>49</v>
      </c>
      <c r="Q268" s="34" t="str">
        <f t="shared" si="12"/>
        <v>Clear</v>
      </c>
      <c r="R268" s="41" t="str">
        <f>IF(I268=1,"Normal",IF(I268=2,"Yellow Alert",IF(I268=3,"Orange Alert",IF(I268=4,"Red Alert"))))</f>
        <v>Normal</v>
      </c>
      <c r="S268" s="60">
        <f t="shared" si="13"/>
        <v>12</v>
      </c>
      <c r="T268" s="60">
        <f>MONTH(dataset_1!B:B)</f>
        <v>1</v>
      </c>
      <c r="U268" s="60">
        <f t="shared" si="14"/>
        <v>2011</v>
      </c>
      <c r="V268" s="59" t="str">
        <f>TEXT(F268/24,"H AM/PM")</f>
        <v>1 PM</v>
      </c>
      <c r="W268" s="59" t="str">
        <f>IF(H268=6,"Saturday",IF(H268=0,"Sunday",IF(H268=1,"Monday",IF(H268=2,"Tuesday",IF(H268=3,"Wednesday",IF(H268=4,"Thursday",IF(H268=5,"Friday")))))))</f>
        <v>Wednesday</v>
      </c>
      <c r="X268" s="59" t="str">
        <f>IF(G268=FALSE,"Working day", IF(G268=TRUE,"Holiday"))</f>
        <v>Working day</v>
      </c>
    </row>
    <row r="269" spans="1:24" x14ac:dyDescent="0.25">
      <c r="A269" s="32">
        <v>268</v>
      </c>
      <c r="B269" s="33">
        <v>40555</v>
      </c>
      <c r="C269" s="26">
        <v>1</v>
      </c>
      <c r="D269" s="26">
        <v>0</v>
      </c>
      <c r="E269" s="26">
        <v>1</v>
      </c>
      <c r="F269" s="26">
        <v>14</v>
      </c>
      <c r="G269" s="26" t="b">
        <v>0</v>
      </c>
      <c r="H269" s="26">
        <v>3</v>
      </c>
      <c r="I269" s="26">
        <v>1</v>
      </c>
      <c r="J269" s="26">
        <v>0.2</v>
      </c>
      <c r="K269" s="26">
        <v>0.16669999999999999</v>
      </c>
      <c r="L269" s="26">
        <v>0.47</v>
      </c>
      <c r="M269">
        <v>0.32840000000000003</v>
      </c>
      <c r="N269" s="26">
        <v>0</v>
      </c>
      <c r="O269" s="26">
        <v>44</v>
      </c>
      <c r="P269" s="26">
        <v>44</v>
      </c>
      <c r="Q269" s="34" t="str">
        <f t="shared" si="12"/>
        <v>Clear</v>
      </c>
      <c r="R269" s="41" t="str">
        <f>IF(I269=1,"Normal",IF(I269=2,"Yellow Alert",IF(I269=3,"Orange Alert",IF(I269=4,"Red Alert"))))</f>
        <v>Normal</v>
      </c>
      <c r="S269" s="60">
        <f t="shared" si="13"/>
        <v>12</v>
      </c>
      <c r="T269" s="60">
        <f>MONTH(dataset_1!B:B)</f>
        <v>1</v>
      </c>
      <c r="U269" s="60">
        <f t="shared" si="14"/>
        <v>2011</v>
      </c>
      <c r="V269" s="59" t="str">
        <f>TEXT(F269/24,"H AM/PM")</f>
        <v>2 PM</v>
      </c>
      <c r="W269" s="59" t="str">
        <f>IF(H269=6,"Saturday",IF(H269=0,"Sunday",IF(H269=1,"Monday",IF(H269=2,"Tuesday",IF(H269=3,"Wednesday",IF(H269=4,"Thursday",IF(H269=5,"Friday")))))))</f>
        <v>Wednesday</v>
      </c>
      <c r="X269" s="59" t="str">
        <f>IF(G269=FALSE,"Working day", IF(G269=TRUE,"Holiday"))</f>
        <v>Working day</v>
      </c>
    </row>
    <row r="270" spans="1:24" x14ac:dyDescent="0.25">
      <c r="A270" s="32">
        <v>269</v>
      </c>
      <c r="B270" s="33">
        <v>40555</v>
      </c>
      <c r="C270" s="26">
        <v>1</v>
      </c>
      <c r="D270" s="26">
        <v>0</v>
      </c>
      <c r="E270" s="26">
        <v>1</v>
      </c>
      <c r="F270" s="26">
        <v>15</v>
      </c>
      <c r="G270" s="26" t="b">
        <v>0</v>
      </c>
      <c r="H270" s="26">
        <v>3</v>
      </c>
      <c r="I270" s="26">
        <v>1</v>
      </c>
      <c r="J270" s="26">
        <v>0.2</v>
      </c>
      <c r="K270" s="26">
        <v>0.19700000000000001</v>
      </c>
      <c r="L270" s="26">
        <v>0.47</v>
      </c>
      <c r="M270">
        <v>0.41789999999999999</v>
      </c>
      <c r="N270" s="26">
        <v>1</v>
      </c>
      <c r="O270" s="26">
        <v>48</v>
      </c>
      <c r="P270" s="26">
        <v>49</v>
      </c>
      <c r="Q270" s="34" t="str">
        <f t="shared" si="12"/>
        <v>Clear</v>
      </c>
      <c r="R270" s="41" t="str">
        <f>IF(I270=1,"Normal",IF(I270=2,"Yellow Alert",IF(I270=3,"Orange Alert",IF(I270=4,"Red Alert"))))</f>
        <v>Normal</v>
      </c>
      <c r="S270" s="60">
        <f t="shared" si="13"/>
        <v>12</v>
      </c>
      <c r="T270" s="60">
        <f>MONTH(dataset_1!B:B)</f>
        <v>1</v>
      </c>
      <c r="U270" s="60">
        <f t="shared" si="14"/>
        <v>2011</v>
      </c>
      <c r="V270" s="59" t="str">
        <f>TEXT(F270/24,"H AM/PM")</f>
        <v>3 PM</v>
      </c>
      <c r="W270" s="59" t="str">
        <f>IF(H270=6,"Saturday",IF(H270=0,"Sunday",IF(H270=1,"Monday",IF(H270=2,"Tuesday",IF(H270=3,"Wednesday",IF(H270=4,"Thursday",IF(H270=5,"Friday")))))))</f>
        <v>Wednesday</v>
      </c>
      <c r="X270" s="59" t="str">
        <f>IF(G270=FALSE,"Working day", IF(G270=TRUE,"Holiday"))</f>
        <v>Working day</v>
      </c>
    </row>
    <row r="271" spans="1:24" x14ac:dyDescent="0.25">
      <c r="A271" s="32">
        <v>270</v>
      </c>
      <c r="B271" s="33">
        <v>40555</v>
      </c>
      <c r="C271" s="26">
        <v>1</v>
      </c>
      <c r="D271" s="26">
        <v>0</v>
      </c>
      <c r="E271" s="26">
        <v>1</v>
      </c>
      <c r="F271" s="26">
        <v>16</v>
      </c>
      <c r="G271" s="26" t="b">
        <v>0</v>
      </c>
      <c r="H271" s="26">
        <v>3</v>
      </c>
      <c r="I271" s="26">
        <v>1</v>
      </c>
      <c r="J271" s="26">
        <v>0.22</v>
      </c>
      <c r="K271" s="26">
        <v>0.18179999999999999</v>
      </c>
      <c r="L271" s="26">
        <v>0.44</v>
      </c>
      <c r="M271">
        <v>0.32840000000000003</v>
      </c>
      <c r="N271" s="26">
        <v>5</v>
      </c>
      <c r="O271" s="26">
        <v>63</v>
      </c>
      <c r="P271" s="26">
        <v>68</v>
      </c>
      <c r="Q271" s="34" t="str">
        <f t="shared" si="12"/>
        <v>Clear</v>
      </c>
      <c r="R271" s="41" t="str">
        <f>IF(I271=1,"Normal",IF(I271=2,"Yellow Alert",IF(I271=3,"Orange Alert",IF(I271=4,"Red Alert"))))</f>
        <v>Normal</v>
      </c>
      <c r="S271" s="60">
        <f t="shared" si="13"/>
        <v>12</v>
      </c>
      <c r="T271" s="60">
        <f>MONTH(dataset_1!B:B)</f>
        <v>1</v>
      </c>
      <c r="U271" s="60">
        <f t="shared" si="14"/>
        <v>2011</v>
      </c>
      <c r="V271" s="59" t="str">
        <f>TEXT(F271/24,"H AM/PM")</f>
        <v>4 PM</v>
      </c>
      <c r="W271" s="59" t="str">
        <f>IF(H271=6,"Saturday",IF(H271=0,"Sunday",IF(H271=1,"Monday",IF(H271=2,"Tuesday",IF(H271=3,"Wednesday",IF(H271=4,"Thursday",IF(H271=5,"Friday")))))))</f>
        <v>Wednesday</v>
      </c>
      <c r="X271" s="59" t="str">
        <f>IF(G271=FALSE,"Working day", IF(G271=TRUE,"Holiday"))</f>
        <v>Working day</v>
      </c>
    </row>
    <row r="272" spans="1:24" x14ac:dyDescent="0.25">
      <c r="A272" s="32">
        <v>271</v>
      </c>
      <c r="B272" s="33">
        <v>40555</v>
      </c>
      <c r="C272" s="26">
        <v>1</v>
      </c>
      <c r="D272" s="26">
        <v>0</v>
      </c>
      <c r="E272" s="26">
        <v>1</v>
      </c>
      <c r="F272" s="26">
        <v>17</v>
      </c>
      <c r="G272" s="26" t="b">
        <v>0</v>
      </c>
      <c r="H272" s="26">
        <v>3</v>
      </c>
      <c r="I272" s="26">
        <v>1</v>
      </c>
      <c r="J272" s="26">
        <v>0.2</v>
      </c>
      <c r="K272" s="26">
        <v>0.1515</v>
      </c>
      <c r="L272" s="26">
        <v>0.47</v>
      </c>
      <c r="M272">
        <v>0.35820000000000002</v>
      </c>
      <c r="N272" s="26">
        <v>0</v>
      </c>
      <c r="O272" s="26">
        <v>139</v>
      </c>
      <c r="P272" s="26">
        <v>139</v>
      </c>
      <c r="Q272" s="34" t="str">
        <f t="shared" si="12"/>
        <v>Clear</v>
      </c>
      <c r="R272" s="41" t="str">
        <f>IF(I272=1,"Normal",IF(I272=2,"Yellow Alert",IF(I272=3,"Orange Alert",IF(I272=4,"Red Alert"))))</f>
        <v>Normal</v>
      </c>
      <c r="S272" s="60">
        <f t="shared" si="13"/>
        <v>12</v>
      </c>
      <c r="T272" s="60">
        <f>MONTH(dataset_1!B:B)</f>
        <v>1</v>
      </c>
      <c r="U272" s="60">
        <f t="shared" si="14"/>
        <v>2011</v>
      </c>
      <c r="V272" s="59" t="str">
        <f>TEXT(F272/24,"H AM/PM")</f>
        <v>5 PM</v>
      </c>
      <c r="W272" s="59" t="str">
        <f>IF(H272=6,"Saturday",IF(H272=0,"Sunday",IF(H272=1,"Monday",IF(H272=2,"Tuesday",IF(H272=3,"Wednesday",IF(H272=4,"Thursday",IF(H272=5,"Friday")))))))</f>
        <v>Wednesday</v>
      </c>
      <c r="X272" s="59" t="str">
        <f>IF(G272=FALSE,"Working day", IF(G272=TRUE,"Holiday"))</f>
        <v>Working day</v>
      </c>
    </row>
    <row r="273" spans="1:24" x14ac:dyDescent="0.25">
      <c r="A273" s="32">
        <v>272</v>
      </c>
      <c r="B273" s="33">
        <v>40555</v>
      </c>
      <c r="C273" s="26">
        <v>1</v>
      </c>
      <c r="D273" s="26">
        <v>0</v>
      </c>
      <c r="E273" s="26">
        <v>1</v>
      </c>
      <c r="F273" s="26">
        <v>18</v>
      </c>
      <c r="G273" s="26" t="b">
        <v>0</v>
      </c>
      <c r="H273" s="26">
        <v>3</v>
      </c>
      <c r="I273" s="26">
        <v>1</v>
      </c>
      <c r="J273" s="26">
        <v>0.2</v>
      </c>
      <c r="K273" s="26">
        <v>0.1515</v>
      </c>
      <c r="L273" s="26">
        <v>0.47</v>
      </c>
      <c r="M273">
        <v>0.52239999999999998</v>
      </c>
      <c r="N273" s="26">
        <v>2</v>
      </c>
      <c r="O273" s="26">
        <v>135</v>
      </c>
      <c r="P273" s="26">
        <v>137</v>
      </c>
      <c r="Q273" s="34" t="str">
        <f t="shared" si="12"/>
        <v>Clear</v>
      </c>
      <c r="R273" s="41" t="str">
        <f>IF(I273=1,"Normal",IF(I273=2,"Yellow Alert",IF(I273=3,"Orange Alert",IF(I273=4,"Red Alert"))))</f>
        <v>Normal</v>
      </c>
      <c r="S273" s="60">
        <f t="shared" si="13"/>
        <v>12</v>
      </c>
      <c r="T273" s="60">
        <f>MONTH(dataset_1!B:B)</f>
        <v>1</v>
      </c>
      <c r="U273" s="60">
        <f t="shared" si="14"/>
        <v>2011</v>
      </c>
      <c r="V273" s="59" t="str">
        <f>TEXT(F273/24,"H AM/PM")</f>
        <v>6 PM</v>
      </c>
      <c r="W273" s="59" t="str">
        <f>IF(H273=6,"Saturday",IF(H273=0,"Sunday",IF(H273=1,"Monday",IF(H273=2,"Tuesday",IF(H273=3,"Wednesday",IF(H273=4,"Thursday",IF(H273=5,"Friday")))))))</f>
        <v>Wednesday</v>
      </c>
      <c r="X273" s="59" t="str">
        <f>IF(G273=FALSE,"Working day", IF(G273=TRUE,"Holiday"))</f>
        <v>Working day</v>
      </c>
    </row>
    <row r="274" spans="1:24" x14ac:dyDescent="0.25">
      <c r="A274" s="32">
        <v>273</v>
      </c>
      <c r="B274" s="33">
        <v>40555</v>
      </c>
      <c r="C274" s="26">
        <v>1</v>
      </c>
      <c r="D274" s="26">
        <v>0</v>
      </c>
      <c r="E274" s="26">
        <v>1</v>
      </c>
      <c r="F274" s="26">
        <v>19</v>
      </c>
      <c r="G274" s="26" t="b">
        <v>0</v>
      </c>
      <c r="H274" s="26">
        <v>3</v>
      </c>
      <c r="I274" s="26">
        <v>1</v>
      </c>
      <c r="J274" s="26">
        <v>0.18</v>
      </c>
      <c r="K274" s="26">
        <v>0.13639999999999999</v>
      </c>
      <c r="L274" s="26">
        <v>0.47</v>
      </c>
      <c r="M274">
        <v>0.41789999999999999</v>
      </c>
      <c r="N274" s="26">
        <v>1</v>
      </c>
      <c r="O274" s="26">
        <v>82</v>
      </c>
      <c r="P274" s="26">
        <v>83</v>
      </c>
      <c r="Q274" s="34" t="str">
        <f t="shared" si="12"/>
        <v>Clear</v>
      </c>
      <c r="R274" s="41" t="str">
        <f>IF(I274=1,"Normal",IF(I274=2,"Yellow Alert",IF(I274=3,"Orange Alert",IF(I274=4,"Red Alert"))))</f>
        <v>Normal</v>
      </c>
      <c r="S274" s="60">
        <f t="shared" si="13"/>
        <v>12</v>
      </c>
      <c r="T274" s="60">
        <f>MONTH(dataset_1!B:B)</f>
        <v>1</v>
      </c>
      <c r="U274" s="60">
        <f t="shared" si="14"/>
        <v>2011</v>
      </c>
      <c r="V274" s="59" t="str">
        <f>TEXT(F274/24,"H AM/PM")</f>
        <v>7 PM</v>
      </c>
      <c r="W274" s="59" t="str">
        <f>IF(H274=6,"Saturday",IF(H274=0,"Sunday",IF(H274=1,"Monday",IF(H274=2,"Tuesday",IF(H274=3,"Wednesday",IF(H274=4,"Thursday",IF(H274=5,"Friday")))))))</f>
        <v>Wednesday</v>
      </c>
      <c r="X274" s="59" t="str">
        <f>IF(G274=FALSE,"Working day", IF(G274=TRUE,"Holiday"))</f>
        <v>Working day</v>
      </c>
    </row>
    <row r="275" spans="1:24" x14ac:dyDescent="0.25">
      <c r="A275" s="32">
        <v>274</v>
      </c>
      <c r="B275" s="33">
        <v>40555</v>
      </c>
      <c r="C275" s="26">
        <v>1</v>
      </c>
      <c r="D275" s="26">
        <v>0</v>
      </c>
      <c r="E275" s="26">
        <v>1</v>
      </c>
      <c r="F275" s="26">
        <v>20</v>
      </c>
      <c r="G275" s="26" t="b">
        <v>0</v>
      </c>
      <c r="H275" s="26">
        <v>3</v>
      </c>
      <c r="I275" s="26">
        <v>1</v>
      </c>
      <c r="J275" s="26">
        <v>0.16</v>
      </c>
      <c r="K275" s="26">
        <v>0.13639999999999999</v>
      </c>
      <c r="L275" s="26">
        <v>0.5</v>
      </c>
      <c r="M275">
        <v>0.32840000000000003</v>
      </c>
      <c r="N275" s="26">
        <v>2</v>
      </c>
      <c r="O275" s="26">
        <v>54</v>
      </c>
      <c r="P275" s="26">
        <v>56</v>
      </c>
      <c r="Q275" s="34" t="str">
        <f t="shared" si="12"/>
        <v>Clear</v>
      </c>
      <c r="R275" s="41" t="str">
        <f>IF(I275=1,"Normal",IF(I275=2,"Yellow Alert",IF(I275=3,"Orange Alert",IF(I275=4,"Red Alert"))))</f>
        <v>Normal</v>
      </c>
      <c r="S275" s="60">
        <f t="shared" si="13"/>
        <v>12</v>
      </c>
      <c r="T275" s="60">
        <f>MONTH(dataset_1!B:B)</f>
        <v>1</v>
      </c>
      <c r="U275" s="60">
        <f t="shared" si="14"/>
        <v>2011</v>
      </c>
      <c r="V275" s="59" t="str">
        <f>TEXT(F275/24,"H AM/PM")</f>
        <v>8 PM</v>
      </c>
      <c r="W275" s="59" t="str">
        <f>IF(H275=6,"Saturday",IF(H275=0,"Sunday",IF(H275=1,"Monday",IF(H275=2,"Tuesday",IF(H275=3,"Wednesday",IF(H275=4,"Thursday",IF(H275=5,"Friday")))))))</f>
        <v>Wednesday</v>
      </c>
      <c r="X275" s="59" t="str">
        <f>IF(G275=FALSE,"Working day", IF(G275=TRUE,"Holiday"))</f>
        <v>Working day</v>
      </c>
    </row>
    <row r="276" spans="1:24" x14ac:dyDescent="0.25">
      <c r="A276" s="32">
        <v>275</v>
      </c>
      <c r="B276" s="33">
        <v>40555</v>
      </c>
      <c r="C276" s="26">
        <v>1</v>
      </c>
      <c r="D276" s="26">
        <v>0</v>
      </c>
      <c r="E276" s="26">
        <v>1</v>
      </c>
      <c r="F276" s="26">
        <v>21</v>
      </c>
      <c r="G276" s="26" t="b">
        <v>0</v>
      </c>
      <c r="H276" s="26">
        <v>3</v>
      </c>
      <c r="I276" s="26">
        <v>1</v>
      </c>
      <c r="J276" s="26">
        <v>0.16</v>
      </c>
      <c r="K276" s="26">
        <v>0.1212</v>
      </c>
      <c r="L276" s="26">
        <v>0.55000000000000004</v>
      </c>
      <c r="M276">
        <v>0.32840000000000003</v>
      </c>
      <c r="N276" s="26">
        <v>0</v>
      </c>
      <c r="O276" s="26">
        <v>57</v>
      </c>
      <c r="P276" s="26">
        <v>57</v>
      </c>
      <c r="Q276" s="34" t="str">
        <f t="shared" si="12"/>
        <v>Clear</v>
      </c>
      <c r="R276" s="41" t="str">
        <f>IF(I276=1,"Normal",IF(I276=2,"Yellow Alert",IF(I276=3,"Orange Alert",IF(I276=4,"Red Alert"))))</f>
        <v>Normal</v>
      </c>
      <c r="S276" s="60">
        <f t="shared" si="13"/>
        <v>12</v>
      </c>
      <c r="T276" s="60">
        <f>MONTH(dataset_1!B:B)</f>
        <v>1</v>
      </c>
      <c r="U276" s="60">
        <f t="shared" si="14"/>
        <v>2011</v>
      </c>
      <c r="V276" s="59" t="str">
        <f>TEXT(F276/24,"H AM/PM")</f>
        <v>9 PM</v>
      </c>
      <c r="W276" s="59" t="str">
        <f>IF(H276=6,"Saturday",IF(H276=0,"Sunday",IF(H276=1,"Monday",IF(H276=2,"Tuesday",IF(H276=3,"Wednesday",IF(H276=4,"Thursday",IF(H276=5,"Friday")))))))</f>
        <v>Wednesday</v>
      </c>
      <c r="X276" s="59" t="str">
        <f>IF(G276=FALSE,"Working day", IF(G276=TRUE,"Holiday"))</f>
        <v>Working day</v>
      </c>
    </row>
    <row r="277" spans="1:24" x14ac:dyDescent="0.25">
      <c r="A277" s="32">
        <v>276</v>
      </c>
      <c r="B277" s="33">
        <v>40555</v>
      </c>
      <c r="C277" s="26">
        <v>1</v>
      </c>
      <c r="D277" s="26">
        <v>0</v>
      </c>
      <c r="E277" s="26">
        <v>1</v>
      </c>
      <c r="F277" s="26">
        <v>22</v>
      </c>
      <c r="G277" s="26" t="b">
        <v>0</v>
      </c>
      <c r="H277" s="26">
        <v>3</v>
      </c>
      <c r="I277" s="26">
        <v>1</v>
      </c>
      <c r="J277" s="26">
        <v>0.16</v>
      </c>
      <c r="K277" s="26">
        <v>0.1061</v>
      </c>
      <c r="L277" s="26">
        <v>0.55000000000000004</v>
      </c>
      <c r="M277">
        <v>0.44779999999999998</v>
      </c>
      <c r="N277" s="26">
        <v>1</v>
      </c>
      <c r="O277" s="26">
        <v>32</v>
      </c>
      <c r="P277" s="26">
        <v>33</v>
      </c>
      <c r="Q277" s="34" t="str">
        <f t="shared" si="12"/>
        <v>Clear</v>
      </c>
      <c r="R277" s="41" t="str">
        <f>IF(I277=1,"Normal",IF(I277=2,"Yellow Alert",IF(I277=3,"Orange Alert",IF(I277=4,"Red Alert"))))</f>
        <v>Normal</v>
      </c>
      <c r="S277" s="60">
        <f t="shared" si="13"/>
        <v>12</v>
      </c>
      <c r="T277" s="60">
        <f>MONTH(dataset_1!B:B)</f>
        <v>1</v>
      </c>
      <c r="U277" s="60">
        <f t="shared" si="14"/>
        <v>2011</v>
      </c>
      <c r="V277" s="59" t="str">
        <f>TEXT(F277/24,"H AM/PM")</f>
        <v>10 PM</v>
      </c>
      <c r="W277" s="59" t="str">
        <f>IF(H277=6,"Saturday",IF(H277=0,"Sunday",IF(H277=1,"Monday",IF(H277=2,"Tuesday",IF(H277=3,"Wednesday",IF(H277=4,"Thursday",IF(H277=5,"Friday")))))))</f>
        <v>Wednesday</v>
      </c>
      <c r="X277" s="59" t="str">
        <f>IF(G277=FALSE,"Working day", IF(G277=TRUE,"Holiday"))</f>
        <v>Working day</v>
      </c>
    </row>
    <row r="278" spans="1:24" x14ac:dyDescent="0.25">
      <c r="A278" s="32">
        <v>277</v>
      </c>
      <c r="B278" s="33">
        <v>40555</v>
      </c>
      <c r="C278" s="26">
        <v>1</v>
      </c>
      <c r="D278" s="26">
        <v>0</v>
      </c>
      <c r="E278" s="26">
        <v>1</v>
      </c>
      <c r="F278" s="26">
        <v>23</v>
      </c>
      <c r="G278" s="26" t="b">
        <v>0</v>
      </c>
      <c r="H278" s="26">
        <v>3</v>
      </c>
      <c r="I278" s="26">
        <v>1</v>
      </c>
      <c r="J278" s="26">
        <v>0.14000000000000001</v>
      </c>
      <c r="K278" s="26">
        <v>0.1212</v>
      </c>
      <c r="L278" s="26">
        <v>0.59</v>
      </c>
      <c r="M278">
        <v>0.41789999999999999</v>
      </c>
      <c r="N278" s="26">
        <v>1</v>
      </c>
      <c r="O278" s="26">
        <v>19</v>
      </c>
      <c r="P278" s="26">
        <v>20</v>
      </c>
      <c r="Q278" s="34" t="str">
        <f t="shared" si="12"/>
        <v>Clear</v>
      </c>
      <c r="R278" s="41" t="str">
        <f>IF(I278=1,"Normal",IF(I278=2,"Yellow Alert",IF(I278=3,"Orange Alert",IF(I278=4,"Red Alert"))))</f>
        <v>Normal</v>
      </c>
      <c r="S278" s="60">
        <f t="shared" si="13"/>
        <v>12</v>
      </c>
      <c r="T278" s="60">
        <f>MONTH(dataset_1!B:B)</f>
        <v>1</v>
      </c>
      <c r="U278" s="60">
        <f t="shared" si="14"/>
        <v>2011</v>
      </c>
      <c r="V278" s="59" t="str">
        <f>TEXT(F278/24,"H AM/PM")</f>
        <v>11 PM</v>
      </c>
      <c r="W278" s="59" t="str">
        <f>IF(H278=6,"Saturday",IF(H278=0,"Sunday",IF(H278=1,"Monday",IF(H278=2,"Tuesday",IF(H278=3,"Wednesday",IF(H278=4,"Thursday",IF(H278=5,"Friday")))))))</f>
        <v>Wednesday</v>
      </c>
      <c r="X278" s="59" t="str">
        <f>IF(G278=FALSE,"Working day", IF(G278=TRUE,"Holiday"))</f>
        <v>Working day</v>
      </c>
    </row>
    <row r="279" spans="1:24" x14ac:dyDescent="0.25">
      <c r="A279" s="32">
        <v>278</v>
      </c>
      <c r="B279" s="33">
        <v>40556</v>
      </c>
      <c r="C279" s="26">
        <v>1</v>
      </c>
      <c r="D279" s="26">
        <v>0</v>
      </c>
      <c r="E279" s="26">
        <v>1</v>
      </c>
      <c r="F279" s="26">
        <v>0</v>
      </c>
      <c r="G279" s="26" t="b">
        <v>0</v>
      </c>
      <c r="H279" s="26">
        <v>4</v>
      </c>
      <c r="I279" s="26">
        <v>1</v>
      </c>
      <c r="J279" s="26">
        <v>0.14000000000000001</v>
      </c>
      <c r="K279" s="26">
        <v>0.1212</v>
      </c>
      <c r="L279" s="26">
        <v>0.59</v>
      </c>
      <c r="M279">
        <v>0.28360000000000002</v>
      </c>
      <c r="N279" s="26">
        <v>1</v>
      </c>
      <c r="O279" s="26">
        <v>6</v>
      </c>
      <c r="P279" s="26">
        <v>7</v>
      </c>
      <c r="Q279" s="34" t="str">
        <f t="shared" si="12"/>
        <v>Clear</v>
      </c>
      <c r="R279" s="41" t="str">
        <f>IF(I279=1,"Normal",IF(I279=2,"Yellow Alert",IF(I279=3,"Orange Alert",IF(I279=4,"Red Alert"))))</f>
        <v>Normal</v>
      </c>
      <c r="S279" s="60">
        <f t="shared" si="13"/>
        <v>13</v>
      </c>
      <c r="T279" s="60">
        <f>MONTH(dataset_1!B:B)</f>
        <v>1</v>
      </c>
      <c r="U279" s="60">
        <f t="shared" si="14"/>
        <v>2011</v>
      </c>
      <c r="V279" s="59" t="str">
        <f>TEXT(F279/24,"H AM/PM")</f>
        <v>12 AM</v>
      </c>
      <c r="W279" s="59" t="str">
        <f>IF(H279=6,"Saturday",IF(H279=0,"Sunday",IF(H279=1,"Monday",IF(H279=2,"Tuesday",IF(H279=3,"Wednesday",IF(H279=4,"Thursday",IF(H279=5,"Friday")))))))</f>
        <v>Thursday</v>
      </c>
      <c r="X279" s="59" t="str">
        <f>IF(G279=FALSE,"Working day", IF(G279=TRUE,"Holiday"))</f>
        <v>Working day</v>
      </c>
    </row>
    <row r="280" spans="1:24" x14ac:dyDescent="0.25">
      <c r="A280" s="32">
        <v>279</v>
      </c>
      <c r="B280" s="33">
        <v>40556</v>
      </c>
      <c r="C280" s="26">
        <v>1</v>
      </c>
      <c r="D280" s="26">
        <v>0</v>
      </c>
      <c r="E280" s="26">
        <v>1</v>
      </c>
      <c r="F280" s="26">
        <v>1</v>
      </c>
      <c r="G280" s="26" t="b">
        <v>0</v>
      </c>
      <c r="H280" s="26">
        <v>4</v>
      </c>
      <c r="I280" s="26">
        <v>1</v>
      </c>
      <c r="J280" s="26">
        <v>0.14000000000000001</v>
      </c>
      <c r="K280" s="26">
        <v>0.1212</v>
      </c>
      <c r="L280" s="26">
        <v>0.5</v>
      </c>
      <c r="M280">
        <v>0.28360000000000002</v>
      </c>
      <c r="N280" s="26">
        <v>0</v>
      </c>
      <c r="O280" s="26">
        <v>2</v>
      </c>
      <c r="P280" s="26">
        <v>2</v>
      </c>
      <c r="Q280" s="34" t="str">
        <f t="shared" si="12"/>
        <v>Clear</v>
      </c>
      <c r="R280" s="41" t="str">
        <f>IF(I280=1,"Normal",IF(I280=2,"Yellow Alert",IF(I280=3,"Orange Alert",IF(I280=4,"Red Alert"))))</f>
        <v>Normal</v>
      </c>
      <c r="S280" s="60">
        <f t="shared" si="13"/>
        <v>13</v>
      </c>
      <c r="T280" s="60">
        <f>MONTH(dataset_1!B:B)</f>
        <v>1</v>
      </c>
      <c r="U280" s="60">
        <f t="shared" si="14"/>
        <v>2011</v>
      </c>
      <c r="V280" s="59" t="str">
        <f>TEXT(F280/24,"H AM/PM")</f>
        <v>1 AM</v>
      </c>
      <c r="W280" s="59" t="str">
        <f>IF(H280=6,"Saturday",IF(H280=0,"Sunday",IF(H280=1,"Monday",IF(H280=2,"Tuesday",IF(H280=3,"Wednesday",IF(H280=4,"Thursday",IF(H280=5,"Friday")))))))</f>
        <v>Thursday</v>
      </c>
      <c r="X280" s="59" t="str">
        <f>IF(G280=FALSE,"Working day", IF(G280=TRUE,"Holiday"))</f>
        <v>Working day</v>
      </c>
    </row>
    <row r="281" spans="1:24" x14ac:dyDescent="0.25">
      <c r="A281" s="32">
        <v>280</v>
      </c>
      <c r="B281" s="33">
        <v>40556</v>
      </c>
      <c r="C281" s="26">
        <v>1</v>
      </c>
      <c r="D281" s="26">
        <v>0</v>
      </c>
      <c r="E281" s="26">
        <v>1</v>
      </c>
      <c r="F281" s="26">
        <v>2</v>
      </c>
      <c r="G281" s="26" t="b">
        <v>0</v>
      </c>
      <c r="H281" s="26">
        <v>4</v>
      </c>
      <c r="I281" s="26">
        <v>1</v>
      </c>
      <c r="J281" s="26">
        <v>0.14000000000000001</v>
      </c>
      <c r="K281" s="26">
        <v>0.1212</v>
      </c>
      <c r="L281" s="26">
        <v>0.5</v>
      </c>
      <c r="M281">
        <v>0.35820000000000002</v>
      </c>
      <c r="N281" s="26">
        <v>0</v>
      </c>
      <c r="O281" s="26">
        <v>2</v>
      </c>
      <c r="P281" s="26">
        <v>2</v>
      </c>
      <c r="Q281" s="34" t="str">
        <f t="shared" si="12"/>
        <v>Clear</v>
      </c>
      <c r="R281" s="41" t="str">
        <f>IF(I281=1,"Normal",IF(I281=2,"Yellow Alert",IF(I281=3,"Orange Alert",IF(I281=4,"Red Alert"))))</f>
        <v>Normal</v>
      </c>
      <c r="S281" s="60">
        <f t="shared" si="13"/>
        <v>13</v>
      </c>
      <c r="T281" s="60">
        <f>MONTH(dataset_1!B:B)</f>
        <v>1</v>
      </c>
      <c r="U281" s="60">
        <f t="shared" si="14"/>
        <v>2011</v>
      </c>
      <c r="V281" s="59" t="str">
        <f>TEXT(F281/24,"H AM/PM")</f>
        <v>2 AM</v>
      </c>
      <c r="W281" s="59" t="str">
        <f>IF(H281=6,"Saturday",IF(H281=0,"Sunday",IF(H281=1,"Monday",IF(H281=2,"Tuesday",IF(H281=3,"Wednesday",IF(H281=4,"Thursday",IF(H281=5,"Friday")))))))</f>
        <v>Thursday</v>
      </c>
      <c r="X281" s="59" t="str">
        <f>IF(G281=FALSE,"Working day", IF(G281=TRUE,"Holiday"))</f>
        <v>Working day</v>
      </c>
    </row>
    <row r="282" spans="1:24" x14ac:dyDescent="0.25">
      <c r="A282" s="32">
        <v>281</v>
      </c>
      <c r="B282" s="33">
        <v>40556</v>
      </c>
      <c r="C282" s="26">
        <v>1</v>
      </c>
      <c r="D282" s="26">
        <v>0</v>
      </c>
      <c r="E282" s="26">
        <v>1</v>
      </c>
      <c r="F282" s="26">
        <v>3</v>
      </c>
      <c r="G282" s="26" t="b">
        <v>0</v>
      </c>
      <c r="H282" s="26">
        <v>4</v>
      </c>
      <c r="I282" s="26">
        <v>1</v>
      </c>
      <c r="J282" s="26">
        <v>0.14000000000000001</v>
      </c>
      <c r="K282" s="26">
        <v>0.1212</v>
      </c>
      <c r="L282" s="26">
        <v>0.5</v>
      </c>
      <c r="M282">
        <v>0.32840000000000003</v>
      </c>
      <c r="N282" s="26">
        <v>0</v>
      </c>
      <c r="O282" s="26">
        <v>3</v>
      </c>
      <c r="P282" s="26">
        <v>3</v>
      </c>
      <c r="Q282" s="34" t="str">
        <f t="shared" si="12"/>
        <v>Clear</v>
      </c>
      <c r="R282" s="41" t="str">
        <f>IF(I282=1,"Normal",IF(I282=2,"Yellow Alert",IF(I282=3,"Orange Alert",IF(I282=4,"Red Alert"))))</f>
        <v>Normal</v>
      </c>
      <c r="S282" s="60">
        <f t="shared" si="13"/>
        <v>13</v>
      </c>
      <c r="T282" s="60">
        <f>MONTH(dataset_1!B:B)</f>
        <v>1</v>
      </c>
      <c r="U282" s="60">
        <f t="shared" si="14"/>
        <v>2011</v>
      </c>
      <c r="V282" s="59" t="str">
        <f>TEXT(F282/24,"H AM/PM")</f>
        <v>3 AM</v>
      </c>
      <c r="W282" s="59" t="str">
        <f>IF(H282=6,"Saturday",IF(H282=0,"Sunday",IF(H282=1,"Monday",IF(H282=2,"Tuesday",IF(H282=3,"Wednesday",IF(H282=4,"Thursday",IF(H282=5,"Friday")))))))</f>
        <v>Thursday</v>
      </c>
      <c r="X282" s="59" t="str">
        <f>IF(G282=FALSE,"Working day", IF(G282=TRUE,"Holiday"))</f>
        <v>Working day</v>
      </c>
    </row>
    <row r="283" spans="1:24" x14ac:dyDescent="0.25">
      <c r="A283" s="32">
        <v>282</v>
      </c>
      <c r="B283" s="33">
        <v>40556</v>
      </c>
      <c r="C283" s="26">
        <v>1</v>
      </c>
      <c r="D283" s="26">
        <v>0</v>
      </c>
      <c r="E283" s="26">
        <v>1</v>
      </c>
      <c r="F283" s="26">
        <v>4</v>
      </c>
      <c r="G283" s="26" t="b">
        <v>0</v>
      </c>
      <c r="H283" s="26">
        <v>4</v>
      </c>
      <c r="I283" s="26">
        <v>1</v>
      </c>
      <c r="J283" s="26">
        <v>0.14000000000000001</v>
      </c>
      <c r="K283" s="26">
        <v>0.1212</v>
      </c>
      <c r="L283" s="26">
        <v>0.5</v>
      </c>
      <c r="M283">
        <v>0.25369999999999998</v>
      </c>
      <c r="N283" s="26">
        <v>0</v>
      </c>
      <c r="O283" s="26">
        <v>4</v>
      </c>
      <c r="P283" s="26">
        <v>4</v>
      </c>
      <c r="Q283" s="34" t="str">
        <f t="shared" si="12"/>
        <v>Clear</v>
      </c>
      <c r="R283" s="41" t="str">
        <f>IF(I283=1,"Normal",IF(I283=2,"Yellow Alert",IF(I283=3,"Orange Alert",IF(I283=4,"Red Alert"))))</f>
        <v>Normal</v>
      </c>
      <c r="S283" s="60">
        <f t="shared" si="13"/>
        <v>13</v>
      </c>
      <c r="T283" s="60">
        <f>MONTH(dataset_1!B:B)</f>
        <v>1</v>
      </c>
      <c r="U283" s="60">
        <f t="shared" si="14"/>
        <v>2011</v>
      </c>
      <c r="V283" s="59" t="str">
        <f>TEXT(F283/24,"H AM/PM")</f>
        <v>4 AM</v>
      </c>
      <c r="W283" s="59" t="str">
        <f>IF(H283=6,"Saturday",IF(H283=0,"Sunday",IF(H283=1,"Monday",IF(H283=2,"Tuesday",IF(H283=3,"Wednesday",IF(H283=4,"Thursday",IF(H283=5,"Friday")))))))</f>
        <v>Thursday</v>
      </c>
      <c r="X283" s="59" t="str">
        <f>IF(G283=FALSE,"Working day", IF(G283=TRUE,"Holiday"))</f>
        <v>Working day</v>
      </c>
    </row>
    <row r="284" spans="1:24" x14ac:dyDescent="0.25">
      <c r="A284" s="32">
        <v>283</v>
      </c>
      <c r="B284" s="33">
        <v>40556</v>
      </c>
      <c r="C284" s="26">
        <v>1</v>
      </c>
      <c r="D284" s="26">
        <v>0</v>
      </c>
      <c r="E284" s="26">
        <v>1</v>
      </c>
      <c r="F284" s="26">
        <v>5</v>
      </c>
      <c r="G284" s="26" t="b">
        <v>0</v>
      </c>
      <c r="H284" s="26">
        <v>4</v>
      </c>
      <c r="I284" s="26">
        <v>1</v>
      </c>
      <c r="J284" s="26">
        <v>0.14000000000000001</v>
      </c>
      <c r="K284" s="26">
        <v>0.1515</v>
      </c>
      <c r="L284" s="26">
        <v>0.5</v>
      </c>
      <c r="M284">
        <v>0.29849999999999999</v>
      </c>
      <c r="N284" s="26">
        <v>0</v>
      </c>
      <c r="O284" s="26">
        <v>3</v>
      </c>
      <c r="P284" s="26">
        <v>3</v>
      </c>
      <c r="Q284" s="34" t="str">
        <f t="shared" si="12"/>
        <v>Clear</v>
      </c>
      <c r="R284" s="41" t="str">
        <f>IF(I284=1,"Normal",IF(I284=2,"Yellow Alert",IF(I284=3,"Orange Alert",IF(I284=4,"Red Alert"))))</f>
        <v>Normal</v>
      </c>
      <c r="S284" s="60">
        <f t="shared" si="13"/>
        <v>13</v>
      </c>
      <c r="T284" s="60">
        <f>MONTH(dataset_1!B:B)</f>
        <v>1</v>
      </c>
      <c r="U284" s="60">
        <f t="shared" si="14"/>
        <v>2011</v>
      </c>
      <c r="V284" s="59" t="str">
        <f>TEXT(F284/24,"H AM/PM")</f>
        <v>5 AM</v>
      </c>
      <c r="W284" s="59" t="str">
        <f>IF(H284=6,"Saturday",IF(H284=0,"Sunday",IF(H284=1,"Monday",IF(H284=2,"Tuesday",IF(H284=3,"Wednesday",IF(H284=4,"Thursday",IF(H284=5,"Friday")))))))</f>
        <v>Thursday</v>
      </c>
      <c r="X284" s="59" t="str">
        <f>IF(G284=FALSE,"Working day", IF(G284=TRUE,"Holiday"))</f>
        <v>Working day</v>
      </c>
    </row>
    <row r="285" spans="1:24" x14ac:dyDescent="0.25">
      <c r="A285" s="32">
        <v>284</v>
      </c>
      <c r="B285" s="33">
        <v>40556</v>
      </c>
      <c r="C285" s="26">
        <v>1</v>
      </c>
      <c r="D285" s="26">
        <v>0</v>
      </c>
      <c r="E285" s="26">
        <v>1</v>
      </c>
      <c r="F285" s="26">
        <v>6</v>
      </c>
      <c r="G285" s="26" t="b">
        <v>0</v>
      </c>
      <c r="H285" s="26">
        <v>4</v>
      </c>
      <c r="I285" s="26">
        <v>1</v>
      </c>
      <c r="J285" s="26">
        <v>0.12</v>
      </c>
      <c r="K285" s="26">
        <v>0.1515</v>
      </c>
      <c r="L285" s="26">
        <v>0.54</v>
      </c>
      <c r="M285">
        <v>0.1343</v>
      </c>
      <c r="N285" s="26">
        <v>0</v>
      </c>
      <c r="O285" s="26">
        <v>28</v>
      </c>
      <c r="P285" s="26">
        <v>28</v>
      </c>
      <c r="Q285" s="34" t="str">
        <f t="shared" si="12"/>
        <v>Clear</v>
      </c>
      <c r="R285" s="41" t="str">
        <f>IF(I285=1,"Normal",IF(I285=2,"Yellow Alert",IF(I285=3,"Orange Alert",IF(I285=4,"Red Alert"))))</f>
        <v>Normal</v>
      </c>
      <c r="S285" s="60">
        <f t="shared" si="13"/>
        <v>13</v>
      </c>
      <c r="T285" s="60">
        <f>MONTH(dataset_1!B:B)</f>
        <v>1</v>
      </c>
      <c r="U285" s="60">
        <f t="shared" si="14"/>
        <v>2011</v>
      </c>
      <c r="V285" s="59" t="str">
        <f>TEXT(F285/24,"H AM/PM")</f>
        <v>6 AM</v>
      </c>
      <c r="W285" s="59" t="str">
        <f>IF(H285=6,"Saturday",IF(H285=0,"Sunday",IF(H285=1,"Monday",IF(H285=2,"Tuesday",IF(H285=3,"Wednesday",IF(H285=4,"Thursday",IF(H285=5,"Friday")))))))</f>
        <v>Thursday</v>
      </c>
      <c r="X285" s="59" t="str">
        <f>IF(G285=FALSE,"Working day", IF(G285=TRUE,"Holiday"))</f>
        <v>Working day</v>
      </c>
    </row>
    <row r="286" spans="1:24" x14ac:dyDescent="0.25">
      <c r="A286" s="32">
        <v>285</v>
      </c>
      <c r="B286" s="33">
        <v>40556</v>
      </c>
      <c r="C286" s="26">
        <v>1</v>
      </c>
      <c r="D286" s="26">
        <v>0</v>
      </c>
      <c r="E286" s="26">
        <v>1</v>
      </c>
      <c r="F286" s="26">
        <v>7</v>
      </c>
      <c r="G286" s="26" t="b">
        <v>0</v>
      </c>
      <c r="H286" s="26">
        <v>4</v>
      </c>
      <c r="I286" s="26">
        <v>1</v>
      </c>
      <c r="J286" s="26">
        <v>0.12</v>
      </c>
      <c r="K286" s="26">
        <v>0.13639999999999999</v>
      </c>
      <c r="L286" s="26">
        <v>0.54</v>
      </c>
      <c r="M286">
        <v>0.1343</v>
      </c>
      <c r="N286" s="26">
        <v>0</v>
      </c>
      <c r="O286" s="26">
        <v>72</v>
      </c>
      <c r="P286" s="26">
        <v>72</v>
      </c>
      <c r="Q286" s="34" t="str">
        <f t="shared" si="12"/>
        <v>Clear</v>
      </c>
      <c r="R286" s="41" t="str">
        <f>IF(I286=1,"Normal",IF(I286=2,"Yellow Alert",IF(I286=3,"Orange Alert",IF(I286=4,"Red Alert"))))</f>
        <v>Normal</v>
      </c>
      <c r="S286" s="60">
        <f t="shared" si="13"/>
        <v>13</v>
      </c>
      <c r="T286" s="60">
        <f>MONTH(dataset_1!B:B)</f>
        <v>1</v>
      </c>
      <c r="U286" s="60">
        <f t="shared" si="14"/>
        <v>2011</v>
      </c>
      <c r="V286" s="59" t="str">
        <f>TEXT(F286/24,"H AM/PM")</f>
        <v>7 AM</v>
      </c>
      <c r="W286" s="59" t="str">
        <f>IF(H286=6,"Saturday",IF(H286=0,"Sunday",IF(H286=1,"Monday",IF(H286=2,"Tuesday",IF(H286=3,"Wednesday",IF(H286=4,"Thursday",IF(H286=5,"Friday")))))))</f>
        <v>Thursday</v>
      </c>
      <c r="X286" s="59" t="str">
        <f>IF(G286=FALSE,"Working day", IF(G286=TRUE,"Holiday"))</f>
        <v>Working day</v>
      </c>
    </row>
    <row r="287" spans="1:24" x14ac:dyDescent="0.25">
      <c r="A287" s="32">
        <v>286</v>
      </c>
      <c r="B287" s="33">
        <v>40556</v>
      </c>
      <c r="C287" s="26">
        <v>1</v>
      </c>
      <c r="D287" s="26">
        <v>0</v>
      </c>
      <c r="E287" s="26">
        <v>1</v>
      </c>
      <c r="F287" s="26">
        <v>8</v>
      </c>
      <c r="G287" s="26" t="b">
        <v>0</v>
      </c>
      <c r="H287" s="26">
        <v>4</v>
      </c>
      <c r="I287" s="26">
        <v>1</v>
      </c>
      <c r="J287" s="26">
        <v>0.14000000000000001</v>
      </c>
      <c r="K287" s="26">
        <v>0.1212</v>
      </c>
      <c r="L287" s="26">
        <v>0.5</v>
      </c>
      <c r="M287">
        <v>0.19400000000000001</v>
      </c>
      <c r="N287" s="26">
        <v>5</v>
      </c>
      <c r="O287" s="26">
        <v>197</v>
      </c>
      <c r="P287" s="26">
        <v>202</v>
      </c>
      <c r="Q287" s="34" t="str">
        <f t="shared" si="12"/>
        <v>Clear</v>
      </c>
      <c r="R287" s="41" t="str">
        <f>IF(I287=1,"Normal",IF(I287=2,"Yellow Alert",IF(I287=3,"Orange Alert",IF(I287=4,"Red Alert"))))</f>
        <v>Normal</v>
      </c>
      <c r="S287" s="60">
        <f t="shared" si="13"/>
        <v>13</v>
      </c>
      <c r="T287" s="60">
        <f>MONTH(dataset_1!B:B)</f>
        <v>1</v>
      </c>
      <c r="U287" s="60">
        <f t="shared" si="14"/>
        <v>2011</v>
      </c>
      <c r="V287" s="59" t="str">
        <f>TEXT(F287/24,"H AM/PM")</f>
        <v>8 AM</v>
      </c>
      <c r="W287" s="59" t="str">
        <f>IF(H287=6,"Saturday",IF(H287=0,"Sunday",IF(H287=1,"Monday",IF(H287=2,"Tuesday",IF(H287=3,"Wednesday",IF(H287=4,"Thursday",IF(H287=5,"Friday")))))))</f>
        <v>Thursday</v>
      </c>
      <c r="X287" s="59" t="str">
        <f>IF(G287=FALSE,"Working day", IF(G287=TRUE,"Holiday"))</f>
        <v>Working day</v>
      </c>
    </row>
    <row r="288" spans="1:24" x14ac:dyDescent="0.25">
      <c r="A288" s="32">
        <v>287</v>
      </c>
      <c r="B288" s="33">
        <v>40556</v>
      </c>
      <c r="C288" s="26">
        <v>1</v>
      </c>
      <c r="D288" s="26">
        <v>0</v>
      </c>
      <c r="E288" s="26">
        <v>1</v>
      </c>
      <c r="F288" s="26">
        <v>9</v>
      </c>
      <c r="G288" s="26" t="b">
        <v>0</v>
      </c>
      <c r="H288" s="26">
        <v>4</v>
      </c>
      <c r="I288" s="26">
        <v>1</v>
      </c>
      <c r="J288" s="26">
        <v>0.14000000000000001</v>
      </c>
      <c r="K288" s="26">
        <v>0.13639999999999999</v>
      </c>
      <c r="L288" s="26">
        <v>0.5</v>
      </c>
      <c r="M288">
        <v>0.32840000000000003</v>
      </c>
      <c r="N288" s="26">
        <v>2</v>
      </c>
      <c r="O288" s="26">
        <v>137</v>
      </c>
      <c r="P288" s="26">
        <v>139</v>
      </c>
      <c r="Q288" s="34" t="str">
        <f t="shared" si="12"/>
        <v>Clear</v>
      </c>
      <c r="R288" s="41" t="str">
        <f>IF(I288=1,"Normal",IF(I288=2,"Yellow Alert",IF(I288=3,"Orange Alert",IF(I288=4,"Red Alert"))))</f>
        <v>Normal</v>
      </c>
      <c r="S288" s="60">
        <f t="shared" si="13"/>
        <v>13</v>
      </c>
      <c r="T288" s="60">
        <f>MONTH(dataset_1!B:B)</f>
        <v>1</v>
      </c>
      <c r="U288" s="60">
        <f t="shared" si="14"/>
        <v>2011</v>
      </c>
      <c r="V288" s="59" t="str">
        <f>TEXT(F288/24,"H AM/PM")</f>
        <v>9 AM</v>
      </c>
      <c r="W288" s="59" t="str">
        <f>IF(H288=6,"Saturday",IF(H288=0,"Sunday",IF(H288=1,"Monday",IF(H288=2,"Tuesday",IF(H288=3,"Wednesday",IF(H288=4,"Thursday",IF(H288=5,"Friday")))))))</f>
        <v>Thursday</v>
      </c>
      <c r="X288" s="59" t="str">
        <f>IF(G288=FALSE,"Working day", IF(G288=TRUE,"Holiday"))</f>
        <v>Working day</v>
      </c>
    </row>
    <row r="289" spans="1:24" x14ac:dyDescent="0.25">
      <c r="A289" s="32">
        <v>288</v>
      </c>
      <c r="B289" s="33">
        <v>40556</v>
      </c>
      <c r="C289" s="26">
        <v>1</v>
      </c>
      <c r="D289" s="26">
        <v>0</v>
      </c>
      <c r="E289" s="26">
        <v>1</v>
      </c>
      <c r="F289" s="26">
        <v>10</v>
      </c>
      <c r="G289" s="26" t="b">
        <v>0</v>
      </c>
      <c r="H289" s="26">
        <v>4</v>
      </c>
      <c r="I289" s="26">
        <v>2</v>
      </c>
      <c r="J289" s="26">
        <v>0.16</v>
      </c>
      <c r="K289" s="26">
        <v>0.16669999999999999</v>
      </c>
      <c r="L289" s="26">
        <v>0.5</v>
      </c>
      <c r="M289">
        <v>0.35820000000000002</v>
      </c>
      <c r="N289" s="26">
        <v>2</v>
      </c>
      <c r="O289" s="26">
        <v>36</v>
      </c>
      <c r="P289" s="26">
        <v>38</v>
      </c>
      <c r="Q289" s="34" t="str">
        <f t="shared" si="12"/>
        <v>Cloudy</v>
      </c>
      <c r="R289" s="41" t="str">
        <f>IF(I289=1,"Normal",IF(I289=2,"Yellow Alert",IF(I289=3,"Orange Alert",IF(I289=4,"Red Alert"))))</f>
        <v>Yellow Alert</v>
      </c>
      <c r="S289" s="60">
        <f t="shared" si="13"/>
        <v>13</v>
      </c>
      <c r="T289" s="60">
        <f>MONTH(dataset_1!B:B)</f>
        <v>1</v>
      </c>
      <c r="U289" s="60">
        <f t="shared" si="14"/>
        <v>2011</v>
      </c>
      <c r="V289" s="59" t="str">
        <f>TEXT(F289/24,"H AM/PM")</f>
        <v>10 AM</v>
      </c>
      <c r="W289" s="59" t="str">
        <f>IF(H289=6,"Saturday",IF(H289=0,"Sunday",IF(H289=1,"Monday",IF(H289=2,"Tuesday",IF(H289=3,"Wednesday",IF(H289=4,"Thursday",IF(H289=5,"Friday")))))))</f>
        <v>Thursday</v>
      </c>
      <c r="X289" s="59" t="str">
        <f>IF(G289=FALSE,"Working day", IF(G289=TRUE,"Holiday"))</f>
        <v>Working day</v>
      </c>
    </row>
    <row r="290" spans="1:24" x14ac:dyDescent="0.25">
      <c r="A290" s="32">
        <v>289</v>
      </c>
      <c r="B290" s="33">
        <v>40556</v>
      </c>
      <c r="C290" s="26">
        <v>1</v>
      </c>
      <c r="D290" s="26">
        <v>0</v>
      </c>
      <c r="E290" s="26">
        <v>1</v>
      </c>
      <c r="F290" s="26">
        <v>11</v>
      </c>
      <c r="G290" s="26" t="b">
        <v>0</v>
      </c>
      <c r="H290" s="26">
        <v>4</v>
      </c>
      <c r="I290" s="26">
        <v>2</v>
      </c>
      <c r="J290" s="26">
        <v>0.2</v>
      </c>
      <c r="K290" s="26">
        <v>0.16669999999999999</v>
      </c>
      <c r="L290" s="26">
        <v>0.44</v>
      </c>
      <c r="M290">
        <v>0.44779999999999998</v>
      </c>
      <c r="N290" s="26">
        <v>4</v>
      </c>
      <c r="O290" s="26">
        <v>33</v>
      </c>
      <c r="P290" s="26">
        <v>37</v>
      </c>
      <c r="Q290" s="34" t="str">
        <f t="shared" si="12"/>
        <v>Cloudy</v>
      </c>
      <c r="R290" s="41" t="str">
        <f>IF(I290=1,"Normal",IF(I290=2,"Yellow Alert",IF(I290=3,"Orange Alert",IF(I290=4,"Red Alert"))))</f>
        <v>Yellow Alert</v>
      </c>
      <c r="S290" s="60">
        <f t="shared" si="13"/>
        <v>13</v>
      </c>
      <c r="T290" s="60">
        <f>MONTH(dataset_1!B:B)</f>
        <v>1</v>
      </c>
      <c r="U290" s="60">
        <f t="shared" si="14"/>
        <v>2011</v>
      </c>
      <c r="V290" s="59" t="str">
        <f>TEXT(F290/24,"H AM/PM")</f>
        <v>11 AM</v>
      </c>
      <c r="W290" s="59" t="str">
        <f>IF(H290=6,"Saturday",IF(H290=0,"Sunday",IF(H290=1,"Monday",IF(H290=2,"Tuesday",IF(H290=3,"Wednesday",IF(H290=4,"Thursday",IF(H290=5,"Friday")))))))</f>
        <v>Thursday</v>
      </c>
      <c r="X290" s="59" t="str">
        <f>IF(G290=FALSE,"Working day", IF(G290=TRUE,"Holiday"))</f>
        <v>Working day</v>
      </c>
    </row>
    <row r="291" spans="1:24" x14ac:dyDescent="0.25">
      <c r="A291" s="32">
        <v>290</v>
      </c>
      <c r="B291" s="33">
        <v>40556</v>
      </c>
      <c r="C291" s="26">
        <v>1</v>
      </c>
      <c r="D291" s="26">
        <v>0</v>
      </c>
      <c r="E291" s="26">
        <v>1</v>
      </c>
      <c r="F291" s="26">
        <v>12</v>
      </c>
      <c r="G291" s="26" t="b">
        <v>0</v>
      </c>
      <c r="H291" s="26">
        <v>4</v>
      </c>
      <c r="I291" s="26">
        <v>1</v>
      </c>
      <c r="J291" s="26">
        <v>0.2</v>
      </c>
      <c r="K291" s="26">
        <v>0.19700000000000001</v>
      </c>
      <c r="L291" s="26">
        <v>0.44</v>
      </c>
      <c r="M291">
        <v>0.41789999999999999</v>
      </c>
      <c r="N291" s="26">
        <v>3</v>
      </c>
      <c r="O291" s="26">
        <v>49</v>
      </c>
      <c r="P291" s="26">
        <v>52</v>
      </c>
      <c r="Q291" s="34" t="str">
        <f t="shared" si="12"/>
        <v>Clear</v>
      </c>
      <c r="R291" s="41" t="str">
        <f>IF(I291=1,"Normal",IF(I291=2,"Yellow Alert",IF(I291=3,"Orange Alert",IF(I291=4,"Red Alert"))))</f>
        <v>Normal</v>
      </c>
      <c r="S291" s="60">
        <f t="shared" si="13"/>
        <v>13</v>
      </c>
      <c r="T291" s="60">
        <f>MONTH(dataset_1!B:B)</f>
        <v>1</v>
      </c>
      <c r="U291" s="60">
        <f t="shared" si="14"/>
        <v>2011</v>
      </c>
      <c r="V291" s="59" t="str">
        <f>TEXT(F291/24,"H AM/PM")</f>
        <v>12 PM</v>
      </c>
      <c r="W291" s="59" t="str">
        <f>IF(H291=6,"Saturday",IF(H291=0,"Sunday",IF(H291=1,"Monday",IF(H291=2,"Tuesday",IF(H291=3,"Wednesday",IF(H291=4,"Thursday",IF(H291=5,"Friday")))))))</f>
        <v>Thursday</v>
      </c>
      <c r="X291" s="59" t="str">
        <f>IF(G291=FALSE,"Working day", IF(G291=TRUE,"Holiday"))</f>
        <v>Working day</v>
      </c>
    </row>
    <row r="292" spans="1:24" x14ac:dyDescent="0.25">
      <c r="A292" s="32">
        <v>291</v>
      </c>
      <c r="B292" s="33">
        <v>40556</v>
      </c>
      <c r="C292" s="26">
        <v>1</v>
      </c>
      <c r="D292" s="26">
        <v>0</v>
      </c>
      <c r="E292" s="26">
        <v>1</v>
      </c>
      <c r="F292" s="26">
        <v>13</v>
      </c>
      <c r="G292" s="26" t="b">
        <v>0</v>
      </c>
      <c r="H292" s="26">
        <v>4</v>
      </c>
      <c r="I292" s="26">
        <v>1</v>
      </c>
      <c r="J292" s="26">
        <v>0.22</v>
      </c>
      <c r="K292" s="26">
        <v>0.19700000000000001</v>
      </c>
      <c r="L292" s="26">
        <v>0.41</v>
      </c>
      <c r="M292">
        <v>0.44779999999999998</v>
      </c>
      <c r="N292" s="26">
        <v>2</v>
      </c>
      <c r="O292" s="26">
        <v>81</v>
      </c>
      <c r="P292" s="26">
        <v>83</v>
      </c>
      <c r="Q292" s="34" t="str">
        <f t="shared" si="12"/>
        <v>Clear</v>
      </c>
      <c r="R292" s="41" t="str">
        <f>IF(I292=1,"Normal",IF(I292=2,"Yellow Alert",IF(I292=3,"Orange Alert",IF(I292=4,"Red Alert"))))</f>
        <v>Normal</v>
      </c>
      <c r="S292" s="60">
        <f t="shared" si="13"/>
        <v>13</v>
      </c>
      <c r="T292" s="60">
        <f>MONTH(dataset_1!B:B)</f>
        <v>1</v>
      </c>
      <c r="U292" s="60">
        <f t="shared" si="14"/>
        <v>2011</v>
      </c>
      <c r="V292" s="59" t="str">
        <f>TEXT(F292/24,"H AM/PM")</f>
        <v>1 PM</v>
      </c>
      <c r="W292" s="59" t="str">
        <f>IF(H292=6,"Saturday",IF(H292=0,"Sunday",IF(H292=1,"Monday",IF(H292=2,"Tuesday",IF(H292=3,"Wednesday",IF(H292=4,"Thursday",IF(H292=5,"Friday")))))))</f>
        <v>Thursday</v>
      </c>
      <c r="X292" s="59" t="str">
        <f>IF(G292=FALSE,"Working day", IF(G292=TRUE,"Holiday"))</f>
        <v>Working day</v>
      </c>
    </row>
    <row r="293" spans="1:24" x14ac:dyDescent="0.25">
      <c r="A293" s="32">
        <v>292</v>
      </c>
      <c r="B293" s="33">
        <v>40556</v>
      </c>
      <c r="C293" s="26">
        <v>1</v>
      </c>
      <c r="D293" s="26">
        <v>0</v>
      </c>
      <c r="E293" s="26">
        <v>1</v>
      </c>
      <c r="F293" s="26">
        <v>14</v>
      </c>
      <c r="G293" s="26" t="b">
        <v>0</v>
      </c>
      <c r="H293" s="26">
        <v>4</v>
      </c>
      <c r="I293" s="26">
        <v>1</v>
      </c>
      <c r="J293" s="26">
        <v>0.22</v>
      </c>
      <c r="K293" s="26">
        <v>0.21210000000000001</v>
      </c>
      <c r="L293" s="26">
        <v>0.41</v>
      </c>
      <c r="M293">
        <v>0.3881</v>
      </c>
      <c r="N293" s="26">
        <v>3</v>
      </c>
      <c r="O293" s="26">
        <v>39</v>
      </c>
      <c r="P293" s="26">
        <v>42</v>
      </c>
      <c r="Q293" s="34" t="str">
        <f t="shared" si="12"/>
        <v>Clear</v>
      </c>
      <c r="R293" s="41" t="str">
        <f>IF(I293=1,"Normal",IF(I293=2,"Yellow Alert",IF(I293=3,"Orange Alert",IF(I293=4,"Red Alert"))))</f>
        <v>Normal</v>
      </c>
      <c r="S293" s="60">
        <f t="shared" si="13"/>
        <v>13</v>
      </c>
      <c r="T293" s="60">
        <f>MONTH(dataset_1!B:B)</f>
        <v>1</v>
      </c>
      <c r="U293" s="60">
        <f t="shared" si="14"/>
        <v>2011</v>
      </c>
      <c r="V293" s="59" t="str">
        <f>TEXT(F293/24,"H AM/PM")</f>
        <v>2 PM</v>
      </c>
      <c r="W293" s="59" t="str">
        <f>IF(H293=6,"Saturday",IF(H293=0,"Sunday",IF(H293=1,"Monday",IF(H293=2,"Tuesday",IF(H293=3,"Wednesday",IF(H293=4,"Thursday",IF(H293=5,"Friday")))))))</f>
        <v>Thursday</v>
      </c>
      <c r="X293" s="59" t="str">
        <f>IF(G293=FALSE,"Working day", IF(G293=TRUE,"Holiday"))</f>
        <v>Working day</v>
      </c>
    </row>
    <row r="294" spans="1:24" x14ac:dyDescent="0.25">
      <c r="A294" s="32">
        <v>293</v>
      </c>
      <c r="B294" s="33">
        <v>40556</v>
      </c>
      <c r="C294" s="26">
        <v>1</v>
      </c>
      <c r="D294" s="26">
        <v>0</v>
      </c>
      <c r="E294" s="26">
        <v>1</v>
      </c>
      <c r="F294" s="26">
        <v>15</v>
      </c>
      <c r="G294" s="26" t="b">
        <v>0</v>
      </c>
      <c r="H294" s="26">
        <v>4</v>
      </c>
      <c r="I294" s="26">
        <v>1</v>
      </c>
      <c r="J294" s="26">
        <v>0.24</v>
      </c>
      <c r="K294" s="26">
        <v>0.21210000000000001</v>
      </c>
      <c r="L294" s="26">
        <v>0.38</v>
      </c>
      <c r="M294">
        <v>0.29849999999999999</v>
      </c>
      <c r="N294" s="26">
        <v>5</v>
      </c>
      <c r="O294" s="26">
        <v>55</v>
      </c>
      <c r="P294" s="26">
        <v>60</v>
      </c>
      <c r="Q294" s="34" t="str">
        <f t="shared" si="12"/>
        <v>Clear</v>
      </c>
      <c r="R294" s="41" t="str">
        <f>IF(I294=1,"Normal",IF(I294=2,"Yellow Alert",IF(I294=3,"Orange Alert",IF(I294=4,"Red Alert"))))</f>
        <v>Normal</v>
      </c>
      <c r="S294" s="60">
        <f t="shared" si="13"/>
        <v>13</v>
      </c>
      <c r="T294" s="60">
        <f>MONTH(dataset_1!B:B)</f>
        <v>1</v>
      </c>
      <c r="U294" s="60">
        <f t="shared" si="14"/>
        <v>2011</v>
      </c>
      <c r="V294" s="59" t="str">
        <f>TEXT(F294/24,"H AM/PM")</f>
        <v>3 PM</v>
      </c>
      <c r="W294" s="59" t="str">
        <f>IF(H294=6,"Saturday",IF(H294=0,"Sunday",IF(H294=1,"Monday",IF(H294=2,"Tuesday",IF(H294=3,"Wednesday",IF(H294=4,"Thursday",IF(H294=5,"Friday")))))))</f>
        <v>Thursday</v>
      </c>
      <c r="X294" s="59" t="str">
        <f>IF(G294=FALSE,"Working day", IF(G294=TRUE,"Holiday"))</f>
        <v>Working day</v>
      </c>
    </row>
    <row r="295" spans="1:24" x14ac:dyDescent="0.25">
      <c r="A295" s="32">
        <v>294</v>
      </c>
      <c r="B295" s="33">
        <v>40556</v>
      </c>
      <c r="C295" s="26">
        <v>1</v>
      </c>
      <c r="D295" s="26">
        <v>0</v>
      </c>
      <c r="E295" s="26">
        <v>1</v>
      </c>
      <c r="F295" s="26">
        <v>16</v>
      </c>
      <c r="G295" s="26" t="b">
        <v>0</v>
      </c>
      <c r="H295" s="26">
        <v>4</v>
      </c>
      <c r="I295" s="26">
        <v>1</v>
      </c>
      <c r="J295" s="26">
        <v>0.24</v>
      </c>
      <c r="K295" s="26">
        <v>0.18179999999999999</v>
      </c>
      <c r="L295" s="26">
        <v>0.38</v>
      </c>
      <c r="M295">
        <v>0.35820000000000002</v>
      </c>
      <c r="N295" s="26">
        <v>2</v>
      </c>
      <c r="O295" s="26">
        <v>76</v>
      </c>
      <c r="P295" s="26">
        <v>78</v>
      </c>
      <c r="Q295" s="34" t="str">
        <f t="shared" si="12"/>
        <v>Clear</v>
      </c>
      <c r="R295" s="41" t="str">
        <f>IF(I295=1,"Normal",IF(I295=2,"Yellow Alert",IF(I295=3,"Orange Alert",IF(I295=4,"Red Alert"))))</f>
        <v>Normal</v>
      </c>
      <c r="S295" s="60">
        <f t="shared" si="13"/>
        <v>13</v>
      </c>
      <c r="T295" s="60">
        <f>MONTH(dataset_1!B:B)</f>
        <v>1</v>
      </c>
      <c r="U295" s="60">
        <f t="shared" si="14"/>
        <v>2011</v>
      </c>
      <c r="V295" s="59" t="str">
        <f>TEXT(F295/24,"H AM/PM")</f>
        <v>4 PM</v>
      </c>
      <c r="W295" s="59" t="str">
        <f>IF(H295=6,"Saturday",IF(H295=0,"Sunday",IF(H295=1,"Monday",IF(H295=2,"Tuesday",IF(H295=3,"Wednesday",IF(H295=4,"Thursday",IF(H295=5,"Friday")))))))</f>
        <v>Thursday</v>
      </c>
      <c r="X295" s="59" t="str">
        <f>IF(G295=FALSE,"Working day", IF(G295=TRUE,"Holiday"))</f>
        <v>Working day</v>
      </c>
    </row>
    <row r="296" spans="1:24" x14ac:dyDescent="0.25">
      <c r="A296" s="32">
        <v>295</v>
      </c>
      <c r="B296" s="33">
        <v>40556</v>
      </c>
      <c r="C296" s="26">
        <v>1</v>
      </c>
      <c r="D296" s="26">
        <v>0</v>
      </c>
      <c r="E296" s="26">
        <v>1</v>
      </c>
      <c r="F296" s="26">
        <v>17</v>
      </c>
      <c r="G296" s="26" t="b">
        <v>0</v>
      </c>
      <c r="H296" s="26">
        <v>4</v>
      </c>
      <c r="I296" s="26">
        <v>1</v>
      </c>
      <c r="J296" s="26">
        <v>0.2</v>
      </c>
      <c r="K296" s="26">
        <v>0.18179999999999999</v>
      </c>
      <c r="L296" s="26">
        <v>0.4</v>
      </c>
      <c r="M296">
        <v>0.28360000000000002</v>
      </c>
      <c r="N296" s="26">
        <v>4</v>
      </c>
      <c r="O296" s="26">
        <v>158</v>
      </c>
      <c r="P296" s="26">
        <v>162</v>
      </c>
      <c r="Q296" s="34" t="str">
        <f t="shared" si="12"/>
        <v>Clear</v>
      </c>
      <c r="R296" s="41" t="str">
        <f>IF(I296=1,"Normal",IF(I296=2,"Yellow Alert",IF(I296=3,"Orange Alert",IF(I296=4,"Red Alert"))))</f>
        <v>Normal</v>
      </c>
      <c r="S296" s="60">
        <f t="shared" si="13"/>
        <v>13</v>
      </c>
      <c r="T296" s="60">
        <f>MONTH(dataset_1!B:B)</f>
        <v>1</v>
      </c>
      <c r="U296" s="60">
        <f t="shared" si="14"/>
        <v>2011</v>
      </c>
      <c r="V296" s="59" t="str">
        <f>TEXT(F296/24,"H AM/PM")</f>
        <v>5 PM</v>
      </c>
      <c r="W296" s="59" t="str">
        <f>IF(H296=6,"Saturday",IF(H296=0,"Sunday",IF(H296=1,"Monday",IF(H296=2,"Tuesday",IF(H296=3,"Wednesday",IF(H296=4,"Thursday",IF(H296=5,"Friday")))))))</f>
        <v>Thursday</v>
      </c>
      <c r="X296" s="59" t="str">
        <f>IF(G296=FALSE,"Working day", IF(G296=TRUE,"Holiday"))</f>
        <v>Working day</v>
      </c>
    </row>
    <row r="297" spans="1:24" x14ac:dyDescent="0.25">
      <c r="A297" s="32">
        <v>296</v>
      </c>
      <c r="B297" s="33">
        <v>40556</v>
      </c>
      <c r="C297" s="26">
        <v>1</v>
      </c>
      <c r="D297" s="26">
        <v>0</v>
      </c>
      <c r="E297" s="26">
        <v>1</v>
      </c>
      <c r="F297" s="26">
        <v>18</v>
      </c>
      <c r="G297" s="26" t="b">
        <v>0</v>
      </c>
      <c r="H297" s="26">
        <v>4</v>
      </c>
      <c r="I297" s="26">
        <v>1</v>
      </c>
      <c r="J297" s="26">
        <v>0.2</v>
      </c>
      <c r="K297" s="26">
        <v>0.1515</v>
      </c>
      <c r="L297" s="26">
        <v>0.4</v>
      </c>
      <c r="M297">
        <v>0.32840000000000003</v>
      </c>
      <c r="N297" s="26">
        <v>3</v>
      </c>
      <c r="O297" s="26">
        <v>141</v>
      </c>
      <c r="P297" s="26">
        <v>144</v>
      </c>
      <c r="Q297" s="34" t="str">
        <f t="shared" si="12"/>
        <v>Clear</v>
      </c>
      <c r="R297" s="41" t="str">
        <f>IF(I297=1,"Normal",IF(I297=2,"Yellow Alert",IF(I297=3,"Orange Alert",IF(I297=4,"Red Alert"))))</f>
        <v>Normal</v>
      </c>
      <c r="S297" s="60">
        <f t="shared" si="13"/>
        <v>13</v>
      </c>
      <c r="T297" s="60">
        <f>MONTH(dataset_1!B:B)</f>
        <v>1</v>
      </c>
      <c r="U297" s="60">
        <f t="shared" si="14"/>
        <v>2011</v>
      </c>
      <c r="V297" s="59" t="str">
        <f>TEXT(F297/24,"H AM/PM")</f>
        <v>6 PM</v>
      </c>
      <c r="W297" s="59" t="str">
        <f>IF(H297=6,"Saturday",IF(H297=0,"Sunday",IF(H297=1,"Monday",IF(H297=2,"Tuesday",IF(H297=3,"Wednesday",IF(H297=4,"Thursday",IF(H297=5,"Friday")))))))</f>
        <v>Thursday</v>
      </c>
      <c r="X297" s="59" t="str">
        <f>IF(G297=FALSE,"Working day", IF(G297=TRUE,"Holiday"))</f>
        <v>Working day</v>
      </c>
    </row>
    <row r="298" spans="1:24" x14ac:dyDescent="0.25">
      <c r="A298" s="32">
        <v>297</v>
      </c>
      <c r="B298" s="33">
        <v>40556</v>
      </c>
      <c r="C298" s="26">
        <v>1</v>
      </c>
      <c r="D298" s="26">
        <v>0</v>
      </c>
      <c r="E298" s="26">
        <v>1</v>
      </c>
      <c r="F298" s="26">
        <v>19</v>
      </c>
      <c r="G298" s="26" t="b">
        <v>0</v>
      </c>
      <c r="H298" s="26">
        <v>4</v>
      </c>
      <c r="I298" s="26">
        <v>1</v>
      </c>
      <c r="J298" s="26">
        <v>0.16</v>
      </c>
      <c r="K298" s="26">
        <v>0.1515</v>
      </c>
      <c r="L298" s="26">
        <v>0.47</v>
      </c>
      <c r="M298">
        <v>0.25369999999999998</v>
      </c>
      <c r="N298" s="26">
        <v>1</v>
      </c>
      <c r="O298" s="26">
        <v>98</v>
      </c>
      <c r="P298" s="26">
        <v>99</v>
      </c>
      <c r="Q298" s="34" t="str">
        <f t="shared" si="12"/>
        <v>Clear</v>
      </c>
      <c r="R298" s="41" t="str">
        <f>IF(I298=1,"Normal",IF(I298=2,"Yellow Alert",IF(I298=3,"Orange Alert",IF(I298=4,"Red Alert"))))</f>
        <v>Normal</v>
      </c>
      <c r="S298" s="60">
        <f t="shared" si="13"/>
        <v>13</v>
      </c>
      <c r="T298" s="60">
        <f>MONTH(dataset_1!B:B)</f>
        <v>1</v>
      </c>
      <c r="U298" s="60">
        <f t="shared" si="14"/>
        <v>2011</v>
      </c>
      <c r="V298" s="59" t="str">
        <f>TEXT(F298/24,"H AM/PM")</f>
        <v>7 PM</v>
      </c>
      <c r="W298" s="59" t="str">
        <f>IF(H298=6,"Saturday",IF(H298=0,"Sunday",IF(H298=1,"Monday",IF(H298=2,"Tuesday",IF(H298=3,"Wednesday",IF(H298=4,"Thursday",IF(H298=5,"Friday")))))))</f>
        <v>Thursday</v>
      </c>
      <c r="X298" s="59" t="str">
        <f>IF(G298=FALSE,"Working day", IF(G298=TRUE,"Holiday"))</f>
        <v>Working day</v>
      </c>
    </row>
    <row r="299" spans="1:24" x14ac:dyDescent="0.25">
      <c r="A299" s="32">
        <v>298</v>
      </c>
      <c r="B299" s="33">
        <v>40556</v>
      </c>
      <c r="C299" s="26">
        <v>1</v>
      </c>
      <c r="D299" s="26">
        <v>0</v>
      </c>
      <c r="E299" s="26">
        <v>1</v>
      </c>
      <c r="F299" s="26">
        <v>20</v>
      </c>
      <c r="G299" s="26" t="b">
        <v>0</v>
      </c>
      <c r="H299" s="26">
        <v>4</v>
      </c>
      <c r="I299" s="26">
        <v>1</v>
      </c>
      <c r="J299" s="26">
        <v>0.16</v>
      </c>
      <c r="K299" s="26">
        <v>0.1212</v>
      </c>
      <c r="L299" s="26">
        <v>0.47</v>
      </c>
      <c r="M299">
        <v>0.22389999999999999</v>
      </c>
      <c r="N299" s="26">
        <v>0</v>
      </c>
      <c r="O299" s="26">
        <v>64</v>
      </c>
      <c r="P299" s="26">
        <v>64</v>
      </c>
      <c r="Q299" s="34" t="str">
        <f t="shared" si="12"/>
        <v>Clear</v>
      </c>
      <c r="R299" s="41" t="str">
        <f>IF(I299=1,"Normal",IF(I299=2,"Yellow Alert",IF(I299=3,"Orange Alert",IF(I299=4,"Red Alert"))))</f>
        <v>Normal</v>
      </c>
      <c r="S299" s="60">
        <f t="shared" si="13"/>
        <v>13</v>
      </c>
      <c r="T299" s="60">
        <f>MONTH(dataset_1!B:B)</f>
        <v>1</v>
      </c>
      <c r="U299" s="60">
        <f t="shared" si="14"/>
        <v>2011</v>
      </c>
      <c r="V299" s="59" t="str">
        <f>TEXT(F299/24,"H AM/PM")</f>
        <v>8 PM</v>
      </c>
      <c r="W299" s="59" t="str">
        <f>IF(H299=6,"Saturday",IF(H299=0,"Sunday",IF(H299=1,"Monday",IF(H299=2,"Tuesday",IF(H299=3,"Wednesday",IF(H299=4,"Thursday",IF(H299=5,"Friday")))))))</f>
        <v>Thursday</v>
      </c>
      <c r="X299" s="59" t="str">
        <f>IF(G299=FALSE,"Working day", IF(G299=TRUE,"Holiday"))</f>
        <v>Working day</v>
      </c>
    </row>
    <row r="300" spans="1:24" x14ac:dyDescent="0.25">
      <c r="A300" s="32">
        <v>299</v>
      </c>
      <c r="B300" s="33">
        <v>40556</v>
      </c>
      <c r="C300" s="26">
        <v>1</v>
      </c>
      <c r="D300" s="26">
        <v>0</v>
      </c>
      <c r="E300" s="26">
        <v>1</v>
      </c>
      <c r="F300" s="26">
        <v>21</v>
      </c>
      <c r="G300" s="26" t="b">
        <v>0</v>
      </c>
      <c r="H300" s="26">
        <v>4</v>
      </c>
      <c r="I300" s="26">
        <v>1</v>
      </c>
      <c r="J300" s="26">
        <v>0.14000000000000001</v>
      </c>
      <c r="K300" s="26">
        <v>0.1212</v>
      </c>
      <c r="L300" s="26">
        <v>0.46</v>
      </c>
      <c r="M300">
        <v>0.29849999999999999</v>
      </c>
      <c r="N300" s="26">
        <v>0</v>
      </c>
      <c r="O300" s="26">
        <v>40</v>
      </c>
      <c r="P300" s="26">
        <v>40</v>
      </c>
      <c r="Q300" s="34" t="str">
        <f t="shared" si="12"/>
        <v>Clear</v>
      </c>
      <c r="R300" s="41" t="str">
        <f>IF(I300=1,"Normal",IF(I300=2,"Yellow Alert",IF(I300=3,"Orange Alert",IF(I300=4,"Red Alert"))))</f>
        <v>Normal</v>
      </c>
      <c r="S300" s="60">
        <f t="shared" si="13"/>
        <v>13</v>
      </c>
      <c r="T300" s="60">
        <f>MONTH(dataset_1!B:B)</f>
        <v>1</v>
      </c>
      <c r="U300" s="60">
        <f t="shared" si="14"/>
        <v>2011</v>
      </c>
      <c r="V300" s="59" t="str">
        <f>TEXT(F300/24,"H AM/PM")</f>
        <v>9 PM</v>
      </c>
      <c r="W300" s="59" t="str">
        <f>IF(H300=6,"Saturday",IF(H300=0,"Sunday",IF(H300=1,"Monday",IF(H300=2,"Tuesday",IF(H300=3,"Wednesday",IF(H300=4,"Thursday",IF(H300=5,"Friday")))))))</f>
        <v>Thursday</v>
      </c>
      <c r="X300" s="59" t="str">
        <f>IF(G300=FALSE,"Working day", IF(G300=TRUE,"Holiday"))</f>
        <v>Working day</v>
      </c>
    </row>
    <row r="301" spans="1:24" x14ac:dyDescent="0.25">
      <c r="A301" s="32">
        <v>300</v>
      </c>
      <c r="B301" s="33">
        <v>40556</v>
      </c>
      <c r="C301" s="26">
        <v>1</v>
      </c>
      <c r="D301" s="26">
        <v>0</v>
      </c>
      <c r="E301" s="26">
        <v>1</v>
      </c>
      <c r="F301" s="26">
        <v>22</v>
      </c>
      <c r="G301" s="26" t="b">
        <v>0</v>
      </c>
      <c r="H301" s="26">
        <v>4</v>
      </c>
      <c r="I301" s="26">
        <v>1</v>
      </c>
      <c r="J301" s="26">
        <v>0.14000000000000001</v>
      </c>
      <c r="K301" s="26">
        <v>0.13639999999999999</v>
      </c>
      <c r="L301" s="26">
        <v>0.46</v>
      </c>
      <c r="M301">
        <v>0.32840000000000003</v>
      </c>
      <c r="N301" s="26">
        <v>0</v>
      </c>
      <c r="O301" s="26">
        <v>30</v>
      </c>
      <c r="P301" s="26">
        <v>30</v>
      </c>
      <c r="Q301" s="34" t="str">
        <f t="shared" si="12"/>
        <v>Clear</v>
      </c>
      <c r="R301" s="41" t="str">
        <f>IF(I301=1,"Normal",IF(I301=2,"Yellow Alert",IF(I301=3,"Orange Alert",IF(I301=4,"Red Alert"))))</f>
        <v>Normal</v>
      </c>
      <c r="S301" s="60">
        <f t="shared" si="13"/>
        <v>13</v>
      </c>
      <c r="T301" s="60">
        <f>MONTH(dataset_1!B:B)</f>
        <v>1</v>
      </c>
      <c r="U301" s="60">
        <f t="shared" si="14"/>
        <v>2011</v>
      </c>
      <c r="V301" s="59" t="str">
        <f>TEXT(F301/24,"H AM/PM")</f>
        <v>10 PM</v>
      </c>
      <c r="W301" s="59" t="str">
        <f>IF(H301=6,"Saturday",IF(H301=0,"Sunday",IF(H301=1,"Monday",IF(H301=2,"Tuesday",IF(H301=3,"Wednesday",IF(H301=4,"Thursday",IF(H301=5,"Friday")))))))</f>
        <v>Thursday</v>
      </c>
      <c r="X301" s="59" t="str">
        <f>IF(G301=FALSE,"Working day", IF(G301=TRUE,"Holiday"))</f>
        <v>Working day</v>
      </c>
    </row>
    <row r="302" spans="1:24" x14ac:dyDescent="0.25">
      <c r="A302" s="32">
        <v>301</v>
      </c>
      <c r="B302" s="33">
        <v>40556</v>
      </c>
      <c r="C302" s="26">
        <v>1</v>
      </c>
      <c r="D302" s="26">
        <v>0</v>
      </c>
      <c r="E302" s="26">
        <v>1</v>
      </c>
      <c r="F302" s="26">
        <v>23</v>
      </c>
      <c r="G302" s="26" t="b">
        <v>0</v>
      </c>
      <c r="H302" s="26">
        <v>4</v>
      </c>
      <c r="I302" s="26">
        <v>1</v>
      </c>
      <c r="J302" s="26">
        <v>0.12</v>
      </c>
      <c r="K302" s="26">
        <v>0.13639999999999999</v>
      </c>
      <c r="L302" s="26">
        <v>0.5</v>
      </c>
      <c r="M302">
        <v>0.19400000000000001</v>
      </c>
      <c r="N302" s="26">
        <v>1</v>
      </c>
      <c r="O302" s="26">
        <v>14</v>
      </c>
      <c r="P302" s="26">
        <v>15</v>
      </c>
      <c r="Q302" s="34" t="str">
        <f t="shared" si="12"/>
        <v>Clear</v>
      </c>
      <c r="R302" s="41" t="str">
        <f>IF(I302=1,"Normal",IF(I302=2,"Yellow Alert",IF(I302=3,"Orange Alert",IF(I302=4,"Red Alert"))))</f>
        <v>Normal</v>
      </c>
      <c r="S302" s="60">
        <f t="shared" si="13"/>
        <v>13</v>
      </c>
      <c r="T302" s="60">
        <f>MONTH(dataset_1!B:B)</f>
        <v>1</v>
      </c>
      <c r="U302" s="60">
        <f t="shared" si="14"/>
        <v>2011</v>
      </c>
      <c r="V302" s="59" t="str">
        <f>TEXT(F302/24,"H AM/PM")</f>
        <v>11 PM</v>
      </c>
      <c r="W302" s="59" t="str">
        <f>IF(H302=6,"Saturday",IF(H302=0,"Sunday",IF(H302=1,"Monday",IF(H302=2,"Tuesday",IF(H302=3,"Wednesday",IF(H302=4,"Thursday",IF(H302=5,"Friday")))))))</f>
        <v>Thursday</v>
      </c>
      <c r="X302" s="59" t="str">
        <f>IF(G302=FALSE,"Working day", IF(G302=TRUE,"Holiday"))</f>
        <v>Working day</v>
      </c>
    </row>
    <row r="303" spans="1:24" x14ac:dyDescent="0.25">
      <c r="A303" s="32">
        <v>302</v>
      </c>
      <c r="B303" s="33">
        <v>40557</v>
      </c>
      <c r="C303" s="26">
        <v>1</v>
      </c>
      <c r="D303" s="26">
        <v>0</v>
      </c>
      <c r="E303" s="26">
        <v>1</v>
      </c>
      <c r="F303" s="26">
        <v>0</v>
      </c>
      <c r="G303" s="26" t="b">
        <v>0</v>
      </c>
      <c r="H303" s="26">
        <v>5</v>
      </c>
      <c r="I303" s="26">
        <v>1</v>
      </c>
      <c r="J303" s="26">
        <v>0.12</v>
      </c>
      <c r="K303" s="26">
        <v>0.1212</v>
      </c>
      <c r="L303" s="26">
        <v>0.5</v>
      </c>
      <c r="M303">
        <v>0.19400000000000001</v>
      </c>
      <c r="N303" s="26">
        <v>0</v>
      </c>
      <c r="O303" s="26">
        <v>14</v>
      </c>
      <c r="P303" s="26">
        <v>14</v>
      </c>
      <c r="Q303" s="34" t="str">
        <f t="shared" si="12"/>
        <v>Clear</v>
      </c>
      <c r="R303" s="41" t="str">
        <f>IF(I303=1,"Normal",IF(I303=2,"Yellow Alert",IF(I303=3,"Orange Alert",IF(I303=4,"Red Alert"))))</f>
        <v>Normal</v>
      </c>
      <c r="S303" s="60">
        <f t="shared" si="13"/>
        <v>14</v>
      </c>
      <c r="T303" s="60">
        <f>MONTH(dataset_1!B:B)</f>
        <v>1</v>
      </c>
      <c r="U303" s="60">
        <f t="shared" si="14"/>
        <v>2011</v>
      </c>
      <c r="V303" s="59" t="str">
        <f>TEXT(F303/24,"H AM/PM")</f>
        <v>12 AM</v>
      </c>
      <c r="W303" s="59" t="str">
        <f>IF(H303=6,"Saturday",IF(H303=0,"Sunday",IF(H303=1,"Monday",IF(H303=2,"Tuesday",IF(H303=3,"Wednesday",IF(H303=4,"Thursday",IF(H303=5,"Friday")))))))</f>
        <v>Friday</v>
      </c>
      <c r="X303" s="59" t="str">
        <f>IF(G303=FALSE,"Working day", IF(G303=TRUE,"Holiday"))</f>
        <v>Working day</v>
      </c>
    </row>
    <row r="304" spans="1:24" x14ac:dyDescent="0.25">
      <c r="A304" s="32">
        <v>303</v>
      </c>
      <c r="B304" s="33">
        <v>40557</v>
      </c>
      <c r="C304" s="26">
        <v>1</v>
      </c>
      <c r="D304" s="26">
        <v>0</v>
      </c>
      <c r="E304" s="26">
        <v>1</v>
      </c>
      <c r="F304" s="26">
        <v>1</v>
      </c>
      <c r="G304" s="26" t="b">
        <v>0</v>
      </c>
      <c r="H304" s="26">
        <v>5</v>
      </c>
      <c r="I304" s="26">
        <v>1</v>
      </c>
      <c r="J304" s="26">
        <v>0.1</v>
      </c>
      <c r="K304" s="26">
        <v>0.1212</v>
      </c>
      <c r="L304" s="26">
        <v>0.54</v>
      </c>
      <c r="M304">
        <v>0.16420000000000001</v>
      </c>
      <c r="N304" s="26">
        <v>0</v>
      </c>
      <c r="O304" s="26">
        <v>5</v>
      </c>
      <c r="P304" s="26">
        <v>5</v>
      </c>
      <c r="Q304" s="34" t="str">
        <f t="shared" si="12"/>
        <v>Clear</v>
      </c>
      <c r="R304" s="41" t="str">
        <f>IF(I304=1,"Normal",IF(I304=2,"Yellow Alert",IF(I304=3,"Orange Alert",IF(I304=4,"Red Alert"))))</f>
        <v>Normal</v>
      </c>
      <c r="S304" s="60">
        <f t="shared" si="13"/>
        <v>14</v>
      </c>
      <c r="T304" s="60">
        <f>MONTH(dataset_1!B:B)</f>
        <v>1</v>
      </c>
      <c r="U304" s="60">
        <f t="shared" si="14"/>
        <v>2011</v>
      </c>
      <c r="V304" s="59" t="str">
        <f>TEXT(F304/24,"H AM/PM")</f>
        <v>1 AM</v>
      </c>
      <c r="W304" s="59" t="str">
        <f>IF(H304=6,"Saturday",IF(H304=0,"Sunday",IF(H304=1,"Monday",IF(H304=2,"Tuesday",IF(H304=3,"Wednesday",IF(H304=4,"Thursday",IF(H304=5,"Friday")))))))</f>
        <v>Friday</v>
      </c>
      <c r="X304" s="59" t="str">
        <f>IF(G304=FALSE,"Working day", IF(G304=TRUE,"Holiday"))</f>
        <v>Working day</v>
      </c>
    </row>
    <row r="305" spans="1:24" x14ac:dyDescent="0.25">
      <c r="A305" s="32">
        <v>304</v>
      </c>
      <c r="B305" s="33">
        <v>40557</v>
      </c>
      <c r="C305" s="26">
        <v>1</v>
      </c>
      <c r="D305" s="26">
        <v>0</v>
      </c>
      <c r="E305" s="26">
        <v>1</v>
      </c>
      <c r="F305" s="26">
        <v>2</v>
      </c>
      <c r="G305" s="26" t="b">
        <v>0</v>
      </c>
      <c r="H305" s="26">
        <v>5</v>
      </c>
      <c r="I305" s="26">
        <v>1</v>
      </c>
      <c r="J305" s="26">
        <v>0.1</v>
      </c>
      <c r="K305" s="26">
        <v>0.13639999999999999</v>
      </c>
      <c r="L305" s="26">
        <v>0.54</v>
      </c>
      <c r="M305">
        <v>0.1343</v>
      </c>
      <c r="N305" s="26">
        <v>0</v>
      </c>
      <c r="O305" s="26">
        <v>1</v>
      </c>
      <c r="P305" s="26">
        <v>1</v>
      </c>
      <c r="Q305" s="34" t="str">
        <f t="shared" si="12"/>
        <v>Clear</v>
      </c>
      <c r="R305" s="41" t="str">
        <f>IF(I305=1,"Normal",IF(I305=2,"Yellow Alert",IF(I305=3,"Orange Alert",IF(I305=4,"Red Alert"))))</f>
        <v>Normal</v>
      </c>
      <c r="S305" s="60">
        <f t="shared" si="13"/>
        <v>14</v>
      </c>
      <c r="T305" s="60">
        <f>MONTH(dataset_1!B:B)</f>
        <v>1</v>
      </c>
      <c r="U305" s="60">
        <f t="shared" si="14"/>
        <v>2011</v>
      </c>
      <c r="V305" s="59" t="str">
        <f>TEXT(F305/24,"H AM/PM")</f>
        <v>2 AM</v>
      </c>
      <c r="W305" s="59" t="str">
        <f>IF(H305=6,"Saturday",IF(H305=0,"Sunday",IF(H305=1,"Monday",IF(H305=2,"Tuesday",IF(H305=3,"Wednesday",IF(H305=4,"Thursday",IF(H305=5,"Friday")))))))</f>
        <v>Friday</v>
      </c>
      <c r="X305" s="59" t="str">
        <f>IF(G305=FALSE,"Working day", IF(G305=TRUE,"Holiday"))</f>
        <v>Working day</v>
      </c>
    </row>
    <row r="306" spans="1:24" x14ac:dyDescent="0.25">
      <c r="A306" s="32">
        <v>305</v>
      </c>
      <c r="B306" s="33">
        <v>40557</v>
      </c>
      <c r="C306" s="26">
        <v>1</v>
      </c>
      <c r="D306" s="26">
        <v>0</v>
      </c>
      <c r="E306" s="26">
        <v>1</v>
      </c>
      <c r="F306" s="26">
        <v>3</v>
      </c>
      <c r="G306" s="26" t="b">
        <v>0</v>
      </c>
      <c r="H306" s="26">
        <v>5</v>
      </c>
      <c r="I306" s="26">
        <v>1</v>
      </c>
      <c r="J306" s="26">
        <v>0.1</v>
      </c>
      <c r="K306" s="26">
        <v>0.13639999999999999</v>
      </c>
      <c r="L306" s="26">
        <v>0.54</v>
      </c>
      <c r="M306">
        <v>0.1045</v>
      </c>
      <c r="N306" s="26">
        <v>0</v>
      </c>
      <c r="O306" s="26">
        <v>1</v>
      </c>
      <c r="P306" s="26">
        <v>1</v>
      </c>
      <c r="Q306" s="34" t="str">
        <f t="shared" si="12"/>
        <v>Clear</v>
      </c>
      <c r="R306" s="41" t="str">
        <f>IF(I306=1,"Normal",IF(I306=2,"Yellow Alert",IF(I306=3,"Orange Alert",IF(I306=4,"Red Alert"))))</f>
        <v>Normal</v>
      </c>
      <c r="S306" s="60">
        <f t="shared" si="13"/>
        <v>14</v>
      </c>
      <c r="T306" s="60">
        <f>MONTH(dataset_1!B:B)</f>
        <v>1</v>
      </c>
      <c r="U306" s="60">
        <f t="shared" si="14"/>
        <v>2011</v>
      </c>
      <c r="V306" s="59" t="str">
        <f>TEXT(F306/24,"H AM/PM")</f>
        <v>3 AM</v>
      </c>
      <c r="W306" s="59" t="str">
        <f>IF(H306=6,"Saturday",IF(H306=0,"Sunday",IF(H306=1,"Monday",IF(H306=2,"Tuesday",IF(H306=3,"Wednesday",IF(H306=4,"Thursday",IF(H306=5,"Friday")))))))</f>
        <v>Friday</v>
      </c>
      <c r="X306" s="59" t="str">
        <f>IF(G306=FALSE,"Working day", IF(G306=TRUE,"Holiday"))</f>
        <v>Working day</v>
      </c>
    </row>
    <row r="307" spans="1:24" x14ac:dyDescent="0.25">
      <c r="A307" s="32">
        <v>306</v>
      </c>
      <c r="B307" s="33">
        <v>40557</v>
      </c>
      <c r="C307" s="26">
        <v>1</v>
      </c>
      <c r="D307" s="26">
        <v>0</v>
      </c>
      <c r="E307" s="26">
        <v>1</v>
      </c>
      <c r="F307" s="26">
        <v>5</v>
      </c>
      <c r="G307" s="26" t="b">
        <v>0</v>
      </c>
      <c r="H307" s="26">
        <v>5</v>
      </c>
      <c r="I307" s="26">
        <v>1</v>
      </c>
      <c r="J307" s="26">
        <v>0.1</v>
      </c>
      <c r="K307" s="26">
        <v>0.18179999999999999</v>
      </c>
      <c r="L307" s="26">
        <v>0.54</v>
      </c>
      <c r="M307">
        <v>8.9599999999999999E-2</v>
      </c>
      <c r="N307" s="26">
        <v>0</v>
      </c>
      <c r="O307" s="26">
        <v>8</v>
      </c>
      <c r="P307" s="26">
        <v>8</v>
      </c>
      <c r="Q307" s="34" t="str">
        <f t="shared" si="12"/>
        <v>Clear</v>
      </c>
      <c r="R307" s="41" t="str">
        <f>IF(I307=1,"Normal",IF(I307=2,"Yellow Alert",IF(I307=3,"Orange Alert",IF(I307=4,"Red Alert"))))</f>
        <v>Normal</v>
      </c>
      <c r="S307" s="60">
        <f t="shared" si="13"/>
        <v>14</v>
      </c>
      <c r="T307" s="60">
        <f>MONTH(dataset_1!B:B)</f>
        <v>1</v>
      </c>
      <c r="U307" s="60">
        <f t="shared" si="14"/>
        <v>2011</v>
      </c>
      <c r="V307" s="59" t="str">
        <f>TEXT(F307/24,"H AM/PM")</f>
        <v>5 AM</v>
      </c>
      <c r="W307" s="59" t="str">
        <f>IF(H307=6,"Saturday",IF(H307=0,"Sunday",IF(H307=1,"Monday",IF(H307=2,"Tuesday",IF(H307=3,"Wednesday",IF(H307=4,"Thursday",IF(H307=5,"Friday")))))))</f>
        <v>Friday</v>
      </c>
      <c r="X307" s="59" t="str">
        <f>IF(G307=FALSE,"Working day", IF(G307=TRUE,"Holiday"))</f>
        <v>Working day</v>
      </c>
    </row>
    <row r="308" spans="1:24" x14ac:dyDescent="0.25">
      <c r="A308" s="32">
        <v>307</v>
      </c>
      <c r="B308" s="33">
        <v>40557</v>
      </c>
      <c r="C308" s="26">
        <v>1</v>
      </c>
      <c r="D308" s="26">
        <v>0</v>
      </c>
      <c r="E308" s="26">
        <v>1</v>
      </c>
      <c r="F308" s="26">
        <v>6</v>
      </c>
      <c r="G308" s="26" t="b">
        <v>0</v>
      </c>
      <c r="H308" s="26">
        <v>5</v>
      </c>
      <c r="I308" s="26">
        <v>1</v>
      </c>
      <c r="J308" s="26">
        <v>0.1</v>
      </c>
      <c r="K308" s="26">
        <v>0.1212</v>
      </c>
      <c r="L308" s="26">
        <v>0.54</v>
      </c>
      <c r="M308">
        <v>0</v>
      </c>
      <c r="N308" s="26">
        <v>0</v>
      </c>
      <c r="O308" s="26">
        <v>17</v>
      </c>
      <c r="P308" s="26">
        <v>17</v>
      </c>
      <c r="Q308" s="34" t="str">
        <f t="shared" si="12"/>
        <v>Clear</v>
      </c>
      <c r="R308" s="41" t="str">
        <f>IF(I308=1,"Normal",IF(I308=2,"Yellow Alert",IF(I308=3,"Orange Alert",IF(I308=4,"Red Alert"))))</f>
        <v>Normal</v>
      </c>
      <c r="S308" s="60">
        <f t="shared" si="13"/>
        <v>14</v>
      </c>
      <c r="T308" s="60">
        <f>MONTH(dataset_1!B:B)</f>
        <v>1</v>
      </c>
      <c r="U308" s="60">
        <f t="shared" si="14"/>
        <v>2011</v>
      </c>
      <c r="V308" s="59" t="str">
        <f>TEXT(F308/24,"H AM/PM")</f>
        <v>6 AM</v>
      </c>
      <c r="W308" s="59" t="str">
        <f>IF(H308=6,"Saturday",IF(H308=0,"Sunday",IF(H308=1,"Monday",IF(H308=2,"Tuesday",IF(H308=3,"Wednesday",IF(H308=4,"Thursday",IF(H308=5,"Friday")))))))</f>
        <v>Friday</v>
      </c>
      <c r="X308" s="59" t="str">
        <f>IF(G308=FALSE,"Working day", IF(G308=TRUE,"Holiday"))</f>
        <v>Working day</v>
      </c>
    </row>
    <row r="309" spans="1:24" x14ac:dyDescent="0.25">
      <c r="A309" s="32">
        <v>308</v>
      </c>
      <c r="B309" s="33">
        <v>40557</v>
      </c>
      <c r="C309" s="26">
        <v>1</v>
      </c>
      <c r="D309" s="26">
        <v>0</v>
      </c>
      <c r="E309" s="26">
        <v>1</v>
      </c>
      <c r="F309" s="26">
        <v>7</v>
      </c>
      <c r="G309" s="26" t="b">
        <v>0</v>
      </c>
      <c r="H309" s="26">
        <v>5</v>
      </c>
      <c r="I309" s="26">
        <v>1</v>
      </c>
      <c r="J309" s="26">
        <v>0.1</v>
      </c>
      <c r="K309" s="26">
        <v>0.16669999999999999</v>
      </c>
      <c r="L309" s="26">
        <v>0.74</v>
      </c>
      <c r="M309">
        <v>0.16420000000000001</v>
      </c>
      <c r="N309" s="26">
        <v>0</v>
      </c>
      <c r="O309" s="26">
        <v>70</v>
      </c>
      <c r="P309" s="26">
        <v>70</v>
      </c>
      <c r="Q309" s="34" t="str">
        <f t="shared" si="12"/>
        <v>Clear</v>
      </c>
      <c r="R309" s="41" t="str">
        <f>IF(I309=1,"Normal",IF(I309=2,"Yellow Alert",IF(I309=3,"Orange Alert",IF(I309=4,"Red Alert"))))</f>
        <v>Normal</v>
      </c>
      <c r="S309" s="60">
        <f t="shared" si="13"/>
        <v>14</v>
      </c>
      <c r="T309" s="60">
        <f>MONTH(dataset_1!B:B)</f>
        <v>1</v>
      </c>
      <c r="U309" s="60">
        <f t="shared" si="14"/>
        <v>2011</v>
      </c>
      <c r="V309" s="59" t="str">
        <f>TEXT(F309/24,"H AM/PM")</f>
        <v>7 AM</v>
      </c>
      <c r="W309" s="59" t="str">
        <f>IF(H309=6,"Saturday",IF(H309=0,"Sunday",IF(H309=1,"Monday",IF(H309=2,"Tuesday",IF(H309=3,"Wednesday",IF(H309=4,"Thursday",IF(H309=5,"Friday")))))))</f>
        <v>Friday</v>
      </c>
      <c r="X309" s="59" t="str">
        <f>IF(G309=FALSE,"Working day", IF(G309=TRUE,"Holiday"))</f>
        <v>Working day</v>
      </c>
    </row>
    <row r="310" spans="1:24" x14ac:dyDescent="0.25">
      <c r="A310" s="32">
        <v>309</v>
      </c>
      <c r="B310" s="33">
        <v>40557</v>
      </c>
      <c r="C310" s="26">
        <v>1</v>
      </c>
      <c r="D310" s="26">
        <v>0</v>
      </c>
      <c r="E310" s="26">
        <v>1</v>
      </c>
      <c r="F310" s="26">
        <v>8</v>
      </c>
      <c r="G310" s="26" t="b">
        <v>0</v>
      </c>
      <c r="H310" s="26">
        <v>5</v>
      </c>
      <c r="I310" s="26">
        <v>1</v>
      </c>
      <c r="J310" s="26">
        <v>0.12</v>
      </c>
      <c r="K310" s="26">
        <v>0.1515</v>
      </c>
      <c r="L310" s="26">
        <v>0.68</v>
      </c>
      <c r="M310">
        <v>0</v>
      </c>
      <c r="N310" s="26">
        <v>2</v>
      </c>
      <c r="O310" s="26">
        <v>156</v>
      </c>
      <c r="P310" s="26">
        <v>158</v>
      </c>
      <c r="Q310" s="34" t="str">
        <f t="shared" si="12"/>
        <v>Clear</v>
      </c>
      <c r="R310" s="41" t="str">
        <f>IF(I310=1,"Normal",IF(I310=2,"Yellow Alert",IF(I310=3,"Orange Alert",IF(I310=4,"Red Alert"))))</f>
        <v>Normal</v>
      </c>
      <c r="S310" s="60">
        <f t="shared" si="13"/>
        <v>14</v>
      </c>
      <c r="T310" s="60">
        <f>MONTH(dataset_1!B:B)</f>
        <v>1</v>
      </c>
      <c r="U310" s="60">
        <f t="shared" si="14"/>
        <v>2011</v>
      </c>
      <c r="V310" s="59" t="str">
        <f>TEXT(F310/24,"H AM/PM")</f>
        <v>8 AM</v>
      </c>
      <c r="W310" s="59" t="str">
        <f>IF(H310=6,"Saturday",IF(H310=0,"Sunday",IF(H310=1,"Monday",IF(H310=2,"Tuesday",IF(H310=3,"Wednesday",IF(H310=4,"Thursday",IF(H310=5,"Friday")))))))</f>
        <v>Friday</v>
      </c>
      <c r="X310" s="59" t="str">
        <f>IF(G310=FALSE,"Working day", IF(G310=TRUE,"Holiday"))</f>
        <v>Working day</v>
      </c>
    </row>
    <row r="311" spans="1:24" x14ac:dyDescent="0.25">
      <c r="A311" s="32">
        <v>310</v>
      </c>
      <c r="B311" s="33">
        <v>40557</v>
      </c>
      <c r="C311" s="26">
        <v>1</v>
      </c>
      <c r="D311" s="26">
        <v>0</v>
      </c>
      <c r="E311" s="26">
        <v>1</v>
      </c>
      <c r="F311" s="26">
        <v>9</v>
      </c>
      <c r="G311" s="26" t="b">
        <v>0</v>
      </c>
      <c r="H311" s="26">
        <v>5</v>
      </c>
      <c r="I311" s="26">
        <v>1</v>
      </c>
      <c r="J311" s="26">
        <v>0.14000000000000001</v>
      </c>
      <c r="K311" s="26">
        <v>0.18179999999999999</v>
      </c>
      <c r="L311" s="26">
        <v>0.69</v>
      </c>
      <c r="M311">
        <v>0.1343</v>
      </c>
      <c r="N311" s="26">
        <v>0</v>
      </c>
      <c r="O311" s="26">
        <v>117</v>
      </c>
      <c r="P311" s="26">
        <v>117</v>
      </c>
      <c r="Q311" s="34" t="str">
        <f t="shared" si="12"/>
        <v>Clear</v>
      </c>
      <c r="R311" s="41" t="str">
        <f>IF(I311=1,"Normal",IF(I311=2,"Yellow Alert",IF(I311=3,"Orange Alert",IF(I311=4,"Red Alert"))))</f>
        <v>Normal</v>
      </c>
      <c r="S311" s="60">
        <f t="shared" si="13"/>
        <v>14</v>
      </c>
      <c r="T311" s="60">
        <f>MONTH(dataset_1!B:B)</f>
        <v>1</v>
      </c>
      <c r="U311" s="60">
        <f t="shared" si="14"/>
        <v>2011</v>
      </c>
      <c r="V311" s="59" t="str">
        <f>TEXT(F311/24,"H AM/PM")</f>
        <v>9 AM</v>
      </c>
      <c r="W311" s="59" t="str">
        <f>IF(H311=6,"Saturday",IF(H311=0,"Sunday",IF(H311=1,"Monday",IF(H311=2,"Tuesday",IF(H311=3,"Wednesday",IF(H311=4,"Thursday",IF(H311=5,"Friday")))))))</f>
        <v>Friday</v>
      </c>
      <c r="X311" s="59" t="str">
        <f>IF(G311=FALSE,"Working day", IF(G311=TRUE,"Holiday"))</f>
        <v>Working day</v>
      </c>
    </row>
    <row r="312" spans="1:24" x14ac:dyDescent="0.25">
      <c r="A312" s="32">
        <v>311</v>
      </c>
      <c r="B312" s="33">
        <v>40557</v>
      </c>
      <c r="C312" s="26">
        <v>1</v>
      </c>
      <c r="D312" s="26">
        <v>0</v>
      </c>
      <c r="E312" s="26">
        <v>1</v>
      </c>
      <c r="F312" s="26">
        <v>10</v>
      </c>
      <c r="G312" s="26" t="b">
        <v>0</v>
      </c>
      <c r="H312" s="26">
        <v>5</v>
      </c>
      <c r="I312" s="26">
        <v>1</v>
      </c>
      <c r="J312" s="26">
        <v>0.18</v>
      </c>
      <c r="K312" s="26">
        <v>0.16669999999999999</v>
      </c>
      <c r="L312" s="26">
        <v>0.55000000000000004</v>
      </c>
      <c r="M312">
        <v>0.19400000000000001</v>
      </c>
      <c r="N312" s="26">
        <v>4</v>
      </c>
      <c r="O312" s="26">
        <v>40</v>
      </c>
      <c r="P312" s="26">
        <v>44</v>
      </c>
      <c r="Q312" s="34" t="str">
        <f t="shared" si="12"/>
        <v>Clear</v>
      </c>
      <c r="R312" s="41" t="str">
        <f>IF(I312=1,"Normal",IF(I312=2,"Yellow Alert",IF(I312=3,"Orange Alert",IF(I312=4,"Red Alert"))))</f>
        <v>Normal</v>
      </c>
      <c r="S312" s="60">
        <f t="shared" si="13"/>
        <v>14</v>
      </c>
      <c r="T312" s="60">
        <f>MONTH(dataset_1!B:B)</f>
        <v>1</v>
      </c>
      <c r="U312" s="60">
        <f t="shared" si="14"/>
        <v>2011</v>
      </c>
      <c r="V312" s="59" t="str">
        <f>TEXT(F312/24,"H AM/PM")</f>
        <v>10 AM</v>
      </c>
      <c r="W312" s="59" t="str">
        <f>IF(H312=6,"Saturday",IF(H312=0,"Sunday",IF(H312=1,"Monday",IF(H312=2,"Tuesday",IF(H312=3,"Wednesday",IF(H312=4,"Thursday",IF(H312=5,"Friday")))))))</f>
        <v>Friday</v>
      </c>
      <c r="X312" s="59" t="str">
        <f>IF(G312=FALSE,"Working day", IF(G312=TRUE,"Holiday"))</f>
        <v>Working day</v>
      </c>
    </row>
    <row r="313" spans="1:24" x14ac:dyDescent="0.25">
      <c r="A313" s="32">
        <v>312</v>
      </c>
      <c r="B313" s="33">
        <v>40557</v>
      </c>
      <c r="C313" s="26">
        <v>1</v>
      </c>
      <c r="D313" s="26">
        <v>0</v>
      </c>
      <c r="E313" s="26">
        <v>1</v>
      </c>
      <c r="F313" s="26">
        <v>11</v>
      </c>
      <c r="G313" s="26" t="b">
        <v>0</v>
      </c>
      <c r="H313" s="26">
        <v>5</v>
      </c>
      <c r="I313" s="26">
        <v>1</v>
      </c>
      <c r="J313" s="26">
        <v>0.18</v>
      </c>
      <c r="K313" s="26">
        <v>0.19700000000000001</v>
      </c>
      <c r="L313" s="26">
        <v>0.51</v>
      </c>
      <c r="M313">
        <v>0.28360000000000002</v>
      </c>
      <c r="N313" s="26">
        <v>6</v>
      </c>
      <c r="O313" s="26">
        <v>47</v>
      </c>
      <c r="P313" s="26">
        <v>53</v>
      </c>
      <c r="Q313" s="34" t="str">
        <f t="shared" si="12"/>
        <v>Clear</v>
      </c>
      <c r="R313" s="41" t="str">
        <f>IF(I313=1,"Normal",IF(I313=2,"Yellow Alert",IF(I313=3,"Orange Alert",IF(I313=4,"Red Alert"))))</f>
        <v>Normal</v>
      </c>
      <c r="S313" s="60">
        <f t="shared" si="13"/>
        <v>14</v>
      </c>
      <c r="T313" s="60">
        <f>MONTH(dataset_1!B:B)</f>
        <v>1</v>
      </c>
      <c r="U313" s="60">
        <f t="shared" si="14"/>
        <v>2011</v>
      </c>
      <c r="V313" s="59" t="str">
        <f>TEXT(F313/24,"H AM/PM")</f>
        <v>11 AM</v>
      </c>
      <c r="W313" s="59" t="str">
        <f>IF(H313=6,"Saturday",IF(H313=0,"Sunday",IF(H313=1,"Monday",IF(H313=2,"Tuesday",IF(H313=3,"Wednesday",IF(H313=4,"Thursday",IF(H313=5,"Friday")))))))</f>
        <v>Friday</v>
      </c>
      <c r="X313" s="59" t="str">
        <f>IF(G313=FALSE,"Working day", IF(G313=TRUE,"Holiday"))</f>
        <v>Working day</v>
      </c>
    </row>
    <row r="314" spans="1:24" x14ac:dyDescent="0.25">
      <c r="A314" s="32">
        <v>313</v>
      </c>
      <c r="B314" s="33">
        <v>40557</v>
      </c>
      <c r="C314" s="26">
        <v>1</v>
      </c>
      <c r="D314" s="26">
        <v>0</v>
      </c>
      <c r="E314" s="26">
        <v>1</v>
      </c>
      <c r="F314" s="26">
        <v>12</v>
      </c>
      <c r="G314" s="26" t="b">
        <v>0</v>
      </c>
      <c r="H314" s="26">
        <v>5</v>
      </c>
      <c r="I314" s="26">
        <v>1</v>
      </c>
      <c r="J314" s="26">
        <v>0.2</v>
      </c>
      <c r="K314" s="26">
        <v>0.19700000000000001</v>
      </c>
      <c r="L314" s="26">
        <v>0.44</v>
      </c>
      <c r="M314">
        <v>0.25369999999999998</v>
      </c>
      <c r="N314" s="26">
        <v>2</v>
      </c>
      <c r="O314" s="26">
        <v>59</v>
      </c>
      <c r="P314" s="26">
        <v>61</v>
      </c>
      <c r="Q314" s="34" t="str">
        <f t="shared" si="12"/>
        <v>Clear</v>
      </c>
      <c r="R314" s="41" t="str">
        <f>IF(I314=1,"Normal",IF(I314=2,"Yellow Alert",IF(I314=3,"Orange Alert",IF(I314=4,"Red Alert"))))</f>
        <v>Normal</v>
      </c>
      <c r="S314" s="60">
        <f t="shared" si="13"/>
        <v>14</v>
      </c>
      <c r="T314" s="60">
        <f>MONTH(dataset_1!B:B)</f>
        <v>1</v>
      </c>
      <c r="U314" s="60">
        <f t="shared" si="14"/>
        <v>2011</v>
      </c>
      <c r="V314" s="59" t="str">
        <f>TEXT(F314/24,"H AM/PM")</f>
        <v>12 PM</v>
      </c>
      <c r="W314" s="59" t="str">
        <f>IF(H314=6,"Saturday",IF(H314=0,"Sunday",IF(H314=1,"Monday",IF(H314=2,"Tuesday",IF(H314=3,"Wednesday",IF(H314=4,"Thursday",IF(H314=5,"Friday")))))))</f>
        <v>Friday</v>
      </c>
      <c r="X314" s="59" t="str">
        <f>IF(G314=FALSE,"Working day", IF(G314=TRUE,"Holiday"))</f>
        <v>Working day</v>
      </c>
    </row>
    <row r="315" spans="1:24" x14ac:dyDescent="0.25">
      <c r="A315" s="32">
        <v>314</v>
      </c>
      <c r="B315" s="33">
        <v>40557</v>
      </c>
      <c r="C315" s="26">
        <v>1</v>
      </c>
      <c r="D315" s="26">
        <v>0</v>
      </c>
      <c r="E315" s="26">
        <v>1</v>
      </c>
      <c r="F315" s="26">
        <v>13</v>
      </c>
      <c r="G315" s="26" t="b">
        <v>0</v>
      </c>
      <c r="H315" s="26">
        <v>5</v>
      </c>
      <c r="I315" s="26">
        <v>1</v>
      </c>
      <c r="J315" s="26">
        <v>0.22</v>
      </c>
      <c r="K315" s="26">
        <v>0.21210000000000001</v>
      </c>
      <c r="L315" s="26">
        <v>0.37</v>
      </c>
      <c r="M315">
        <v>0.3881</v>
      </c>
      <c r="N315" s="26">
        <v>4</v>
      </c>
      <c r="O315" s="26">
        <v>73</v>
      </c>
      <c r="P315" s="26">
        <v>77</v>
      </c>
      <c r="Q315" s="34" t="str">
        <f t="shared" si="12"/>
        <v>Clear</v>
      </c>
      <c r="R315" s="41" t="str">
        <f>IF(I315=1,"Normal",IF(I315=2,"Yellow Alert",IF(I315=3,"Orange Alert",IF(I315=4,"Red Alert"))))</f>
        <v>Normal</v>
      </c>
      <c r="S315" s="60">
        <f t="shared" si="13"/>
        <v>14</v>
      </c>
      <c r="T315" s="60">
        <f>MONTH(dataset_1!B:B)</f>
        <v>1</v>
      </c>
      <c r="U315" s="60">
        <f t="shared" si="14"/>
        <v>2011</v>
      </c>
      <c r="V315" s="59" t="str">
        <f>TEXT(F315/24,"H AM/PM")</f>
        <v>1 PM</v>
      </c>
      <c r="W315" s="59" t="str">
        <f>IF(H315=6,"Saturday",IF(H315=0,"Sunday",IF(H315=1,"Monday",IF(H315=2,"Tuesday",IF(H315=3,"Wednesday",IF(H315=4,"Thursday",IF(H315=5,"Friday")))))))</f>
        <v>Friday</v>
      </c>
      <c r="X315" s="59" t="str">
        <f>IF(G315=FALSE,"Working day", IF(G315=TRUE,"Holiday"))</f>
        <v>Working day</v>
      </c>
    </row>
    <row r="316" spans="1:24" x14ac:dyDescent="0.25">
      <c r="A316" s="32">
        <v>315</v>
      </c>
      <c r="B316" s="33">
        <v>40557</v>
      </c>
      <c r="C316" s="26">
        <v>1</v>
      </c>
      <c r="D316" s="26">
        <v>0</v>
      </c>
      <c r="E316" s="26">
        <v>1</v>
      </c>
      <c r="F316" s="26">
        <v>14</v>
      </c>
      <c r="G316" s="26" t="b">
        <v>0</v>
      </c>
      <c r="H316" s="26">
        <v>5</v>
      </c>
      <c r="I316" s="26">
        <v>1</v>
      </c>
      <c r="J316" s="26">
        <v>0.22</v>
      </c>
      <c r="K316" s="26">
        <v>0.2424</v>
      </c>
      <c r="L316" s="26">
        <v>0.41</v>
      </c>
      <c r="M316">
        <v>0.28360000000000002</v>
      </c>
      <c r="N316" s="26">
        <v>5</v>
      </c>
      <c r="O316" s="26">
        <v>59</v>
      </c>
      <c r="P316" s="26">
        <v>64</v>
      </c>
      <c r="Q316" s="34" t="str">
        <f t="shared" si="12"/>
        <v>Clear</v>
      </c>
      <c r="R316" s="41" t="str">
        <f>IF(I316=1,"Normal",IF(I316=2,"Yellow Alert",IF(I316=3,"Orange Alert",IF(I316=4,"Red Alert"))))</f>
        <v>Normal</v>
      </c>
      <c r="S316" s="60">
        <f t="shared" si="13"/>
        <v>14</v>
      </c>
      <c r="T316" s="60">
        <f>MONTH(dataset_1!B:B)</f>
        <v>1</v>
      </c>
      <c r="U316" s="60">
        <f t="shared" si="14"/>
        <v>2011</v>
      </c>
      <c r="V316" s="59" t="str">
        <f>TEXT(F316/24,"H AM/PM")</f>
        <v>2 PM</v>
      </c>
      <c r="W316" s="59" t="str">
        <f>IF(H316=6,"Saturday",IF(H316=0,"Sunday",IF(H316=1,"Monday",IF(H316=2,"Tuesday",IF(H316=3,"Wednesday",IF(H316=4,"Thursday",IF(H316=5,"Friday")))))))</f>
        <v>Friday</v>
      </c>
      <c r="X316" s="59" t="str">
        <f>IF(G316=FALSE,"Working day", IF(G316=TRUE,"Holiday"))</f>
        <v>Working day</v>
      </c>
    </row>
    <row r="317" spans="1:24" x14ac:dyDescent="0.25">
      <c r="A317" s="32">
        <v>316</v>
      </c>
      <c r="B317" s="33">
        <v>40557</v>
      </c>
      <c r="C317" s="26">
        <v>1</v>
      </c>
      <c r="D317" s="26">
        <v>0</v>
      </c>
      <c r="E317" s="26">
        <v>1</v>
      </c>
      <c r="F317" s="26">
        <v>15</v>
      </c>
      <c r="G317" s="26" t="b">
        <v>0</v>
      </c>
      <c r="H317" s="26">
        <v>5</v>
      </c>
      <c r="I317" s="26">
        <v>1</v>
      </c>
      <c r="J317" s="26">
        <v>0.24</v>
      </c>
      <c r="K317" s="26">
        <v>0.2424</v>
      </c>
      <c r="L317" s="26">
        <v>0.38</v>
      </c>
      <c r="M317">
        <v>0.16420000000000001</v>
      </c>
      <c r="N317" s="26">
        <v>9</v>
      </c>
      <c r="O317" s="26">
        <v>59</v>
      </c>
      <c r="P317" s="26">
        <v>68</v>
      </c>
      <c r="Q317" s="34" t="str">
        <f t="shared" si="12"/>
        <v>Clear</v>
      </c>
      <c r="R317" s="41" t="str">
        <f>IF(I317=1,"Normal",IF(I317=2,"Yellow Alert",IF(I317=3,"Orange Alert",IF(I317=4,"Red Alert"))))</f>
        <v>Normal</v>
      </c>
      <c r="S317" s="60">
        <f t="shared" si="13"/>
        <v>14</v>
      </c>
      <c r="T317" s="60">
        <f>MONTH(dataset_1!B:B)</f>
        <v>1</v>
      </c>
      <c r="U317" s="60">
        <f t="shared" si="14"/>
        <v>2011</v>
      </c>
      <c r="V317" s="59" t="str">
        <f>TEXT(F317/24,"H AM/PM")</f>
        <v>3 PM</v>
      </c>
      <c r="W317" s="59" t="str">
        <f>IF(H317=6,"Saturday",IF(H317=0,"Sunday",IF(H317=1,"Monday",IF(H317=2,"Tuesday",IF(H317=3,"Wednesday",IF(H317=4,"Thursday",IF(H317=5,"Friday")))))))</f>
        <v>Friday</v>
      </c>
      <c r="X317" s="59" t="str">
        <f>IF(G317=FALSE,"Working day", IF(G317=TRUE,"Holiday"))</f>
        <v>Working day</v>
      </c>
    </row>
    <row r="318" spans="1:24" x14ac:dyDescent="0.25">
      <c r="A318" s="32">
        <v>317</v>
      </c>
      <c r="B318" s="33">
        <v>40557</v>
      </c>
      <c r="C318" s="26">
        <v>1</v>
      </c>
      <c r="D318" s="26">
        <v>0</v>
      </c>
      <c r="E318" s="26">
        <v>1</v>
      </c>
      <c r="F318" s="26">
        <v>16</v>
      </c>
      <c r="G318" s="26" t="b">
        <v>0</v>
      </c>
      <c r="H318" s="26">
        <v>5</v>
      </c>
      <c r="I318" s="26">
        <v>1</v>
      </c>
      <c r="J318" s="26">
        <v>0.22</v>
      </c>
      <c r="K318" s="26">
        <v>0.2273</v>
      </c>
      <c r="L318" s="26">
        <v>0.41</v>
      </c>
      <c r="M318">
        <v>0.1045</v>
      </c>
      <c r="N318" s="26">
        <v>3</v>
      </c>
      <c r="O318" s="26">
        <v>87</v>
      </c>
      <c r="P318" s="26">
        <v>90</v>
      </c>
      <c r="Q318" s="34" t="str">
        <f t="shared" si="12"/>
        <v>Clear</v>
      </c>
      <c r="R318" s="41" t="str">
        <f>IF(I318=1,"Normal",IF(I318=2,"Yellow Alert",IF(I318=3,"Orange Alert",IF(I318=4,"Red Alert"))))</f>
        <v>Normal</v>
      </c>
      <c r="S318" s="60">
        <f t="shared" si="13"/>
        <v>14</v>
      </c>
      <c r="T318" s="60">
        <f>MONTH(dataset_1!B:B)</f>
        <v>1</v>
      </c>
      <c r="U318" s="60">
        <f t="shared" si="14"/>
        <v>2011</v>
      </c>
      <c r="V318" s="59" t="str">
        <f>TEXT(F318/24,"H AM/PM")</f>
        <v>4 PM</v>
      </c>
      <c r="W318" s="59" t="str">
        <f>IF(H318=6,"Saturday",IF(H318=0,"Sunday",IF(H318=1,"Monday",IF(H318=2,"Tuesday",IF(H318=3,"Wednesday",IF(H318=4,"Thursday",IF(H318=5,"Friday")))))))</f>
        <v>Friday</v>
      </c>
      <c r="X318" s="59" t="str">
        <f>IF(G318=FALSE,"Working day", IF(G318=TRUE,"Holiday"))</f>
        <v>Working day</v>
      </c>
    </row>
    <row r="319" spans="1:24" x14ac:dyDescent="0.25">
      <c r="A319" s="32">
        <v>318</v>
      </c>
      <c r="B319" s="33">
        <v>40557</v>
      </c>
      <c r="C319" s="26">
        <v>1</v>
      </c>
      <c r="D319" s="26">
        <v>0</v>
      </c>
      <c r="E319" s="26">
        <v>1</v>
      </c>
      <c r="F319" s="26">
        <v>17</v>
      </c>
      <c r="G319" s="26" t="b">
        <v>0</v>
      </c>
      <c r="H319" s="26">
        <v>5</v>
      </c>
      <c r="I319" s="26">
        <v>1</v>
      </c>
      <c r="J319" s="26">
        <v>0.22</v>
      </c>
      <c r="K319" s="26">
        <v>0.2576</v>
      </c>
      <c r="L319" s="26">
        <v>0.41</v>
      </c>
      <c r="M319">
        <v>0.16420000000000001</v>
      </c>
      <c r="N319" s="26">
        <v>4</v>
      </c>
      <c r="O319" s="26">
        <v>155</v>
      </c>
      <c r="P319" s="26">
        <v>159</v>
      </c>
      <c r="Q319" s="34" t="str">
        <f t="shared" si="12"/>
        <v>Clear</v>
      </c>
      <c r="R319" s="41" t="str">
        <f>IF(I319=1,"Normal",IF(I319=2,"Yellow Alert",IF(I319=3,"Orange Alert",IF(I319=4,"Red Alert"))))</f>
        <v>Normal</v>
      </c>
      <c r="S319" s="60">
        <f t="shared" si="13"/>
        <v>14</v>
      </c>
      <c r="T319" s="60">
        <f>MONTH(dataset_1!B:B)</f>
        <v>1</v>
      </c>
      <c r="U319" s="60">
        <f t="shared" si="14"/>
        <v>2011</v>
      </c>
      <c r="V319" s="59" t="str">
        <f>TEXT(F319/24,"H AM/PM")</f>
        <v>5 PM</v>
      </c>
      <c r="W319" s="59" t="str">
        <f>IF(H319=6,"Saturday",IF(H319=0,"Sunday",IF(H319=1,"Monday",IF(H319=2,"Tuesday",IF(H319=3,"Wednesday",IF(H319=4,"Thursday",IF(H319=5,"Friday")))))))</f>
        <v>Friday</v>
      </c>
      <c r="X319" s="59" t="str">
        <f>IF(G319=FALSE,"Working day", IF(G319=TRUE,"Holiday"))</f>
        <v>Working day</v>
      </c>
    </row>
    <row r="320" spans="1:24" x14ac:dyDescent="0.25">
      <c r="A320" s="32">
        <v>319</v>
      </c>
      <c r="B320" s="33">
        <v>40557</v>
      </c>
      <c r="C320" s="26">
        <v>1</v>
      </c>
      <c r="D320" s="26">
        <v>0</v>
      </c>
      <c r="E320" s="26">
        <v>1</v>
      </c>
      <c r="F320" s="26">
        <v>18</v>
      </c>
      <c r="G320" s="26" t="b">
        <v>0</v>
      </c>
      <c r="H320" s="26">
        <v>5</v>
      </c>
      <c r="I320" s="26">
        <v>1</v>
      </c>
      <c r="J320" s="26">
        <v>0.2</v>
      </c>
      <c r="K320" s="26">
        <v>0.19700000000000001</v>
      </c>
      <c r="L320" s="26">
        <v>0.47</v>
      </c>
      <c r="M320">
        <v>0</v>
      </c>
      <c r="N320" s="26">
        <v>5</v>
      </c>
      <c r="O320" s="26">
        <v>134</v>
      </c>
      <c r="P320" s="26">
        <v>139</v>
      </c>
      <c r="Q320" s="34" t="str">
        <f t="shared" si="12"/>
        <v>Clear</v>
      </c>
      <c r="R320" s="41" t="str">
        <f>IF(I320=1,"Normal",IF(I320=2,"Yellow Alert",IF(I320=3,"Orange Alert",IF(I320=4,"Red Alert"))))</f>
        <v>Normal</v>
      </c>
      <c r="S320" s="60">
        <f t="shared" si="13"/>
        <v>14</v>
      </c>
      <c r="T320" s="60">
        <f>MONTH(dataset_1!B:B)</f>
        <v>1</v>
      </c>
      <c r="U320" s="60">
        <f t="shared" si="14"/>
        <v>2011</v>
      </c>
      <c r="V320" s="59" t="str">
        <f>TEXT(F320/24,"H AM/PM")</f>
        <v>6 PM</v>
      </c>
      <c r="W320" s="59" t="str">
        <f>IF(H320=6,"Saturday",IF(H320=0,"Sunday",IF(H320=1,"Monday",IF(H320=2,"Tuesday",IF(H320=3,"Wednesday",IF(H320=4,"Thursday",IF(H320=5,"Friday")))))))</f>
        <v>Friday</v>
      </c>
      <c r="X320" s="59" t="str">
        <f>IF(G320=FALSE,"Working day", IF(G320=TRUE,"Holiday"))</f>
        <v>Working day</v>
      </c>
    </row>
    <row r="321" spans="1:24" x14ac:dyDescent="0.25">
      <c r="A321" s="32">
        <v>320</v>
      </c>
      <c r="B321" s="33">
        <v>40557</v>
      </c>
      <c r="C321" s="26">
        <v>1</v>
      </c>
      <c r="D321" s="26">
        <v>0</v>
      </c>
      <c r="E321" s="26">
        <v>1</v>
      </c>
      <c r="F321" s="26">
        <v>19</v>
      </c>
      <c r="G321" s="26" t="b">
        <v>0</v>
      </c>
      <c r="H321" s="26">
        <v>5</v>
      </c>
      <c r="I321" s="26">
        <v>1</v>
      </c>
      <c r="J321" s="26">
        <v>0.16</v>
      </c>
      <c r="K321" s="26">
        <v>0.2424</v>
      </c>
      <c r="L321" s="26">
        <v>0.59</v>
      </c>
      <c r="M321">
        <v>8.9599999999999999E-2</v>
      </c>
      <c r="N321" s="26">
        <v>3</v>
      </c>
      <c r="O321" s="26">
        <v>89</v>
      </c>
      <c r="P321" s="26">
        <v>92</v>
      </c>
      <c r="Q321" s="34" t="str">
        <f t="shared" si="12"/>
        <v>Clear</v>
      </c>
      <c r="R321" s="41" t="str">
        <f>IF(I321=1,"Normal",IF(I321=2,"Yellow Alert",IF(I321=3,"Orange Alert",IF(I321=4,"Red Alert"))))</f>
        <v>Normal</v>
      </c>
      <c r="S321" s="60">
        <f t="shared" si="13"/>
        <v>14</v>
      </c>
      <c r="T321" s="60">
        <f>MONTH(dataset_1!B:B)</f>
        <v>1</v>
      </c>
      <c r="U321" s="60">
        <f t="shared" si="14"/>
        <v>2011</v>
      </c>
      <c r="V321" s="59" t="str">
        <f>TEXT(F321/24,"H AM/PM")</f>
        <v>7 PM</v>
      </c>
      <c r="W321" s="59" t="str">
        <f>IF(H321=6,"Saturday",IF(H321=0,"Sunday",IF(H321=1,"Monday",IF(H321=2,"Tuesday",IF(H321=3,"Wednesday",IF(H321=4,"Thursday",IF(H321=5,"Friday")))))))</f>
        <v>Friday</v>
      </c>
      <c r="X321" s="59" t="str">
        <f>IF(G321=FALSE,"Working day", IF(G321=TRUE,"Holiday"))</f>
        <v>Working day</v>
      </c>
    </row>
    <row r="322" spans="1:24" x14ac:dyDescent="0.25">
      <c r="A322" s="32">
        <v>321</v>
      </c>
      <c r="B322" s="33">
        <v>40557</v>
      </c>
      <c r="C322" s="26">
        <v>1</v>
      </c>
      <c r="D322" s="26">
        <v>0</v>
      </c>
      <c r="E322" s="26">
        <v>1</v>
      </c>
      <c r="F322" s="26">
        <v>20</v>
      </c>
      <c r="G322" s="26" t="b">
        <v>0</v>
      </c>
      <c r="H322" s="26">
        <v>5</v>
      </c>
      <c r="I322" s="26">
        <v>1</v>
      </c>
      <c r="J322" s="26">
        <v>0.18</v>
      </c>
      <c r="K322" s="26">
        <v>0.2273</v>
      </c>
      <c r="L322" s="26">
        <v>0.59</v>
      </c>
      <c r="M322">
        <v>0</v>
      </c>
      <c r="N322" s="26">
        <v>0</v>
      </c>
      <c r="O322" s="26">
        <v>68</v>
      </c>
      <c r="P322" s="26">
        <v>68</v>
      </c>
      <c r="Q322" s="34" t="str">
        <f t="shared" ref="Q322:Q385" si="15">IF(I322=1,"Clear",IF(I322=2,"Cloudy",IF(I322=3,"Light Rain",IF(I322=4,"Heavy Rain"))))</f>
        <v>Clear</v>
      </c>
      <c r="R322" s="41" t="str">
        <f>IF(I322=1,"Normal",IF(I322=2,"Yellow Alert",IF(I322=3,"Orange Alert",IF(I322=4,"Red Alert"))))</f>
        <v>Normal</v>
      </c>
      <c r="S322" s="60">
        <f t="shared" ref="S322:S385" si="16">DAY(B:B)</f>
        <v>14</v>
      </c>
      <c r="T322" s="60">
        <f>MONTH(dataset_1!B:B)</f>
        <v>1</v>
      </c>
      <c r="U322" s="60">
        <f t="shared" ref="U322:U385" si="17">YEAR(B:B)</f>
        <v>2011</v>
      </c>
      <c r="V322" s="59" t="str">
        <f>TEXT(F322/24,"H AM/PM")</f>
        <v>8 PM</v>
      </c>
      <c r="W322" s="59" t="str">
        <f>IF(H322=6,"Saturday",IF(H322=0,"Sunday",IF(H322=1,"Monday",IF(H322=2,"Tuesday",IF(H322=3,"Wednesday",IF(H322=4,"Thursday",IF(H322=5,"Friday")))))))</f>
        <v>Friday</v>
      </c>
      <c r="X322" s="59" t="str">
        <f>IF(G322=FALSE,"Working day", IF(G322=TRUE,"Holiday"))</f>
        <v>Working day</v>
      </c>
    </row>
    <row r="323" spans="1:24" x14ac:dyDescent="0.25">
      <c r="A323" s="32">
        <v>322</v>
      </c>
      <c r="B323" s="33">
        <v>40557</v>
      </c>
      <c r="C323" s="26">
        <v>1</v>
      </c>
      <c r="D323" s="26">
        <v>0</v>
      </c>
      <c r="E323" s="26">
        <v>1</v>
      </c>
      <c r="F323" s="26">
        <v>21</v>
      </c>
      <c r="G323" s="26" t="b">
        <v>0</v>
      </c>
      <c r="H323" s="26">
        <v>5</v>
      </c>
      <c r="I323" s="26">
        <v>1</v>
      </c>
      <c r="J323" s="26">
        <v>0.16</v>
      </c>
      <c r="K323" s="26">
        <v>0.2273</v>
      </c>
      <c r="L323" s="26">
        <v>0.69</v>
      </c>
      <c r="M323">
        <v>0</v>
      </c>
      <c r="N323" s="26">
        <v>4</v>
      </c>
      <c r="O323" s="26">
        <v>48</v>
      </c>
      <c r="P323" s="26">
        <v>52</v>
      </c>
      <c r="Q323" s="34" t="str">
        <f t="shared" si="15"/>
        <v>Clear</v>
      </c>
      <c r="R323" s="41" t="str">
        <f>IF(I323=1,"Normal",IF(I323=2,"Yellow Alert",IF(I323=3,"Orange Alert",IF(I323=4,"Red Alert"))))</f>
        <v>Normal</v>
      </c>
      <c r="S323" s="60">
        <f t="shared" si="16"/>
        <v>14</v>
      </c>
      <c r="T323" s="60">
        <f>MONTH(dataset_1!B:B)</f>
        <v>1</v>
      </c>
      <c r="U323" s="60">
        <f t="shared" si="17"/>
        <v>2011</v>
      </c>
      <c r="V323" s="59" t="str">
        <f>TEXT(F323/24,"H AM/PM")</f>
        <v>9 PM</v>
      </c>
      <c r="W323" s="59" t="str">
        <f>IF(H323=6,"Saturday",IF(H323=0,"Sunday",IF(H323=1,"Monday",IF(H323=2,"Tuesday",IF(H323=3,"Wednesday",IF(H323=4,"Thursday",IF(H323=5,"Friday")))))))</f>
        <v>Friday</v>
      </c>
      <c r="X323" s="59" t="str">
        <f>IF(G323=FALSE,"Working day", IF(G323=TRUE,"Holiday"))</f>
        <v>Working day</v>
      </c>
    </row>
    <row r="324" spans="1:24" x14ac:dyDescent="0.25">
      <c r="A324" s="32">
        <v>323</v>
      </c>
      <c r="B324" s="33">
        <v>40557</v>
      </c>
      <c r="C324" s="26">
        <v>1</v>
      </c>
      <c r="D324" s="26">
        <v>0</v>
      </c>
      <c r="E324" s="26">
        <v>1</v>
      </c>
      <c r="F324" s="26">
        <v>22</v>
      </c>
      <c r="G324" s="26" t="b">
        <v>0</v>
      </c>
      <c r="H324" s="26">
        <v>5</v>
      </c>
      <c r="I324" s="26">
        <v>2</v>
      </c>
      <c r="J324" s="26">
        <v>0.16</v>
      </c>
      <c r="K324" s="26">
        <v>0.2424</v>
      </c>
      <c r="L324" s="26">
        <v>0.69</v>
      </c>
      <c r="M324">
        <v>0</v>
      </c>
      <c r="N324" s="26">
        <v>2</v>
      </c>
      <c r="O324" s="26">
        <v>34</v>
      </c>
      <c r="P324" s="26">
        <v>36</v>
      </c>
      <c r="Q324" s="34" t="str">
        <f t="shared" si="15"/>
        <v>Cloudy</v>
      </c>
      <c r="R324" s="41" t="str">
        <f>IF(I324=1,"Normal",IF(I324=2,"Yellow Alert",IF(I324=3,"Orange Alert",IF(I324=4,"Red Alert"))))</f>
        <v>Yellow Alert</v>
      </c>
      <c r="S324" s="60">
        <f t="shared" si="16"/>
        <v>14</v>
      </c>
      <c r="T324" s="60">
        <f>MONTH(dataset_1!B:B)</f>
        <v>1</v>
      </c>
      <c r="U324" s="60">
        <f t="shared" si="17"/>
        <v>2011</v>
      </c>
      <c r="V324" s="59" t="str">
        <f>TEXT(F324/24,"H AM/PM")</f>
        <v>10 PM</v>
      </c>
      <c r="W324" s="59" t="str">
        <f>IF(H324=6,"Saturday",IF(H324=0,"Sunday",IF(H324=1,"Monday",IF(H324=2,"Tuesday",IF(H324=3,"Wednesday",IF(H324=4,"Thursday",IF(H324=5,"Friday")))))))</f>
        <v>Friday</v>
      </c>
      <c r="X324" s="59" t="str">
        <f>IF(G324=FALSE,"Working day", IF(G324=TRUE,"Holiday"))</f>
        <v>Working day</v>
      </c>
    </row>
    <row r="325" spans="1:24" x14ac:dyDescent="0.25">
      <c r="A325" s="32">
        <v>324</v>
      </c>
      <c r="B325" s="33">
        <v>40557</v>
      </c>
      <c r="C325" s="26">
        <v>1</v>
      </c>
      <c r="D325" s="26">
        <v>0</v>
      </c>
      <c r="E325" s="26">
        <v>1</v>
      </c>
      <c r="F325" s="26">
        <v>23</v>
      </c>
      <c r="G325" s="26" t="b">
        <v>0</v>
      </c>
      <c r="H325" s="26">
        <v>5</v>
      </c>
      <c r="I325" s="26">
        <v>2</v>
      </c>
      <c r="J325" s="26">
        <v>0.18</v>
      </c>
      <c r="K325" s="26">
        <v>0.2424</v>
      </c>
      <c r="L325" s="26">
        <v>0.55000000000000004</v>
      </c>
      <c r="M325">
        <v>0</v>
      </c>
      <c r="N325" s="26">
        <v>1</v>
      </c>
      <c r="O325" s="26">
        <v>26</v>
      </c>
      <c r="P325" s="26">
        <v>27</v>
      </c>
      <c r="Q325" s="34" t="str">
        <f t="shared" si="15"/>
        <v>Cloudy</v>
      </c>
      <c r="R325" s="41" t="str">
        <f>IF(I325=1,"Normal",IF(I325=2,"Yellow Alert",IF(I325=3,"Orange Alert",IF(I325=4,"Red Alert"))))</f>
        <v>Yellow Alert</v>
      </c>
      <c r="S325" s="60">
        <f t="shared" si="16"/>
        <v>14</v>
      </c>
      <c r="T325" s="60">
        <f>MONTH(dataset_1!B:B)</f>
        <v>1</v>
      </c>
      <c r="U325" s="60">
        <f t="shared" si="17"/>
        <v>2011</v>
      </c>
      <c r="V325" s="59" t="str">
        <f>TEXT(F325/24,"H AM/PM")</f>
        <v>11 PM</v>
      </c>
      <c r="W325" s="59" t="str">
        <f>IF(H325=6,"Saturday",IF(H325=0,"Sunday",IF(H325=1,"Monday",IF(H325=2,"Tuesday",IF(H325=3,"Wednesday",IF(H325=4,"Thursday",IF(H325=5,"Friday")))))))</f>
        <v>Friday</v>
      </c>
      <c r="X325" s="59" t="str">
        <f>IF(G325=FALSE,"Working day", IF(G325=TRUE,"Holiday"))</f>
        <v>Working day</v>
      </c>
    </row>
    <row r="326" spans="1:24" x14ac:dyDescent="0.25">
      <c r="A326" s="32">
        <v>325</v>
      </c>
      <c r="B326" s="33">
        <v>40558</v>
      </c>
      <c r="C326" s="26">
        <v>1</v>
      </c>
      <c r="D326" s="26">
        <v>0</v>
      </c>
      <c r="E326" s="26">
        <v>1</v>
      </c>
      <c r="F326" s="26">
        <v>0</v>
      </c>
      <c r="G326" s="26" t="b">
        <v>0</v>
      </c>
      <c r="H326" s="26">
        <v>6</v>
      </c>
      <c r="I326" s="26">
        <v>1</v>
      </c>
      <c r="J326" s="26">
        <v>0.18</v>
      </c>
      <c r="K326" s="26">
        <v>0.19700000000000001</v>
      </c>
      <c r="L326" s="26">
        <v>0.55000000000000004</v>
      </c>
      <c r="M326">
        <v>0</v>
      </c>
      <c r="N326" s="26">
        <v>3</v>
      </c>
      <c r="O326" s="26">
        <v>25</v>
      </c>
      <c r="P326" s="26">
        <v>28</v>
      </c>
      <c r="Q326" s="34" t="str">
        <f t="shared" si="15"/>
        <v>Clear</v>
      </c>
      <c r="R326" s="41" t="str">
        <f>IF(I326=1,"Normal",IF(I326=2,"Yellow Alert",IF(I326=3,"Orange Alert",IF(I326=4,"Red Alert"))))</f>
        <v>Normal</v>
      </c>
      <c r="S326" s="60">
        <f t="shared" si="16"/>
        <v>15</v>
      </c>
      <c r="T326" s="60">
        <f>MONTH(dataset_1!B:B)</f>
        <v>1</v>
      </c>
      <c r="U326" s="60">
        <f t="shared" si="17"/>
        <v>2011</v>
      </c>
      <c r="V326" s="59" t="str">
        <f>TEXT(F326/24,"H AM/PM")</f>
        <v>12 AM</v>
      </c>
      <c r="W326" s="59" t="str">
        <f>IF(H326=6,"Saturday",IF(H326=0,"Sunday",IF(H326=1,"Monday",IF(H326=2,"Tuesday",IF(H326=3,"Wednesday",IF(H326=4,"Thursday",IF(H326=5,"Friday")))))))</f>
        <v>Saturday</v>
      </c>
      <c r="X326" s="59" t="str">
        <f>IF(G326=FALSE,"Working day", IF(G326=TRUE,"Holiday"))</f>
        <v>Working day</v>
      </c>
    </row>
    <row r="327" spans="1:24" x14ac:dyDescent="0.25">
      <c r="A327" s="32">
        <v>326</v>
      </c>
      <c r="B327" s="33">
        <v>40558</v>
      </c>
      <c r="C327" s="26">
        <v>1</v>
      </c>
      <c r="D327" s="26">
        <v>0</v>
      </c>
      <c r="E327" s="26">
        <v>1</v>
      </c>
      <c r="F327" s="26">
        <v>1</v>
      </c>
      <c r="G327" s="26" t="b">
        <v>0</v>
      </c>
      <c r="H327" s="26">
        <v>6</v>
      </c>
      <c r="I327" s="26">
        <v>2</v>
      </c>
      <c r="J327" s="26">
        <v>0.16</v>
      </c>
      <c r="K327" s="26">
        <v>0.19700000000000001</v>
      </c>
      <c r="L327" s="26">
        <v>0.59</v>
      </c>
      <c r="M327">
        <v>8.9599999999999999E-2</v>
      </c>
      <c r="N327" s="26">
        <v>2</v>
      </c>
      <c r="O327" s="26">
        <v>18</v>
      </c>
      <c r="P327" s="26">
        <v>20</v>
      </c>
      <c r="Q327" s="34" t="str">
        <f t="shared" si="15"/>
        <v>Cloudy</v>
      </c>
      <c r="R327" s="41" t="str">
        <f>IF(I327=1,"Normal",IF(I327=2,"Yellow Alert",IF(I327=3,"Orange Alert",IF(I327=4,"Red Alert"))))</f>
        <v>Yellow Alert</v>
      </c>
      <c r="S327" s="60">
        <f t="shared" si="16"/>
        <v>15</v>
      </c>
      <c r="T327" s="60">
        <f>MONTH(dataset_1!B:B)</f>
        <v>1</v>
      </c>
      <c r="U327" s="60">
        <f t="shared" si="17"/>
        <v>2011</v>
      </c>
      <c r="V327" s="59" t="str">
        <f>TEXT(F327/24,"H AM/PM")</f>
        <v>1 AM</v>
      </c>
      <c r="W327" s="59" t="str">
        <f>IF(H327=6,"Saturday",IF(H327=0,"Sunday",IF(H327=1,"Monday",IF(H327=2,"Tuesday",IF(H327=3,"Wednesday",IF(H327=4,"Thursday",IF(H327=5,"Friday")))))))</f>
        <v>Saturday</v>
      </c>
      <c r="X327" s="59" t="str">
        <f>IF(G327=FALSE,"Working day", IF(G327=TRUE,"Holiday"))</f>
        <v>Working day</v>
      </c>
    </row>
    <row r="328" spans="1:24" x14ac:dyDescent="0.25">
      <c r="A328" s="32">
        <v>327</v>
      </c>
      <c r="B328" s="33">
        <v>40558</v>
      </c>
      <c r="C328" s="26">
        <v>1</v>
      </c>
      <c r="D328" s="26">
        <v>0</v>
      </c>
      <c r="E328" s="26">
        <v>1</v>
      </c>
      <c r="F328" s="26">
        <v>2</v>
      </c>
      <c r="G328" s="26" t="b">
        <v>0</v>
      </c>
      <c r="H328" s="26">
        <v>6</v>
      </c>
      <c r="I328" s="26">
        <v>2</v>
      </c>
      <c r="J328" s="26">
        <v>0.16</v>
      </c>
      <c r="K328" s="26">
        <v>0.2273</v>
      </c>
      <c r="L328" s="26">
        <v>0.59</v>
      </c>
      <c r="M328">
        <v>8.9599999999999999E-2</v>
      </c>
      <c r="N328" s="26">
        <v>0</v>
      </c>
      <c r="O328" s="26">
        <v>12</v>
      </c>
      <c r="P328" s="26">
        <v>12</v>
      </c>
      <c r="Q328" s="34" t="str">
        <f t="shared" si="15"/>
        <v>Cloudy</v>
      </c>
      <c r="R328" s="41" t="str">
        <f>IF(I328=1,"Normal",IF(I328=2,"Yellow Alert",IF(I328=3,"Orange Alert",IF(I328=4,"Red Alert"))))</f>
        <v>Yellow Alert</v>
      </c>
      <c r="S328" s="60">
        <f t="shared" si="16"/>
        <v>15</v>
      </c>
      <c r="T328" s="60">
        <f>MONTH(dataset_1!B:B)</f>
        <v>1</v>
      </c>
      <c r="U328" s="60">
        <f t="shared" si="17"/>
        <v>2011</v>
      </c>
      <c r="V328" s="59" t="str">
        <f>TEXT(F328/24,"H AM/PM")</f>
        <v>2 AM</v>
      </c>
      <c r="W328" s="59" t="str">
        <f>IF(H328=6,"Saturday",IF(H328=0,"Sunday",IF(H328=1,"Monday",IF(H328=2,"Tuesday",IF(H328=3,"Wednesday",IF(H328=4,"Thursday",IF(H328=5,"Friday")))))))</f>
        <v>Saturday</v>
      </c>
      <c r="X328" s="59" t="str">
        <f>IF(G328=FALSE,"Working day", IF(G328=TRUE,"Holiday"))</f>
        <v>Working day</v>
      </c>
    </row>
    <row r="329" spans="1:24" x14ac:dyDescent="0.25">
      <c r="A329" s="32">
        <v>328</v>
      </c>
      <c r="B329" s="33">
        <v>40558</v>
      </c>
      <c r="C329" s="26">
        <v>1</v>
      </c>
      <c r="D329" s="26">
        <v>0</v>
      </c>
      <c r="E329" s="26">
        <v>1</v>
      </c>
      <c r="F329" s="26">
        <v>3</v>
      </c>
      <c r="G329" s="26" t="b">
        <v>0</v>
      </c>
      <c r="H329" s="26">
        <v>6</v>
      </c>
      <c r="I329" s="26">
        <v>2</v>
      </c>
      <c r="J329" s="26">
        <v>0.16</v>
      </c>
      <c r="K329" s="26">
        <v>0.2273</v>
      </c>
      <c r="L329" s="26">
        <v>0.59</v>
      </c>
      <c r="M329">
        <v>0</v>
      </c>
      <c r="N329" s="26">
        <v>1</v>
      </c>
      <c r="O329" s="26">
        <v>7</v>
      </c>
      <c r="P329" s="26">
        <v>8</v>
      </c>
      <c r="Q329" s="34" t="str">
        <f t="shared" si="15"/>
        <v>Cloudy</v>
      </c>
      <c r="R329" s="41" t="str">
        <f>IF(I329=1,"Normal",IF(I329=2,"Yellow Alert",IF(I329=3,"Orange Alert",IF(I329=4,"Red Alert"))))</f>
        <v>Yellow Alert</v>
      </c>
      <c r="S329" s="60">
        <f t="shared" si="16"/>
        <v>15</v>
      </c>
      <c r="T329" s="60">
        <f>MONTH(dataset_1!B:B)</f>
        <v>1</v>
      </c>
      <c r="U329" s="60">
        <f t="shared" si="17"/>
        <v>2011</v>
      </c>
      <c r="V329" s="59" t="str">
        <f>TEXT(F329/24,"H AM/PM")</f>
        <v>3 AM</v>
      </c>
      <c r="W329" s="59" t="str">
        <f>IF(H329=6,"Saturday",IF(H329=0,"Sunday",IF(H329=1,"Monday",IF(H329=2,"Tuesday",IF(H329=3,"Wednesday",IF(H329=4,"Thursday",IF(H329=5,"Friday")))))))</f>
        <v>Saturday</v>
      </c>
      <c r="X329" s="59" t="str">
        <f>IF(G329=FALSE,"Working day", IF(G329=TRUE,"Holiday"))</f>
        <v>Working day</v>
      </c>
    </row>
    <row r="330" spans="1:24" x14ac:dyDescent="0.25">
      <c r="A330" s="32">
        <v>329</v>
      </c>
      <c r="B330" s="33">
        <v>40558</v>
      </c>
      <c r="C330" s="26">
        <v>1</v>
      </c>
      <c r="D330" s="26">
        <v>0</v>
      </c>
      <c r="E330" s="26">
        <v>1</v>
      </c>
      <c r="F330" s="26">
        <v>4</v>
      </c>
      <c r="G330" s="26" t="b">
        <v>0</v>
      </c>
      <c r="H330" s="26">
        <v>6</v>
      </c>
      <c r="I330" s="26">
        <v>2</v>
      </c>
      <c r="J330" s="26">
        <v>0.16</v>
      </c>
      <c r="K330" s="26">
        <v>0.2273</v>
      </c>
      <c r="L330" s="26">
        <v>0.59</v>
      </c>
      <c r="M330">
        <v>0</v>
      </c>
      <c r="N330" s="26">
        <v>0</v>
      </c>
      <c r="O330" s="26">
        <v>5</v>
      </c>
      <c r="P330" s="26">
        <v>5</v>
      </c>
      <c r="Q330" s="34" t="str">
        <f t="shared" si="15"/>
        <v>Cloudy</v>
      </c>
      <c r="R330" s="41" t="str">
        <f>IF(I330=1,"Normal",IF(I330=2,"Yellow Alert",IF(I330=3,"Orange Alert",IF(I330=4,"Red Alert"))))</f>
        <v>Yellow Alert</v>
      </c>
      <c r="S330" s="60">
        <f t="shared" si="16"/>
        <v>15</v>
      </c>
      <c r="T330" s="60">
        <f>MONTH(dataset_1!B:B)</f>
        <v>1</v>
      </c>
      <c r="U330" s="60">
        <f t="shared" si="17"/>
        <v>2011</v>
      </c>
      <c r="V330" s="59" t="str">
        <f>TEXT(F330/24,"H AM/PM")</f>
        <v>4 AM</v>
      </c>
      <c r="W330" s="59" t="str">
        <f>IF(H330=6,"Saturday",IF(H330=0,"Sunday",IF(H330=1,"Monday",IF(H330=2,"Tuesday",IF(H330=3,"Wednesday",IF(H330=4,"Thursday",IF(H330=5,"Friday")))))))</f>
        <v>Saturday</v>
      </c>
      <c r="X330" s="59" t="str">
        <f>IF(G330=FALSE,"Working day", IF(G330=TRUE,"Holiday"))</f>
        <v>Working day</v>
      </c>
    </row>
    <row r="331" spans="1:24" x14ac:dyDescent="0.25">
      <c r="A331" s="32">
        <v>330</v>
      </c>
      <c r="B331" s="33">
        <v>40558</v>
      </c>
      <c r="C331" s="26">
        <v>1</v>
      </c>
      <c r="D331" s="26">
        <v>0</v>
      </c>
      <c r="E331" s="26">
        <v>1</v>
      </c>
      <c r="F331" s="26">
        <v>5</v>
      </c>
      <c r="G331" s="26" t="b">
        <v>0</v>
      </c>
      <c r="H331" s="26">
        <v>6</v>
      </c>
      <c r="I331" s="26">
        <v>1</v>
      </c>
      <c r="J331" s="26">
        <v>0.16</v>
      </c>
      <c r="K331" s="26">
        <v>0.16669999999999999</v>
      </c>
      <c r="L331" s="26">
        <v>0.59</v>
      </c>
      <c r="M331">
        <v>0</v>
      </c>
      <c r="N331" s="26">
        <v>0</v>
      </c>
      <c r="O331" s="26">
        <v>1</v>
      </c>
      <c r="P331" s="26">
        <v>1</v>
      </c>
      <c r="Q331" s="34" t="str">
        <f t="shared" si="15"/>
        <v>Clear</v>
      </c>
      <c r="R331" s="41" t="str">
        <f>IF(I331=1,"Normal",IF(I331=2,"Yellow Alert",IF(I331=3,"Orange Alert",IF(I331=4,"Red Alert"))))</f>
        <v>Normal</v>
      </c>
      <c r="S331" s="60">
        <f t="shared" si="16"/>
        <v>15</v>
      </c>
      <c r="T331" s="60">
        <f>MONTH(dataset_1!B:B)</f>
        <v>1</v>
      </c>
      <c r="U331" s="60">
        <f t="shared" si="17"/>
        <v>2011</v>
      </c>
      <c r="V331" s="59" t="str">
        <f>TEXT(F331/24,"H AM/PM")</f>
        <v>5 AM</v>
      </c>
      <c r="W331" s="59" t="str">
        <f>IF(H331=6,"Saturday",IF(H331=0,"Sunday",IF(H331=1,"Monday",IF(H331=2,"Tuesday",IF(H331=3,"Wednesday",IF(H331=4,"Thursday",IF(H331=5,"Friday")))))))</f>
        <v>Saturday</v>
      </c>
      <c r="X331" s="59" t="str">
        <f>IF(G331=FALSE,"Working day", IF(G331=TRUE,"Holiday"))</f>
        <v>Working day</v>
      </c>
    </row>
    <row r="332" spans="1:24" x14ac:dyDescent="0.25">
      <c r="A332" s="32">
        <v>331</v>
      </c>
      <c r="B332" s="33">
        <v>40558</v>
      </c>
      <c r="C332" s="26">
        <v>1</v>
      </c>
      <c r="D332" s="26">
        <v>0</v>
      </c>
      <c r="E332" s="26">
        <v>1</v>
      </c>
      <c r="F332" s="26">
        <v>6</v>
      </c>
      <c r="G332" s="26" t="b">
        <v>0</v>
      </c>
      <c r="H332" s="26">
        <v>6</v>
      </c>
      <c r="I332" s="26">
        <v>1</v>
      </c>
      <c r="J332" s="26">
        <v>0.14000000000000001</v>
      </c>
      <c r="K332" s="26">
        <v>0.21210000000000001</v>
      </c>
      <c r="L332" s="26">
        <v>0.63</v>
      </c>
      <c r="M332">
        <v>0.1045</v>
      </c>
      <c r="N332" s="26">
        <v>1</v>
      </c>
      <c r="O332" s="26">
        <v>2</v>
      </c>
      <c r="P332" s="26">
        <v>3</v>
      </c>
      <c r="Q332" s="34" t="str">
        <f t="shared" si="15"/>
        <v>Clear</v>
      </c>
      <c r="R332" s="41" t="str">
        <f>IF(I332=1,"Normal",IF(I332=2,"Yellow Alert",IF(I332=3,"Orange Alert",IF(I332=4,"Red Alert"))))</f>
        <v>Normal</v>
      </c>
      <c r="S332" s="60">
        <f t="shared" si="16"/>
        <v>15</v>
      </c>
      <c r="T332" s="60">
        <f>MONTH(dataset_1!B:B)</f>
        <v>1</v>
      </c>
      <c r="U332" s="60">
        <f t="shared" si="17"/>
        <v>2011</v>
      </c>
      <c r="V332" s="59" t="str">
        <f>TEXT(F332/24,"H AM/PM")</f>
        <v>6 AM</v>
      </c>
      <c r="W332" s="59" t="str">
        <f>IF(H332=6,"Saturday",IF(H332=0,"Sunday",IF(H332=1,"Monday",IF(H332=2,"Tuesday",IF(H332=3,"Wednesday",IF(H332=4,"Thursday",IF(H332=5,"Friday")))))))</f>
        <v>Saturday</v>
      </c>
      <c r="X332" s="59" t="str">
        <f>IF(G332=FALSE,"Working day", IF(G332=TRUE,"Holiday"))</f>
        <v>Working day</v>
      </c>
    </row>
    <row r="333" spans="1:24" x14ac:dyDescent="0.25">
      <c r="A333" s="32">
        <v>332</v>
      </c>
      <c r="B333" s="33">
        <v>40558</v>
      </c>
      <c r="C333" s="26">
        <v>1</v>
      </c>
      <c r="D333" s="26">
        <v>0</v>
      </c>
      <c r="E333" s="26">
        <v>1</v>
      </c>
      <c r="F333" s="26">
        <v>7</v>
      </c>
      <c r="G333" s="26" t="b">
        <v>0</v>
      </c>
      <c r="H333" s="26">
        <v>6</v>
      </c>
      <c r="I333" s="26">
        <v>1</v>
      </c>
      <c r="J333" s="26">
        <v>0.14000000000000001</v>
      </c>
      <c r="K333" s="26">
        <v>0.1515</v>
      </c>
      <c r="L333" s="26">
        <v>0.63</v>
      </c>
      <c r="M333">
        <v>0</v>
      </c>
      <c r="N333" s="26">
        <v>1</v>
      </c>
      <c r="O333" s="26">
        <v>9</v>
      </c>
      <c r="P333" s="26">
        <v>10</v>
      </c>
      <c r="Q333" s="34" t="str">
        <f t="shared" si="15"/>
        <v>Clear</v>
      </c>
      <c r="R333" s="41" t="str">
        <f>IF(I333=1,"Normal",IF(I333=2,"Yellow Alert",IF(I333=3,"Orange Alert",IF(I333=4,"Red Alert"))))</f>
        <v>Normal</v>
      </c>
      <c r="S333" s="60">
        <f t="shared" si="16"/>
        <v>15</v>
      </c>
      <c r="T333" s="60">
        <f>MONTH(dataset_1!B:B)</f>
        <v>1</v>
      </c>
      <c r="U333" s="60">
        <f t="shared" si="17"/>
        <v>2011</v>
      </c>
      <c r="V333" s="59" t="str">
        <f>TEXT(F333/24,"H AM/PM")</f>
        <v>7 AM</v>
      </c>
      <c r="W333" s="59" t="str">
        <f>IF(H333=6,"Saturday",IF(H333=0,"Sunday",IF(H333=1,"Monday",IF(H333=2,"Tuesday",IF(H333=3,"Wednesday",IF(H333=4,"Thursday",IF(H333=5,"Friday")))))))</f>
        <v>Saturday</v>
      </c>
      <c r="X333" s="59" t="str">
        <f>IF(G333=FALSE,"Working day", IF(G333=TRUE,"Holiday"))</f>
        <v>Working day</v>
      </c>
    </row>
    <row r="334" spans="1:24" x14ac:dyDescent="0.25">
      <c r="A334" s="32">
        <v>333</v>
      </c>
      <c r="B334" s="33">
        <v>40558</v>
      </c>
      <c r="C334" s="26">
        <v>1</v>
      </c>
      <c r="D334" s="26">
        <v>0</v>
      </c>
      <c r="E334" s="26">
        <v>1</v>
      </c>
      <c r="F334" s="26">
        <v>8</v>
      </c>
      <c r="G334" s="26" t="b">
        <v>0</v>
      </c>
      <c r="H334" s="26">
        <v>6</v>
      </c>
      <c r="I334" s="26">
        <v>1</v>
      </c>
      <c r="J334" s="26">
        <v>0.14000000000000001</v>
      </c>
      <c r="K334" s="26">
        <v>0.18179999999999999</v>
      </c>
      <c r="L334" s="26">
        <v>0.63</v>
      </c>
      <c r="M334">
        <v>0.1343</v>
      </c>
      <c r="N334" s="26">
        <v>1</v>
      </c>
      <c r="O334" s="26">
        <v>22</v>
      </c>
      <c r="P334" s="26">
        <v>23</v>
      </c>
      <c r="Q334" s="34" t="str">
        <f t="shared" si="15"/>
        <v>Clear</v>
      </c>
      <c r="R334" s="41" t="str">
        <f>IF(I334=1,"Normal",IF(I334=2,"Yellow Alert",IF(I334=3,"Orange Alert",IF(I334=4,"Red Alert"))))</f>
        <v>Normal</v>
      </c>
      <c r="S334" s="60">
        <f t="shared" si="16"/>
        <v>15</v>
      </c>
      <c r="T334" s="60">
        <f>MONTH(dataset_1!B:B)</f>
        <v>1</v>
      </c>
      <c r="U334" s="60">
        <f t="shared" si="17"/>
        <v>2011</v>
      </c>
      <c r="V334" s="59" t="str">
        <f>TEXT(F334/24,"H AM/PM")</f>
        <v>8 AM</v>
      </c>
      <c r="W334" s="59" t="str">
        <f>IF(H334=6,"Saturday",IF(H334=0,"Sunday",IF(H334=1,"Monday",IF(H334=2,"Tuesday",IF(H334=3,"Wednesday",IF(H334=4,"Thursday",IF(H334=5,"Friday")))))))</f>
        <v>Saturday</v>
      </c>
      <c r="X334" s="59" t="str">
        <f>IF(G334=FALSE,"Working day", IF(G334=TRUE,"Holiday"))</f>
        <v>Working day</v>
      </c>
    </row>
    <row r="335" spans="1:24" x14ac:dyDescent="0.25">
      <c r="A335" s="32">
        <v>334</v>
      </c>
      <c r="B335" s="33">
        <v>40558</v>
      </c>
      <c r="C335" s="26">
        <v>1</v>
      </c>
      <c r="D335" s="26">
        <v>0</v>
      </c>
      <c r="E335" s="26">
        <v>1</v>
      </c>
      <c r="F335" s="26">
        <v>9</v>
      </c>
      <c r="G335" s="26" t="b">
        <v>0</v>
      </c>
      <c r="H335" s="26">
        <v>6</v>
      </c>
      <c r="I335" s="26">
        <v>1</v>
      </c>
      <c r="J335" s="26">
        <v>0.16</v>
      </c>
      <c r="K335" s="26">
        <v>0.19700000000000001</v>
      </c>
      <c r="L335" s="26">
        <v>0.64</v>
      </c>
      <c r="M335">
        <v>0.1343</v>
      </c>
      <c r="N335" s="26">
        <v>2</v>
      </c>
      <c r="O335" s="26">
        <v>31</v>
      </c>
      <c r="P335" s="26">
        <v>33</v>
      </c>
      <c r="Q335" s="34" t="str">
        <f t="shared" si="15"/>
        <v>Clear</v>
      </c>
      <c r="R335" s="41" t="str">
        <f>IF(I335=1,"Normal",IF(I335=2,"Yellow Alert",IF(I335=3,"Orange Alert",IF(I335=4,"Red Alert"))))</f>
        <v>Normal</v>
      </c>
      <c r="S335" s="60">
        <f t="shared" si="16"/>
        <v>15</v>
      </c>
      <c r="T335" s="60">
        <f>MONTH(dataset_1!B:B)</f>
        <v>1</v>
      </c>
      <c r="U335" s="60">
        <f t="shared" si="17"/>
        <v>2011</v>
      </c>
      <c r="V335" s="59" t="str">
        <f>TEXT(F335/24,"H AM/PM")</f>
        <v>9 AM</v>
      </c>
      <c r="W335" s="59" t="str">
        <f>IF(H335=6,"Saturday",IF(H335=0,"Sunday",IF(H335=1,"Monday",IF(H335=2,"Tuesday",IF(H335=3,"Wednesday",IF(H335=4,"Thursday",IF(H335=5,"Friday")))))))</f>
        <v>Saturday</v>
      </c>
      <c r="X335" s="59" t="str">
        <f>IF(G335=FALSE,"Working day", IF(G335=TRUE,"Holiday"))</f>
        <v>Working day</v>
      </c>
    </row>
    <row r="336" spans="1:24" x14ac:dyDescent="0.25">
      <c r="A336" s="32">
        <v>335</v>
      </c>
      <c r="B336" s="33">
        <v>40558</v>
      </c>
      <c r="C336" s="26">
        <v>1</v>
      </c>
      <c r="D336" s="26">
        <v>0</v>
      </c>
      <c r="E336" s="26">
        <v>1</v>
      </c>
      <c r="F336" s="26">
        <v>10</v>
      </c>
      <c r="G336" s="26" t="b">
        <v>0</v>
      </c>
      <c r="H336" s="26">
        <v>6</v>
      </c>
      <c r="I336" s="26">
        <v>1</v>
      </c>
      <c r="J336" s="26">
        <v>0.18</v>
      </c>
      <c r="K336" s="26">
        <v>0.19700000000000001</v>
      </c>
      <c r="L336" s="26">
        <v>0.59</v>
      </c>
      <c r="M336">
        <v>0.16420000000000001</v>
      </c>
      <c r="N336" s="26">
        <v>2</v>
      </c>
      <c r="O336" s="26">
        <v>57</v>
      </c>
      <c r="P336" s="26">
        <v>59</v>
      </c>
      <c r="Q336" s="34" t="str">
        <f t="shared" si="15"/>
        <v>Clear</v>
      </c>
      <c r="R336" s="41" t="str">
        <f>IF(I336=1,"Normal",IF(I336=2,"Yellow Alert",IF(I336=3,"Orange Alert",IF(I336=4,"Red Alert"))))</f>
        <v>Normal</v>
      </c>
      <c r="S336" s="60">
        <f t="shared" si="16"/>
        <v>15</v>
      </c>
      <c r="T336" s="60">
        <f>MONTH(dataset_1!B:B)</f>
        <v>1</v>
      </c>
      <c r="U336" s="60">
        <f t="shared" si="17"/>
        <v>2011</v>
      </c>
      <c r="V336" s="59" t="str">
        <f>TEXT(F336/24,"H AM/PM")</f>
        <v>10 AM</v>
      </c>
      <c r="W336" s="59" t="str">
        <f>IF(H336=6,"Saturday",IF(H336=0,"Sunday",IF(H336=1,"Monday",IF(H336=2,"Tuesday",IF(H336=3,"Wednesday",IF(H336=4,"Thursday",IF(H336=5,"Friday")))))))</f>
        <v>Saturday</v>
      </c>
      <c r="X336" s="59" t="str">
        <f>IF(G336=FALSE,"Working day", IF(G336=TRUE,"Holiday"))</f>
        <v>Working day</v>
      </c>
    </row>
    <row r="337" spans="1:24" x14ac:dyDescent="0.25">
      <c r="A337" s="32">
        <v>336</v>
      </c>
      <c r="B337" s="33">
        <v>40558</v>
      </c>
      <c r="C337" s="26">
        <v>1</v>
      </c>
      <c r="D337" s="26">
        <v>0</v>
      </c>
      <c r="E337" s="26">
        <v>1</v>
      </c>
      <c r="F337" s="26">
        <v>11</v>
      </c>
      <c r="G337" s="26" t="b">
        <v>0</v>
      </c>
      <c r="H337" s="26">
        <v>6</v>
      </c>
      <c r="I337" s="26">
        <v>1</v>
      </c>
      <c r="J337" s="26">
        <v>0.2</v>
      </c>
      <c r="K337" s="26">
        <v>0.2273</v>
      </c>
      <c r="L337" s="26">
        <v>0.55000000000000004</v>
      </c>
      <c r="M337">
        <v>0.22389999999999999</v>
      </c>
      <c r="N337" s="26">
        <v>18</v>
      </c>
      <c r="O337" s="26">
        <v>54</v>
      </c>
      <c r="P337" s="26">
        <v>72</v>
      </c>
      <c r="Q337" s="34" t="str">
        <f t="shared" si="15"/>
        <v>Clear</v>
      </c>
      <c r="R337" s="41" t="str">
        <f>IF(I337=1,"Normal",IF(I337=2,"Yellow Alert",IF(I337=3,"Orange Alert",IF(I337=4,"Red Alert"))))</f>
        <v>Normal</v>
      </c>
      <c r="S337" s="60">
        <f t="shared" si="16"/>
        <v>15</v>
      </c>
      <c r="T337" s="60">
        <f>MONTH(dataset_1!B:B)</f>
        <v>1</v>
      </c>
      <c r="U337" s="60">
        <f t="shared" si="17"/>
        <v>2011</v>
      </c>
      <c r="V337" s="59" t="str">
        <f>TEXT(F337/24,"H AM/PM")</f>
        <v>11 AM</v>
      </c>
      <c r="W337" s="59" t="str">
        <f>IF(H337=6,"Saturday",IF(H337=0,"Sunday",IF(H337=1,"Monday",IF(H337=2,"Tuesday",IF(H337=3,"Wednesday",IF(H337=4,"Thursday",IF(H337=5,"Friday")))))))</f>
        <v>Saturday</v>
      </c>
      <c r="X337" s="59" t="str">
        <f>IF(G337=FALSE,"Working day", IF(G337=TRUE,"Holiday"))</f>
        <v>Working day</v>
      </c>
    </row>
    <row r="338" spans="1:24" x14ac:dyDescent="0.25">
      <c r="A338" s="32">
        <v>337</v>
      </c>
      <c r="B338" s="33">
        <v>40558</v>
      </c>
      <c r="C338" s="26">
        <v>1</v>
      </c>
      <c r="D338" s="26">
        <v>0</v>
      </c>
      <c r="E338" s="26">
        <v>1</v>
      </c>
      <c r="F338" s="26">
        <v>12</v>
      </c>
      <c r="G338" s="26" t="b">
        <v>0</v>
      </c>
      <c r="H338" s="26">
        <v>6</v>
      </c>
      <c r="I338" s="26">
        <v>1</v>
      </c>
      <c r="J338" s="26">
        <v>0.24</v>
      </c>
      <c r="K338" s="26">
        <v>0.2576</v>
      </c>
      <c r="L338" s="26">
        <v>0.48</v>
      </c>
      <c r="M338">
        <v>0.22389999999999999</v>
      </c>
      <c r="N338" s="26">
        <v>15</v>
      </c>
      <c r="O338" s="26">
        <v>74</v>
      </c>
      <c r="P338" s="26">
        <v>89</v>
      </c>
      <c r="Q338" s="34" t="str">
        <f t="shared" si="15"/>
        <v>Clear</v>
      </c>
      <c r="R338" s="41" t="str">
        <f>IF(I338=1,"Normal",IF(I338=2,"Yellow Alert",IF(I338=3,"Orange Alert",IF(I338=4,"Red Alert"))))</f>
        <v>Normal</v>
      </c>
      <c r="S338" s="60">
        <f t="shared" si="16"/>
        <v>15</v>
      </c>
      <c r="T338" s="60">
        <f>MONTH(dataset_1!B:B)</f>
        <v>1</v>
      </c>
      <c r="U338" s="60">
        <f t="shared" si="17"/>
        <v>2011</v>
      </c>
      <c r="V338" s="59" t="str">
        <f>TEXT(F338/24,"H AM/PM")</f>
        <v>12 PM</v>
      </c>
      <c r="W338" s="59" t="str">
        <f>IF(H338=6,"Saturday",IF(H338=0,"Sunday",IF(H338=1,"Monday",IF(H338=2,"Tuesday",IF(H338=3,"Wednesday",IF(H338=4,"Thursday",IF(H338=5,"Friday")))))))</f>
        <v>Saturday</v>
      </c>
      <c r="X338" s="59" t="str">
        <f>IF(G338=FALSE,"Working day", IF(G338=TRUE,"Holiday"))</f>
        <v>Working day</v>
      </c>
    </row>
    <row r="339" spans="1:24" x14ac:dyDescent="0.25">
      <c r="A339" s="32">
        <v>338</v>
      </c>
      <c r="B339" s="33">
        <v>40558</v>
      </c>
      <c r="C339" s="26">
        <v>1</v>
      </c>
      <c r="D339" s="26">
        <v>0</v>
      </c>
      <c r="E339" s="26">
        <v>1</v>
      </c>
      <c r="F339" s="26">
        <v>13</v>
      </c>
      <c r="G339" s="26" t="b">
        <v>0</v>
      </c>
      <c r="H339" s="26">
        <v>6</v>
      </c>
      <c r="I339" s="26">
        <v>1</v>
      </c>
      <c r="J339" s="26">
        <v>0.28000000000000003</v>
      </c>
      <c r="K339" s="26">
        <v>0.28789999999999999</v>
      </c>
      <c r="L339" s="26">
        <v>0.38</v>
      </c>
      <c r="M339">
        <v>0.29849999999999999</v>
      </c>
      <c r="N339" s="26">
        <v>21</v>
      </c>
      <c r="O339" s="26">
        <v>80</v>
      </c>
      <c r="P339" s="26">
        <v>101</v>
      </c>
      <c r="Q339" s="34" t="str">
        <f t="shared" si="15"/>
        <v>Clear</v>
      </c>
      <c r="R339" s="41" t="str">
        <f>IF(I339=1,"Normal",IF(I339=2,"Yellow Alert",IF(I339=3,"Orange Alert",IF(I339=4,"Red Alert"))))</f>
        <v>Normal</v>
      </c>
      <c r="S339" s="60">
        <f t="shared" si="16"/>
        <v>15</v>
      </c>
      <c r="T339" s="60">
        <f>MONTH(dataset_1!B:B)</f>
        <v>1</v>
      </c>
      <c r="U339" s="60">
        <f t="shared" si="17"/>
        <v>2011</v>
      </c>
      <c r="V339" s="59" t="str">
        <f>TEXT(F339/24,"H AM/PM")</f>
        <v>1 PM</v>
      </c>
      <c r="W339" s="59" t="str">
        <f>IF(H339=6,"Saturday",IF(H339=0,"Sunday",IF(H339=1,"Monday",IF(H339=2,"Tuesday",IF(H339=3,"Wednesday",IF(H339=4,"Thursday",IF(H339=5,"Friday")))))))</f>
        <v>Saturday</v>
      </c>
      <c r="X339" s="59" t="str">
        <f>IF(G339=FALSE,"Working day", IF(G339=TRUE,"Holiday"))</f>
        <v>Working day</v>
      </c>
    </row>
    <row r="340" spans="1:24" x14ac:dyDescent="0.25">
      <c r="A340" s="32">
        <v>339</v>
      </c>
      <c r="B340" s="33">
        <v>40558</v>
      </c>
      <c r="C340" s="26">
        <v>1</v>
      </c>
      <c r="D340" s="26">
        <v>0</v>
      </c>
      <c r="E340" s="26">
        <v>1</v>
      </c>
      <c r="F340" s="26">
        <v>14</v>
      </c>
      <c r="G340" s="26" t="b">
        <v>0</v>
      </c>
      <c r="H340" s="26">
        <v>6</v>
      </c>
      <c r="I340" s="26">
        <v>1</v>
      </c>
      <c r="J340" s="26">
        <v>0.3</v>
      </c>
      <c r="K340" s="26">
        <v>0.31819999999999998</v>
      </c>
      <c r="L340" s="26">
        <v>0.39</v>
      </c>
      <c r="M340">
        <v>0.28360000000000002</v>
      </c>
      <c r="N340" s="26">
        <v>26</v>
      </c>
      <c r="O340" s="26">
        <v>92</v>
      </c>
      <c r="P340" s="26">
        <v>118</v>
      </c>
      <c r="Q340" s="34" t="str">
        <f t="shared" si="15"/>
        <v>Clear</v>
      </c>
      <c r="R340" s="41" t="str">
        <f>IF(I340=1,"Normal",IF(I340=2,"Yellow Alert",IF(I340=3,"Orange Alert",IF(I340=4,"Red Alert"))))</f>
        <v>Normal</v>
      </c>
      <c r="S340" s="60">
        <f t="shared" si="16"/>
        <v>15</v>
      </c>
      <c r="T340" s="60">
        <f>MONTH(dataset_1!B:B)</f>
        <v>1</v>
      </c>
      <c r="U340" s="60">
        <f t="shared" si="17"/>
        <v>2011</v>
      </c>
      <c r="V340" s="59" t="str">
        <f>TEXT(F340/24,"H AM/PM")</f>
        <v>2 PM</v>
      </c>
      <c r="W340" s="59" t="str">
        <f>IF(H340=6,"Saturday",IF(H340=0,"Sunday",IF(H340=1,"Monday",IF(H340=2,"Tuesday",IF(H340=3,"Wednesday",IF(H340=4,"Thursday",IF(H340=5,"Friday")))))))</f>
        <v>Saturday</v>
      </c>
      <c r="X340" s="59" t="str">
        <f>IF(G340=FALSE,"Working day", IF(G340=TRUE,"Holiday"))</f>
        <v>Working day</v>
      </c>
    </row>
    <row r="341" spans="1:24" x14ac:dyDescent="0.25">
      <c r="A341" s="32">
        <v>340</v>
      </c>
      <c r="B341" s="33">
        <v>40558</v>
      </c>
      <c r="C341" s="26">
        <v>1</v>
      </c>
      <c r="D341" s="26">
        <v>0</v>
      </c>
      <c r="E341" s="26">
        <v>1</v>
      </c>
      <c r="F341" s="26">
        <v>15</v>
      </c>
      <c r="G341" s="26" t="b">
        <v>0</v>
      </c>
      <c r="H341" s="26">
        <v>6</v>
      </c>
      <c r="I341" s="26">
        <v>2</v>
      </c>
      <c r="J341" s="26">
        <v>0.32</v>
      </c>
      <c r="K341" s="26">
        <v>0.33329999999999999</v>
      </c>
      <c r="L341" s="26">
        <v>0.36</v>
      </c>
      <c r="M341">
        <v>0.19400000000000001</v>
      </c>
      <c r="N341" s="26">
        <v>21</v>
      </c>
      <c r="O341" s="26">
        <v>108</v>
      </c>
      <c r="P341" s="26">
        <v>129</v>
      </c>
      <c r="Q341" s="34" t="str">
        <f t="shared" si="15"/>
        <v>Cloudy</v>
      </c>
      <c r="R341" s="41" t="str">
        <f>IF(I341=1,"Normal",IF(I341=2,"Yellow Alert",IF(I341=3,"Orange Alert",IF(I341=4,"Red Alert"))))</f>
        <v>Yellow Alert</v>
      </c>
      <c r="S341" s="60">
        <f t="shared" si="16"/>
        <v>15</v>
      </c>
      <c r="T341" s="60">
        <f>MONTH(dataset_1!B:B)</f>
        <v>1</v>
      </c>
      <c r="U341" s="60">
        <f t="shared" si="17"/>
        <v>2011</v>
      </c>
      <c r="V341" s="59" t="str">
        <f>TEXT(F341/24,"H AM/PM")</f>
        <v>3 PM</v>
      </c>
      <c r="W341" s="59" t="str">
        <f>IF(H341=6,"Saturday",IF(H341=0,"Sunday",IF(H341=1,"Monday",IF(H341=2,"Tuesday",IF(H341=3,"Wednesday",IF(H341=4,"Thursday",IF(H341=5,"Friday")))))))</f>
        <v>Saturday</v>
      </c>
      <c r="X341" s="59" t="str">
        <f>IF(G341=FALSE,"Working day", IF(G341=TRUE,"Holiday"))</f>
        <v>Working day</v>
      </c>
    </row>
    <row r="342" spans="1:24" x14ac:dyDescent="0.25">
      <c r="A342" s="32">
        <v>341</v>
      </c>
      <c r="B342" s="33">
        <v>40558</v>
      </c>
      <c r="C342" s="26">
        <v>1</v>
      </c>
      <c r="D342" s="26">
        <v>0</v>
      </c>
      <c r="E342" s="26">
        <v>1</v>
      </c>
      <c r="F342" s="26">
        <v>16</v>
      </c>
      <c r="G342" s="26" t="b">
        <v>0</v>
      </c>
      <c r="H342" s="26">
        <v>6</v>
      </c>
      <c r="I342" s="26">
        <v>2</v>
      </c>
      <c r="J342" s="26">
        <v>0.34</v>
      </c>
      <c r="K342" s="26">
        <v>0.30299999999999999</v>
      </c>
      <c r="L342" s="26">
        <v>0.34</v>
      </c>
      <c r="M342">
        <v>0.19400000000000001</v>
      </c>
      <c r="N342" s="26">
        <v>33</v>
      </c>
      <c r="O342" s="26">
        <v>95</v>
      </c>
      <c r="P342" s="26">
        <v>128</v>
      </c>
      <c r="Q342" s="34" t="str">
        <f t="shared" si="15"/>
        <v>Cloudy</v>
      </c>
      <c r="R342" s="41" t="str">
        <f>IF(I342=1,"Normal",IF(I342=2,"Yellow Alert",IF(I342=3,"Orange Alert",IF(I342=4,"Red Alert"))))</f>
        <v>Yellow Alert</v>
      </c>
      <c r="S342" s="60">
        <f t="shared" si="16"/>
        <v>15</v>
      </c>
      <c r="T342" s="60">
        <f>MONTH(dataset_1!B:B)</f>
        <v>1</v>
      </c>
      <c r="U342" s="60">
        <f t="shared" si="17"/>
        <v>2011</v>
      </c>
      <c r="V342" s="59" t="str">
        <f>TEXT(F342/24,"H AM/PM")</f>
        <v>4 PM</v>
      </c>
      <c r="W342" s="59" t="str">
        <f>IF(H342=6,"Saturday",IF(H342=0,"Sunday",IF(H342=1,"Monday",IF(H342=2,"Tuesday",IF(H342=3,"Wednesday",IF(H342=4,"Thursday",IF(H342=5,"Friday")))))))</f>
        <v>Saturday</v>
      </c>
      <c r="X342" s="59" t="str">
        <f>IF(G342=FALSE,"Working day", IF(G342=TRUE,"Holiday"))</f>
        <v>Working day</v>
      </c>
    </row>
    <row r="343" spans="1:24" x14ac:dyDescent="0.25">
      <c r="A343" s="32">
        <v>342</v>
      </c>
      <c r="B343" s="33">
        <v>40558</v>
      </c>
      <c r="C343" s="26">
        <v>1</v>
      </c>
      <c r="D343" s="26">
        <v>0</v>
      </c>
      <c r="E343" s="26">
        <v>1</v>
      </c>
      <c r="F343" s="26">
        <v>17</v>
      </c>
      <c r="G343" s="26" t="b">
        <v>0</v>
      </c>
      <c r="H343" s="26">
        <v>6</v>
      </c>
      <c r="I343" s="26">
        <v>2</v>
      </c>
      <c r="J343" s="26">
        <v>0.32</v>
      </c>
      <c r="K343" s="26">
        <v>0.28789999999999999</v>
      </c>
      <c r="L343" s="26">
        <v>0.36</v>
      </c>
      <c r="M343">
        <v>0.28360000000000002</v>
      </c>
      <c r="N343" s="26">
        <v>29</v>
      </c>
      <c r="O343" s="26">
        <v>54</v>
      </c>
      <c r="P343" s="26">
        <v>83</v>
      </c>
      <c r="Q343" s="34" t="str">
        <f t="shared" si="15"/>
        <v>Cloudy</v>
      </c>
      <c r="R343" s="41" t="str">
        <f>IF(I343=1,"Normal",IF(I343=2,"Yellow Alert",IF(I343=3,"Orange Alert",IF(I343=4,"Red Alert"))))</f>
        <v>Yellow Alert</v>
      </c>
      <c r="S343" s="60">
        <f t="shared" si="16"/>
        <v>15</v>
      </c>
      <c r="T343" s="60">
        <f>MONTH(dataset_1!B:B)</f>
        <v>1</v>
      </c>
      <c r="U343" s="60">
        <f t="shared" si="17"/>
        <v>2011</v>
      </c>
      <c r="V343" s="59" t="str">
        <f>TEXT(F343/24,"H AM/PM")</f>
        <v>5 PM</v>
      </c>
      <c r="W343" s="59" t="str">
        <f>IF(H343=6,"Saturday",IF(H343=0,"Sunday",IF(H343=1,"Monday",IF(H343=2,"Tuesday",IF(H343=3,"Wednesday",IF(H343=4,"Thursday",IF(H343=5,"Friday")))))))</f>
        <v>Saturday</v>
      </c>
      <c r="X343" s="59" t="str">
        <f>IF(G343=FALSE,"Working day", IF(G343=TRUE,"Holiday"))</f>
        <v>Working day</v>
      </c>
    </row>
    <row r="344" spans="1:24" x14ac:dyDescent="0.25">
      <c r="A344" s="32">
        <v>343</v>
      </c>
      <c r="B344" s="33">
        <v>40558</v>
      </c>
      <c r="C344" s="26">
        <v>1</v>
      </c>
      <c r="D344" s="26">
        <v>0</v>
      </c>
      <c r="E344" s="26">
        <v>1</v>
      </c>
      <c r="F344" s="26">
        <v>18</v>
      </c>
      <c r="G344" s="26" t="b">
        <v>0</v>
      </c>
      <c r="H344" s="26">
        <v>6</v>
      </c>
      <c r="I344" s="26">
        <v>2</v>
      </c>
      <c r="J344" s="26">
        <v>0.3</v>
      </c>
      <c r="K344" s="26">
        <v>0.30299999999999999</v>
      </c>
      <c r="L344" s="26">
        <v>0.45</v>
      </c>
      <c r="M344">
        <v>0.25369999999999998</v>
      </c>
      <c r="N344" s="26">
        <v>15</v>
      </c>
      <c r="O344" s="26">
        <v>69</v>
      </c>
      <c r="P344" s="26">
        <v>84</v>
      </c>
      <c r="Q344" s="34" t="str">
        <f t="shared" si="15"/>
        <v>Cloudy</v>
      </c>
      <c r="R344" s="41" t="str">
        <f>IF(I344=1,"Normal",IF(I344=2,"Yellow Alert",IF(I344=3,"Orange Alert",IF(I344=4,"Red Alert"))))</f>
        <v>Yellow Alert</v>
      </c>
      <c r="S344" s="60">
        <f t="shared" si="16"/>
        <v>15</v>
      </c>
      <c r="T344" s="60">
        <f>MONTH(dataset_1!B:B)</f>
        <v>1</v>
      </c>
      <c r="U344" s="60">
        <f t="shared" si="17"/>
        <v>2011</v>
      </c>
      <c r="V344" s="59" t="str">
        <f>TEXT(F344/24,"H AM/PM")</f>
        <v>6 PM</v>
      </c>
      <c r="W344" s="59" t="str">
        <f>IF(H344=6,"Saturday",IF(H344=0,"Sunday",IF(H344=1,"Monday",IF(H344=2,"Tuesday",IF(H344=3,"Wednesday",IF(H344=4,"Thursday",IF(H344=5,"Friday")))))))</f>
        <v>Saturday</v>
      </c>
      <c r="X344" s="59" t="str">
        <f>IF(G344=FALSE,"Working day", IF(G344=TRUE,"Holiday"))</f>
        <v>Working day</v>
      </c>
    </row>
    <row r="345" spans="1:24" x14ac:dyDescent="0.25">
      <c r="A345" s="32">
        <v>344</v>
      </c>
      <c r="B345" s="33">
        <v>40558</v>
      </c>
      <c r="C345" s="26">
        <v>1</v>
      </c>
      <c r="D345" s="26">
        <v>0</v>
      </c>
      <c r="E345" s="26">
        <v>1</v>
      </c>
      <c r="F345" s="26">
        <v>19</v>
      </c>
      <c r="G345" s="26" t="b">
        <v>0</v>
      </c>
      <c r="H345" s="26">
        <v>6</v>
      </c>
      <c r="I345" s="26">
        <v>2</v>
      </c>
      <c r="J345" s="26">
        <v>0.32</v>
      </c>
      <c r="K345" s="26">
        <v>0.30299999999999999</v>
      </c>
      <c r="L345" s="26">
        <v>0.39</v>
      </c>
      <c r="M345">
        <v>0.25369999999999998</v>
      </c>
      <c r="N345" s="26">
        <v>14</v>
      </c>
      <c r="O345" s="26">
        <v>60</v>
      </c>
      <c r="P345" s="26">
        <v>74</v>
      </c>
      <c r="Q345" s="34" t="str">
        <f t="shared" si="15"/>
        <v>Cloudy</v>
      </c>
      <c r="R345" s="41" t="str">
        <f>IF(I345=1,"Normal",IF(I345=2,"Yellow Alert",IF(I345=3,"Orange Alert",IF(I345=4,"Red Alert"))))</f>
        <v>Yellow Alert</v>
      </c>
      <c r="S345" s="60">
        <f t="shared" si="16"/>
        <v>15</v>
      </c>
      <c r="T345" s="60">
        <f>MONTH(dataset_1!B:B)</f>
        <v>1</v>
      </c>
      <c r="U345" s="60">
        <f t="shared" si="17"/>
        <v>2011</v>
      </c>
      <c r="V345" s="59" t="str">
        <f>TEXT(F345/24,"H AM/PM")</f>
        <v>7 PM</v>
      </c>
      <c r="W345" s="59" t="str">
        <f>IF(H345=6,"Saturday",IF(H345=0,"Sunday",IF(H345=1,"Monday",IF(H345=2,"Tuesday",IF(H345=3,"Wednesday",IF(H345=4,"Thursday",IF(H345=5,"Friday")))))))</f>
        <v>Saturday</v>
      </c>
      <c r="X345" s="59" t="str">
        <f>IF(G345=FALSE,"Working day", IF(G345=TRUE,"Holiday"))</f>
        <v>Working day</v>
      </c>
    </row>
    <row r="346" spans="1:24" x14ac:dyDescent="0.25">
      <c r="A346" s="32">
        <v>345</v>
      </c>
      <c r="B346" s="33">
        <v>40558</v>
      </c>
      <c r="C346" s="26">
        <v>1</v>
      </c>
      <c r="D346" s="26">
        <v>0</v>
      </c>
      <c r="E346" s="26">
        <v>1</v>
      </c>
      <c r="F346" s="26">
        <v>20</v>
      </c>
      <c r="G346" s="26" t="b">
        <v>0</v>
      </c>
      <c r="H346" s="26">
        <v>6</v>
      </c>
      <c r="I346" s="26">
        <v>2</v>
      </c>
      <c r="J346" s="26">
        <v>0.32</v>
      </c>
      <c r="K346" s="26">
        <v>0.30299999999999999</v>
      </c>
      <c r="L346" s="26">
        <v>0.39</v>
      </c>
      <c r="M346">
        <v>0.25369999999999998</v>
      </c>
      <c r="N346" s="26">
        <v>6</v>
      </c>
      <c r="O346" s="26">
        <v>35</v>
      </c>
      <c r="P346" s="26">
        <v>41</v>
      </c>
      <c r="Q346" s="34" t="str">
        <f t="shared" si="15"/>
        <v>Cloudy</v>
      </c>
      <c r="R346" s="41" t="str">
        <f>IF(I346=1,"Normal",IF(I346=2,"Yellow Alert",IF(I346=3,"Orange Alert",IF(I346=4,"Red Alert"))))</f>
        <v>Yellow Alert</v>
      </c>
      <c r="S346" s="60">
        <f t="shared" si="16"/>
        <v>15</v>
      </c>
      <c r="T346" s="60">
        <f>MONTH(dataset_1!B:B)</f>
        <v>1</v>
      </c>
      <c r="U346" s="60">
        <f t="shared" si="17"/>
        <v>2011</v>
      </c>
      <c r="V346" s="59" t="str">
        <f>TEXT(F346/24,"H AM/PM")</f>
        <v>8 PM</v>
      </c>
      <c r="W346" s="59" t="str">
        <f>IF(H346=6,"Saturday",IF(H346=0,"Sunday",IF(H346=1,"Monday",IF(H346=2,"Tuesday",IF(H346=3,"Wednesday",IF(H346=4,"Thursday",IF(H346=5,"Friday")))))))</f>
        <v>Saturday</v>
      </c>
      <c r="X346" s="59" t="str">
        <f>IF(G346=FALSE,"Working day", IF(G346=TRUE,"Holiday"))</f>
        <v>Working day</v>
      </c>
    </row>
    <row r="347" spans="1:24" x14ac:dyDescent="0.25">
      <c r="A347" s="32">
        <v>346</v>
      </c>
      <c r="B347" s="33">
        <v>40558</v>
      </c>
      <c r="C347" s="26">
        <v>1</v>
      </c>
      <c r="D347" s="26">
        <v>0</v>
      </c>
      <c r="E347" s="26">
        <v>1</v>
      </c>
      <c r="F347" s="26">
        <v>21</v>
      </c>
      <c r="G347" s="26" t="b">
        <v>0</v>
      </c>
      <c r="H347" s="26">
        <v>6</v>
      </c>
      <c r="I347" s="26">
        <v>2</v>
      </c>
      <c r="J347" s="26">
        <v>0.32</v>
      </c>
      <c r="K347" s="26">
        <v>0.31819999999999998</v>
      </c>
      <c r="L347" s="26">
        <v>0.39</v>
      </c>
      <c r="M347">
        <v>0.22389999999999999</v>
      </c>
      <c r="N347" s="26">
        <v>6</v>
      </c>
      <c r="O347" s="26">
        <v>51</v>
      </c>
      <c r="P347" s="26">
        <v>57</v>
      </c>
      <c r="Q347" s="34" t="str">
        <f t="shared" si="15"/>
        <v>Cloudy</v>
      </c>
      <c r="R347" s="41" t="str">
        <f>IF(I347=1,"Normal",IF(I347=2,"Yellow Alert",IF(I347=3,"Orange Alert",IF(I347=4,"Red Alert"))))</f>
        <v>Yellow Alert</v>
      </c>
      <c r="S347" s="60">
        <f t="shared" si="16"/>
        <v>15</v>
      </c>
      <c r="T347" s="60">
        <f>MONTH(dataset_1!B:B)</f>
        <v>1</v>
      </c>
      <c r="U347" s="60">
        <f t="shared" si="17"/>
        <v>2011</v>
      </c>
      <c r="V347" s="59" t="str">
        <f>TEXT(F347/24,"H AM/PM")</f>
        <v>9 PM</v>
      </c>
      <c r="W347" s="59" t="str">
        <f>IF(H347=6,"Saturday",IF(H347=0,"Sunday",IF(H347=1,"Monday",IF(H347=2,"Tuesday",IF(H347=3,"Wednesday",IF(H347=4,"Thursday",IF(H347=5,"Friday")))))))</f>
        <v>Saturday</v>
      </c>
      <c r="X347" s="59" t="str">
        <f>IF(G347=FALSE,"Working day", IF(G347=TRUE,"Holiday"))</f>
        <v>Working day</v>
      </c>
    </row>
    <row r="348" spans="1:24" x14ac:dyDescent="0.25">
      <c r="A348" s="32">
        <v>347</v>
      </c>
      <c r="B348" s="33">
        <v>40558</v>
      </c>
      <c r="C348" s="26">
        <v>1</v>
      </c>
      <c r="D348" s="26">
        <v>0</v>
      </c>
      <c r="E348" s="26">
        <v>1</v>
      </c>
      <c r="F348" s="26">
        <v>22</v>
      </c>
      <c r="G348" s="26" t="b">
        <v>0</v>
      </c>
      <c r="H348" s="26">
        <v>6</v>
      </c>
      <c r="I348" s="26">
        <v>2</v>
      </c>
      <c r="J348" s="26">
        <v>0.3</v>
      </c>
      <c r="K348" s="26">
        <v>0.28789999999999999</v>
      </c>
      <c r="L348" s="26">
        <v>0.42</v>
      </c>
      <c r="M348">
        <v>0.1045</v>
      </c>
      <c r="N348" s="26">
        <v>0</v>
      </c>
      <c r="O348" s="26">
        <v>26</v>
      </c>
      <c r="P348" s="26">
        <v>26</v>
      </c>
      <c r="Q348" s="34" t="str">
        <f t="shared" si="15"/>
        <v>Cloudy</v>
      </c>
      <c r="R348" s="41" t="str">
        <f>IF(I348=1,"Normal",IF(I348=2,"Yellow Alert",IF(I348=3,"Orange Alert",IF(I348=4,"Red Alert"))))</f>
        <v>Yellow Alert</v>
      </c>
      <c r="S348" s="60">
        <f t="shared" si="16"/>
        <v>15</v>
      </c>
      <c r="T348" s="60">
        <f>MONTH(dataset_1!B:B)</f>
        <v>1</v>
      </c>
      <c r="U348" s="60">
        <f t="shared" si="17"/>
        <v>2011</v>
      </c>
      <c r="V348" s="59" t="str">
        <f>TEXT(F348/24,"H AM/PM")</f>
        <v>10 PM</v>
      </c>
      <c r="W348" s="59" t="str">
        <f>IF(H348=6,"Saturday",IF(H348=0,"Sunday",IF(H348=1,"Monday",IF(H348=2,"Tuesday",IF(H348=3,"Wednesday",IF(H348=4,"Thursday",IF(H348=5,"Friday")))))))</f>
        <v>Saturday</v>
      </c>
      <c r="X348" s="59" t="str">
        <f>IF(G348=FALSE,"Working day", IF(G348=TRUE,"Holiday"))</f>
        <v>Working day</v>
      </c>
    </row>
    <row r="349" spans="1:24" x14ac:dyDescent="0.25">
      <c r="A349" s="32">
        <v>348</v>
      </c>
      <c r="B349" s="33">
        <v>40558</v>
      </c>
      <c r="C349" s="26">
        <v>1</v>
      </c>
      <c r="D349" s="26">
        <v>0</v>
      </c>
      <c r="E349" s="26">
        <v>1</v>
      </c>
      <c r="F349" s="26">
        <v>23</v>
      </c>
      <c r="G349" s="26" t="b">
        <v>0</v>
      </c>
      <c r="H349" s="26">
        <v>6</v>
      </c>
      <c r="I349" s="26">
        <v>1</v>
      </c>
      <c r="J349" s="26">
        <v>0.3</v>
      </c>
      <c r="K349" s="26">
        <v>0.30299999999999999</v>
      </c>
      <c r="L349" s="26">
        <v>0.45</v>
      </c>
      <c r="M349">
        <v>0.28360000000000002</v>
      </c>
      <c r="N349" s="26">
        <v>5</v>
      </c>
      <c r="O349" s="26">
        <v>39</v>
      </c>
      <c r="P349" s="26">
        <v>44</v>
      </c>
      <c r="Q349" s="34" t="str">
        <f t="shared" si="15"/>
        <v>Clear</v>
      </c>
      <c r="R349" s="41" t="str">
        <f>IF(I349=1,"Normal",IF(I349=2,"Yellow Alert",IF(I349=3,"Orange Alert",IF(I349=4,"Red Alert"))))</f>
        <v>Normal</v>
      </c>
      <c r="S349" s="60">
        <f t="shared" si="16"/>
        <v>15</v>
      </c>
      <c r="T349" s="60">
        <f>MONTH(dataset_1!B:B)</f>
        <v>1</v>
      </c>
      <c r="U349" s="60">
        <f t="shared" si="17"/>
        <v>2011</v>
      </c>
      <c r="V349" s="59" t="str">
        <f>TEXT(F349/24,"H AM/PM")</f>
        <v>11 PM</v>
      </c>
      <c r="W349" s="59" t="str">
        <f>IF(H349=6,"Saturday",IF(H349=0,"Sunday",IF(H349=1,"Monday",IF(H349=2,"Tuesday",IF(H349=3,"Wednesday",IF(H349=4,"Thursday",IF(H349=5,"Friday")))))))</f>
        <v>Saturday</v>
      </c>
      <c r="X349" s="59" t="str">
        <f>IF(G349=FALSE,"Working day", IF(G349=TRUE,"Holiday"))</f>
        <v>Working day</v>
      </c>
    </row>
    <row r="350" spans="1:24" x14ac:dyDescent="0.25">
      <c r="A350" s="32">
        <v>349</v>
      </c>
      <c r="B350" s="33">
        <v>40559</v>
      </c>
      <c r="C350" s="26">
        <v>1</v>
      </c>
      <c r="D350" s="26">
        <v>0</v>
      </c>
      <c r="E350" s="26">
        <v>1</v>
      </c>
      <c r="F350" s="26">
        <v>0</v>
      </c>
      <c r="G350" s="26" t="b">
        <v>0</v>
      </c>
      <c r="H350" s="26">
        <v>0</v>
      </c>
      <c r="I350" s="26">
        <v>1</v>
      </c>
      <c r="J350" s="26">
        <v>0.26</v>
      </c>
      <c r="K350" s="26">
        <v>0.2727</v>
      </c>
      <c r="L350" s="26">
        <v>0.56000000000000005</v>
      </c>
      <c r="M350">
        <v>0</v>
      </c>
      <c r="N350" s="26">
        <v>6</v>
      </c>
      <c r="O350" s="26">
        <v>33</v>
      </c>
      <c r="P350" s="26">
        <v>39</v>
      </c>
      <c r="Q350" s="34" t="str">
        <f t="shared" si="15"/>
        <v>Clear</v>
      </c>
      <c r="R350" s="41" t="str">
        <f>IF(I350=1,"Normal",IF(I350=2,"Yellow Alert",IF(I350=3,"Orange Alert",IF(I350=4,"Red Alert"))))</f>
        <v>Normal</v>
      </c>
      <c r="S350" s="60">
        <f t="shared" si="16"/>
        <v>16</v>
      </c>
      <c r="T350" s="60">
        <f>MONTH(dataset_1!B:B)</f>
        <v>1</v>
      </c>
      <c r="U350" s="60">
        <f t="shared" si="17"/>
        <v>2011</v>
      </c>
      <c r="V350" s="59" t="str">
        <f>TEXT(F350/24,"H AM/PM")</f>
        <v>12 AM</v>
      </c>
      <c r="W350" s="59" t="str">
        <f>IF(H350=6,"Saturday",IF(H350=0,"Sunday",IF(H350=1,"Monday",IF(H350=2,"Tuesday",IF(H350=3,"Wednesday",IF(H350=4,"Thursday",IF(H350=5,"Friday")))))))</f>
        <v>Sunday</v>
      </c>
      <c r="X350" s="59" t="str">
        <f>IF(G350=FALSE,"Working day", IF(G350=TRUE,"Holiday"))</f>
        <v>Working day</v>
      </c>
    </row>
    <row r="351" spans="1:24" x14ac:dyDescent="0.25">
      <c r="A351" s="32">
        <v>350</v>
      </c>
      <c r="B351" s="33">
        <v>40559</v>
      </c>
      <c r="C351" s="26">
        <v>1</v>
      </c>
      <c r="D351" s="26">
        <v>0</v>
      </c>
      <c r="E351" s="26">
        <v>1</v>
      </c>
      <c r="F351" s="26">
        <v>1</v>
      </c>
      <c r="G351" s="26" t="b">
        <v>0</v>
      </c>
      <c r="H351" s="26">
        <v>0</v>
      </c>
      <c r="I351" s="26">
        <v>1</v>
      </c>
      <c r="J351" s="26">
        <v>0.26</v>
      </c>
      <c r="K351" s="26">
        <v>0.28789999999999999</v>
      </c>
      <c r="L351" s="26">
        <v>0.56000000000000005</v>
      </c>
      <c r="M351">
        <v>0.1343</v>
      </c>
      <c r="N351" s="26">
        <v>4</v>
      </c>
      <c r="O351" s="26">
        <v>19</v>
      </c>
      <c r="P351" s="26">
        <v>23</v>
      </c>
      <c r="Q351" s="34" t="str">
        <f t="shared" si="15"/>
        <v>Clear</v>
      </c>
      <c r="R351" s="41" t="str">
        <f>IF(I351=1,"Normal",IF(I351=2,"Yellow Alert",IF(I351=3,"Orange Alert",IF(I351=4,"Red Alert"))))</f>
        <v>Normal</v>
      </c>
      <c r="S351" s="60">
        <f t="shared" si="16"/>
        <v>16</v>
      </c>
      <c r="T351" s="60">
        <f>MONTH(dataset_1!B:B)</f>
        <v>1</v>
      </c>
      <c r="U351" s="60">
        <f t="shared" si="17"/>
        <v>2011</v>
      </c>
      <c r="V351" s="59" t="str">
        <f>TEXT(F351/24,"H AM/PM")</f>
        <v>1 AM</v>
      </c>
      <c r="W351" s="59" t="str">
        <f>IF(H351=6,"Saturday",IF(H351=0,"Sunday",IF(H351=1,"Monday",IF(H351=2,"Tuesday",IF(H351=3,"Wednesday",IF(H351=4,"Thursday",IF(H351=5,"Friday")))))))</f>
        <v>Sunday</v>
      </c>
      <c r="X351" s="59" t="str">
        <f>IF(G351=FALSE,"Working day", IF(G351=TRUE,"Holiday"))</f>
        <v>Working day</v>
      </c>
    </row>
    <row r="352" spans="1:24" x14ac:dyDescent="0.25">
      <c r="A352" s="32">
        <v>351</v>
      </c>
      <c r="B352" s="33">
        <v>40559</v>
      </c>
      <c r="C352" s="26">
        <v>1</v>
      </c>
      <c r="D352" s="26">
        <v>0</v>
      </c>
      <c r="E352" s="26">
        <v>1</v>
      </c>
      <c r="F352" s="26">
        <v>2</v>
      </c>
      <c r="G352" s="26" t="b">
        <v>0</v>
      </c>
      <c r="H352" s="26">
        <v>0</v>
      </c>
      <c r="I352" s="26">
        <v>1</v>
      </c>
      <c r="J352" s="26">
        <v>0.26</v>
      </c>
      <c r="K352" s="26">
        <v>0.2727</v>
      </c>
      <c r="L352" s="26">
        <v>0.56000000000000005</v>
      </c>
      <c r="M352">
        <v>8.9599999999999999E-2</v>
      </c>
      <c r="N352" s="26">
        <v>3</v>
      </c>
      <c r="O352" s="26">
        <v>13</v>
      </c>
      <c r="P352" s="26">
        <v>16</v>
      </c>
      <c r="Q352" s="34" t="str">
        <f t="shared" si="15"/>
        <v>Clear</v>
      </c>
      <c r="R352" s="41" t="str">
        <f>IF(I352=1,"Normal",IF(I352=2,"Yellow Alert",IF(I352=3,"Orange Alert",IF(I352=4,"Red Alert"))))</f>
        <v>Normal</v>
      </c>
      <c r="S352" s="60">
        <f t="shared" si="16"/>
        <v>16</v>
      </c>
      <c r="T352" s="60">
        <f>MONTH(dataset_1!B:B)</f>
        <v>1</v>
      </c>
      <c r="U352" s="60">
        <f t="shared" si="17"/>
        <v>2011</v>
      </c>
      <c r="V352" s="59" t="str">
        <f>TEXT(F352/24,"H AM/PM")</f>
        <v>2 AM</v>
      </c>
      <c r="W352" s="59" t="str">
        <f>IF(H352=6,"Saturday",IF(H352=0,"Sunday",IF(H352=1,"Monday",IF(H352=2,"Tuesday",IF(H352=3,"Wednesday",IF(H352=4,"Thursday",IF(H352=5,"Friday")))))))</f>
        <v>Sunday</v>
      </c>
      <c r="X352" s="59" t="str">
        <f>IF(G352=FALSE,"Working day", IF(G352=TRUE,"Holiday"))</f>
        <v>Working day</v>
      </c>
    </row>
    <row r="353" spans="1:24" x14ac:dyDescent="0.25">
      <c r="A353" s="32">
        <v>352</v>
      </c>
      <c r="B353" s="33">
        <v>40559</v>
      </c>
      <c r="C353" s="26">
        <v>1</v>
      </c>
      <c r="D353" s="26">
        <v>0</v>
      </c>
      <c r="E353" s="26">
        <v>1</v>
      </c>
      <c r="F353" s="26">
        <v>3</v>
      </c>
      <c r="G353" s="26" t="b">
        <v>0</v>
      </c>
      <c r="H353" s="26">
        <v>0</v>
      </c>
      <c r="I353" s="26">
        <v>1</v>
      </c>
      <c r="J353" s="26">
        <v>0.22</v>
      </c>
      <c r="K353" s="26">
        <v>0.2576</v>
      </c>
      <c r="L353" s="26">
        <v>0.69</v>
      </c>
      <c r="M353">
        <v>0</v>
      </c>
      <c r="N353" s="26">
        <v>9</v>
      </c>
      <c r="O353" s="26">
        <v>6</v>
      </c>
      <c r="P353" s="26">
        <v>15</v>
      </c>
      <c r="Q353" s="34" t="str">
        <f t="shared" si="15"/>
        <v>Clear</v>
      </c>
      <c r="R353" s="41" t="str">
        <f>IF(I353=1,"Normal",IF(I353=2,"Yellow Alert",IF(I353=3,"Orange Alert",IF(I353=4,"Red Alert"))))</f>
        <v>Normal</v>
      </c>
      <c r="S353" s="60">
        <f t="shared" si="16"/>
        <v>16</v>
      </c>
      <c r="T353" s="60">
        <f>MONTH(dataset_1!B:B)</f>
        <v>1</v>
      </c>
      <c r="U353" s="60">
        <f t="shared" si="17"/>
        <v>2011</v>
      </c>
      <c r="V353" s="59" t="str">
        <f>TEXT(F353/24,"H AM/PM")</f>
        <v>3 AM</v>
      </c>
      <c r="W353" s="59" t="str">
        <f>IF(H353=6,"Saturday",IF(H353=0,"Sunday",IF(H353=1,"Monday",IF(H353=2,"Tuesday",IF(H353=3,"Wednesday",IF(H353=4,"Thursday",IF(H353=5,"Friday")))))))</f>
        <v>Sunday</v>
      </c>
      <c r="X353" s="59" t="str">
        <f>IF(G353=FALSE,"Working day", IF(G353=TRUE,"Holiday"))</f>
        <v>Working day</v>
      </c>
    </row>
    <row r="354" spans="1:24" x14ac:dyDescent="0.25">
      <c r="A354" s="32">
        <v>353</v>
      </c>
      <c r="B354" s="33">
        <v>40559</v>
      </c>
      <c r="C354" s="26">
        <v>1</v>
      </c>
      <c r="D354" s="26">
        <v>0</v>
      </c>
      <c r="E354" s="26">
        <v>1</v>
      </c>
      <c r="F354" s="26">
        <v>4</v>
      </c>
      <c r="G354" s="26" t="b">
        <v>0</v>
      </c>
      <c r="H354" s="26">
        <v>0</v>
      </c>
      <c r="I354" s="26">
        <v>1</v>
      </c>
      <c r="J354" s="26">
        <v>0.26</v>
      </c>
      <c r="K354" s="26">
        <v>0.2576</v>
      </c>
      <c r="L354" s="26">
        <v>0.56000000000000005</v>
      </c>
      <c r="M354">
        <v>0.16420000000000001</v>
      </c>
      <c r="N354" s="26">
        <v>0</v>
      </c>
      <c r="O354" s="26">
        <v>1</v>
      </c>
      <c r="P354" s="26">
        <v>1</v>
      </c>
      <c r="Q354" s="34" t="str">
        <f t="shared" si="15"/>
        <v>Clear</v>
      </c>
      <c r="R354" s="41" t="str">
        <f>IF(I354=1,"Normal",IF(I354=2,"Yellow Alert",IF(I354=3,"Orange Alert",IF(I354=4,"Red Alert"))))</f>
        <v>Normal</v>
      </c>
      <c r="S354" s="60">
        <f t="shared" si="16"/>
        <v>16</v>
      </c>
      <c r="T354" s="60">
        <f>MONTH(dataset_1!B:B)</f>
        <v>1</v>
      </c>
      <c r="U354" s="60">
        <f t="shared" si="17"/>
        <v>2011</v>
      </c>
      <c r="V354" s="59" t="str">
        <f>TEXT(F354/24,"H AM/PM")</f>
        <v>4 AM</v>
      </c>
      <c r="W354" s="59" t="str">
        <f>IF(H354=6,"Saturday",IF(H354=0,"Sunday",IF(H354=1,"Monday",IF(H354=2,"Tuesday",IF(H354=3,"Wednesday",IF(H354=4,"Thursday",IF(H354=5,"Friday")))))))</f>
        <v>Sunday</v>
      </c>
      <c r="X354" s="59" t="str">
        <f>IF(G354=FALSE,"Working day", IF(G354=TRUE,"Holiday"))</f>
        <v>Working day</v>
      </c>
    </row>
    <row r="355" spans="1:24" x14ac:dyDescent="0.25">
      <c r="A355" s="32">
        <v>354</v>
      </c>
      <c r="B355" s="33">
        <v>40559</v>
      </c>
      <c r="C355" s="26">
        <v>1</v>
      </c>
      <c r="D355" s="26">
        <v>0</v>
      </c>
      <c r="E355" s="26">
        <v>1</v>
      </c>
      <c r="F355" s="26">
        <v>5</v>
      </c>
      <c r="G355" s="26" t="b">
        <v>0</v>
      </c>
      <c r="H355" s="26">
        <v>0</v>
      </c>
      <c r="I355" s="26">
        <v>2</v>
      </c>
      <c r="J355" s="26">
        <v>0.26</v>
      </c>
      <c r="K355" s="26">
        <v>0.2576</v>
      </c>
      <c r="L355" s="26">
        <v>0.56000000000000005</v>
      </c>
      <c r="M355">
        <v>0.16420000000000001</v>
      </c>
      <c r="N355" s="26">
        <v>1</v>
      </c>
      <c r="O355" s="26">
        <v>1</v>
      </c>
      <c r="P355" s="26">
        <v>2</v>
      </c>
      <c r="Q355" s="34" t="str">
        <f t="shared" si="15"/>
        <v>Cloudy</v>
      </c>
      <c r="R355" s="41" t="str">
        <f>IF(I355=1,"Normal",IF(I355=2,"Yellow Alert",IF(I355=3,"Orange Alert",IF(I355=4,"Red Alert"))))</f>
        <v>Yellow Alert</v>
      </c>
      <c r="S355" s="60">
        <f t="shared" si="16"/>
        <v>16</v>
      </c>
      <c r="T355" s="60">
        <f>MONTH(dataset_1!B:B)</f>
        <v>1</v>
      </c>
      <c r="U355" s="60">
        <f t="shared" si="17"/>
        <v>2011</v>
      </c>
      <c r="V355" s="59" t="str">
        <f>TEXT(F355/24,"H AM/PM")</f>
        <v>5 AM</v>
      </c>
      <c r="W355" s="59" t="str">
        <f>IF(H355=6,"Saturday",IF(H355=0,"Sunday",IF(H355=1,"Monday",IF(H355=2,"Tuesday",IF(H355=3,"Wednesday",IF(H355=4,"Thursday",IF(H355=5,"Friday")))))))</f>
        <v>Sunday</v>
      </c>
      <c r="X355" s="59" t="str">
        <f>IF(G355=FALSE,"Working day", IF(G355=TRUE,"Holiday"))</f>
        <v>Working day</v>
      </c>
    </row>
    <row r="356" spans="1:24" x14ac:dyDescent="0.25">
      <c r="A356" s="32">
        <v>355</v>
      </c>
      <c r="B356" s="33">
        <v>40559</v>
      </c>
      <c r="C356" s="26">
        <v>1</v>
      </c>
      <c r="D356" s="26">
        <v>0</v>
      </c>
      <c r="E356" s="26">
        <v>1</v>
      </c>
      <c r="F356" s="26">
        <v>6</v>
      </c>
      <c r="G356" s="26" t="b">
        <v>0</v>
      </c>
      <c r="H356" s="26">
        <v>0</v>
      </c>
      <c r="I356" s="26">
        <v>2</v>
      </c>
      <c r="J356" s="26">
        <v>0.26</v>
      </c>
      <c r="K356" s="26">
        <v>0.21210000000000001</v>
      </c>
      <c r="L356" s="26">
        <v>0.56000000000000005</v>
      </c>
      <c r="M356">
        <v>0.16420000000000001</v>
      </c>
      <c r="N356" s="26">
        <v>0</v>
      </c>
      <c r="O356" s="26">
        <v>1</v>
      </c>
      <c r="P356" s="26">
        <v>1</v>
      </c>
      <c r="Q356" s="34" t="str">
        <f t="shared" si="15"/>
        <v>Cloudy</v>
      </c>
      <c r="R356" s="41" t="str">
        <f>IF(I356=1,"Normal",IF(I356=2,"Yellow Alert",IF(I356=3,"Orange Alert",IF(I356=4,"Red Alert"))))</f>
        <v>Yellow Alert</v>
      </c>
      <c r="S356" s="60">
        <f t="shared" si="16"/>
        <v>16</v>
      </c>
      <c r="T356" s="60">
        <f>MONTH(dataset_1!B:B)</f>
        <v>1</v>
      </c>
      <c r="U356" s="60">
        <f t="shared" si="17"/>
        <v>2011</v>
      </c>
      <c r="V356" s="59" t="str">
        <f>TEXT(F356/24,"H AM/PM")</f>
        <v>6 AM</v>
      </c>
      <c r="W356" s="59" t="str">
        <f>IF(H356=6,"Saturday",IF(H356=0,"Sunday",IF(H356=1,"Monday",IF(H356=2,"Tuesday",IF(H356=3,"Wednesday",IF(H356=4,"Thursday",IF(H356=5,"Friday")))))))</f>
        <v>Sunday</v>
      </c>
      <c r="X356" s="59" t="str">
        <f>IF(G356=FALSE,"Working day", IF(G356=TRUE,"Holiday"))</f>
        <v>Working day</v>
      </c>
    </row>
    <row r="357" spans="1:24" x14ac:dyDescent="0.25">
      <c r="A357" s="32">
        <v>356</v>
      </c>
      <c r="B357" s="33">
        <v>40559</v>
      </c>
      <c r="C357" s="26">
        <v>1</v>
      </c>
      <c r="D357" s="26">
        <v>0</v>
      </c>
      <c r="E357" s="26">
        <v>1</v>
      </c>
      <c r="F357" s="26">
        <v>7</v>
      </c>
      <c r="G357" s="26" t="b">
        <v>0</v>
      </c>
      <c r="H357" s="26">
        <v>0</v>
      </c>
      <c r="I357" s="26">
        <v>2</v>
      </c>
      <c r="J357" s="26">
        <v>0.24</v>
      </c>
      <c r="K357" s="26">
        <v>0.21210000000000001</v>
      </c>
      <c r="L357" s="26">
        <v>0.56000000000000005</v>
      </c>
      <c r="M357">
        <v>0.29849999999999999</v>
      </c>
      <c r="N357" s="26">
        <v>0</v>
      </c>
      <c r="O357" s="26">
        <v>3</v>
      </c>
      <c r="P357" s="26">
        <v>3</v>
      </c>
      <c r="Q357" s="34" t="str">
        <f t="shared" si="15"/>
        <v>Cloudy</v>
      </c>
      <c r="R357" s="41" t="str">
        <f>IF(I357=1,"Normal",IF(I357=2,"Yellow Alert",IF(I357=3,"Orange Alert",IF(I357=4,"Red Alert"))))</f>
        <v>Yellow Alert</v>
      </c>
      <c r="S357" s="60">
        <f t="shared" si="16"/>
        <v>16</v>
      </c>
      <c r="T357" s="60">
        <f>MONTH(dataset_1!B:B)</f>
        <v>1</v>
      </c>
      <c r="U357" s="60">
        <f t="shared" si="17"/>
        <v>2011</v>
      </c>
      <c r="V357" s="59" t="str">
        <f>TEXT(F357/24,"H AM/PM")</f>
        <v>7 AM</v>
      </c>
      <c r="W357" s="59" t="str">
        <f>IF(H357=6,"Saturday",IF(H357=0,"Sunday",IF(H357=1,"Monday",IF(H357=2,"Tuesday",IF(H357=3,"Wednesday",IF(H357=4,"Thursday",IF(H357=5,"Friday")))))))</f>
        <v>Sunday</v>
      </c>
      <c r="X357" s="59" t="str">
        <f>IF(G357=FALSE,"Working day", IF(G357=TRUE,"Holiday"))</f>
        <v>Working day</v>
      </c>
    </row>
    <row r="358" spans="1:24" x14ac:dyDescent="0.25">
      <c r="A358" s="32">
        <v>357</v>
      </c>
      <c r="B358" s="33">
        <v>40559</v>
      </c>
      <c r="C358" s="26">
        <v>1</v>
      </c>
      <c r="D358" s="26">
        <v>0</v>
      </c>
      <c r="E358" s="26">
        <v>1</v>
      </c>
      <c r="F358" s="26">
        <v>8</v>
      </c>
      <c r="G358" s="26" t="b">
        <v>0</v>
      </c>
      <c r="H358" s="26">
        <v>0</v>
      </c>
      <c r="I358" s="26">
        <v>1</v>
      </c>
      <c r="J358" s="26">
        <v>0.22</v>
      </c>
      <c r="K358" s="26">
        <v>0.21210000000000001</v>
      </c>
      <c r="L358" s="26">
        <v>0.55000000000000004</v>
      </c>
      <c r="M358">
        <v>0.28360000000000002</v>
      </c>
      <c r="N358" s="26">
        <v>0</v>
      </c>
      <c r="O358" s="26">
        <v>18</v>
      </c>
      <c r="P358" s="26">
        <v>18</v>
      </c>
      <c r="Q358" s="34" t="str">
        <f t="shared" si="15"/>
        <v>Clear</v>
      </c>
      <c r="R358" s="41" t="str">
        <f>IF(I358=1,"Normal",IF(I358=2,"Yellow Alert",IF(I358=3,"Orange Alert",IF(I358=4,"Red Alert"))))</f>
        <v>Normal</v>
      </c>
      <c r="S358" s="60">
        <f t="shared" si="16"/>
        <v>16</v>
      </c>
      <c r="T358" s="60">
        <f>MONTH(dataset_1!B:B)</f>
        <v>1</v>
      </c>
      <c r="U358" s="60">
        <f t="shared" si="17"/>
        <v>2011</v>
      </c>
      <c r="V358" s="59" t="str">
        <f>TEXT(F358/24,"H AM/PM")</f>
        <v>8 AM</v>
      </c>
      <c r="W358" s="59" t="str">
        <f>IF(H358=6,"Saturday",IF(H358=0,"Sunday",IF(H358=1,"Monday",IF(H358=2,"Tuesday",IF(H358=3,"Wednesday",IF(H358=4,"Thursday",IF(H358=5,"Friday")))))))</f>
        <v>Sunday</v>
      </c>
      <c r="X358" s="59" t="str">
        <f>IF(G358=FALSE,"Working day", IF(G358=TRUE,"Holiday"))</f>
        <v>Working day</v>
      </c>
    </row>
    <row r="359" spans="1:24" x14ac:dyDescent="0.25">
      <c r="A359" s="32">
        <v>358</v>
      </c>
      <c r="B359" s="33">
        <v>40559</v>
      </c>
      <c r="C359" s="26">
        <v>1</v>
      </c>
      <c r="D359" s="26">
        <v>0</v>
      </c>
      <c r="E359" s="26">
        <v>1</v>
      </c>
      <c r="F359" s="26">
        <v>9</v>
      </c>
      <c r="G359" s="26" t="b">
        <v>0</v>
      </c>
      <c r="H359" s="26">
        <v>0</v>
      </c>
      <c r="I359" s="26">
        <v>1</v>
      </c>
      <c r="J359" s="26">
        <v>0.22</v>
      </c>
      <c r="K359" s="26">
        <v>0.21210000000000001</v>
      </c>
      <c r="L359" s="26">
        <v>0.51</v>
      </c>
      <c r="M359">
        <v>0.25369999999999998</v>
      </c>
      <c r="N359" s="26">
        <v>3</v>
      </c>
      <c r="O359" s="26">
        <v>29</v>
      </c>
      <c r="P359" s="26">
        <v>32</v>
      </c>
      <c r="Q359" s="34" t="str">
        <f t="shared" si="15"/>
        <v>Clear</v>
      </c>
      <c r="R359" s="41" t="str">
        <f>IF(I359=1,"Normal",IF(I359=2,"Yellow Alert",IF(I359=3,"Orange Alert",IF(I359=4,"Red Alert"))))</f>
        <v>Normal</v>
      </c>
      <c r="S359" s="60">
        <f t="shared" si="16"/>
        <v>16</v>
      </c>
      <c r="T359" s="60">
        <f>MONTH(dataset_1!B:B)</f>
        <v>1</v>
      </c>
      <c r="U359" s="60">
        <f t="shared" si="17"/>
        <v>2011</v>
      </c>
      <c r="V359" s="59" t="str">
        <f>TEXT(F359/24,"H AM/PM")</f>
        <v>9 AM</v>
      </c>
      <c r="W359" s="59" t="str">
        <f>IF(H359=6,"Saturday",IF(H359=0,"Sunday",IF(H359=1,"Monday",IF(H359=2,"Tuesday",IF(H359=3,"Wednesday",IF(H359=4,"Thursday",IF(H359=5,"Friday")))))))</f>
        <v>Sunday</v>
      </c>
      <c r="X359" s="59" t="str">
        <f>IF(G359=FALSE,"Working day", IF(G359=TRUE,"Holiday"))</f>
        <v>Working day</v>
      </c>
    </row>
    <row r="360" spans="1:24" x14ac:dyDescent="0.25">
      <c r="A360" s="32">
        <v>359</v>
      </c>
      <c r="B360" s="33">
        <v>40559</v>
      </c>
      <c r="C360" s="26">
        <v>1</v>
      </c>
      <c r="D360" s="26">
        <v>0</v>
      </c>
      <c r="E360" s="26">
        <v>1</v>
      </c>
      <c r="F360" s="26">
        <v>10</v>
      </c>
      <c r="G360" s="26" t="b">
        <v>0</v>
      </c>
      <c r="H360" s="26">
        <v>0</v>
      </c>
      <c r="I360" s="26">
        <v>1</v>
      </c>
      <c r="J360" s="26">
        <v>0.22</v>
      </c>
      <c r="K360" s="26">
        <v>0.2273</v>
      </c>
      <c r="L360" s="26">
        <v>0.51</v>
      </c>
      <c r="M360">
        <v>0.28360000000000002</v>
      </c>
      <c r="N360" s="26">
        <v>8</v>
      </c>
      <c r="O360" s="26">
        <v>71</v>
      </c>
      <c r="P360" s="26">
        <v>79</v>
      </c>
      <c r="Q360" s="34" t="str">
        <f t="shared" si="15"/>
        <v>Clear</v>
      </c>
      <c r="R360" s="41" t="str">
        <f>IF(I360=1,"Normal",IF(I360=2,"Yellow Alert",IF(I360=3,"Orange Alert",IF(I360=4,"Red Alert"))))</f>
        <v>Normal</v>
      </c>
      <c r="S360" s="60">
        <f t="shared" si="16"/>
        <v>16</v>
      </c>
      <c r="T360" s="60">
        <f>MONTH(dataset_1!B:B)</f>
        <v>1</v>
      </c>
      <c r="U360" s="60">
        <f t="shared" si="17"/>
        <v>2011</v>
      </c>
      <c r="V360" s="59" t="str">
        <f>TEXT(F360/24,"H AM/PM")</f>
        <v>10 AM</v>
      </c>
      <c r="W360" s="59" t="str">
        <f>IF(H360=6,"Saturday",IF(H360=0,"Sunday",IF(H360=1,"Monday",IF(H360=2,"Tuesday",IF(H360=3,"Wednesday",IF(H360=4,"Thursday",IF(H360=5,"Friday")))))))</f>
        <v>Sunday</v>
      </c>
      <c r="X360" s="59" t="str">
        <f>IF(G360=FALSE,"Working day", IF(G360=TRUE,"Holiday"))</f>
        <v>Working day</v>
      </c>
    </row>
    <row r="361" spans="1:24" x14ac:dyDescent="0.25">
      <c r="A361" s="32">
        <v>360</v>
      </c>
      <c r="B361" s="33">
        <v>40559</v>
      </c>
      <c r="C361" s="26">
        <v>1</v>
      </c>
      <c r="D361" s="26">
        <v>0</v>
      </c>
      <c r="E361" s="26">
        <v>1</v>
      </c>
      <c r="F361" s="26">
        <v>11</v>
      </c>
      <c r="G361" s="26" t="b">
        <v>0</v>
      </c>
      <c r="H361" s="26">
        <v>0</v>
      </c>
      <c r="I361" s="26">
        <v>1</v>
      </c>
      <c r="J361" s="26">
        <v>0.24</v>
      </c>
      <c r="K361" s="26">
        <v>0.21210000000000001</v>
      </c>
      <c r="L361" s="26">
        <v>0.44</v>
      </c>
      <c r="M361">
        <v>0.25369999999999998</v>
      </c>
      <c r="N361" s="26">
        <v>23</v>
      </c>
      <c r="O361" s="26">
        <v>70</v>
      </c>
      <c r="P361" s="26">
        <v>93</v>
      </c>
      <c r="Q361" s="34" t="str">
        <f t="shared" si="15"/>
        <v>Clear</v>
      </c>
      <c r="R361" s="41" t="str">
        <f>IF(I361=1,"Normal",IF(I361=2,"Yellow Alert",IF(I361=3,"Orange Alert",IF(I361=4,"Red Alert"))))</f>
        <v>Normal</v>
      </c>
      <c r="S361" s="60">
        <f t="shared" si="16"/>
        <v>16</v>
      </c>
      <c r="T361" s="60">
        <f>MONTH(dataset_1!B:B)</f>
        <v>1</v>
      </c>
      <c r="U361" s="60">
        <f t="shared" si="17"/>
        <v>2011</v>
      </c>
      <c r="V361" s="59" t="str">
        <f>TEXT(F361/24,"H AM/PM")</f>
        <v>11 AM</v>
      </c>
      <c r="W361" s="59" t="str">
        <f>IF(H361=6,"Saturday",IF(H361=0,"Sunday",IF(H361=1,"Monday",IF(H361=2,"Tuesday",IF(H361=3,"Wednesday",IF(H361=4,"Thursday",IF(H361=5,"Friday")))))))</f>
        <v>Sunday</v>
      </c>
      <c r="X361" s="59" t="str">
        <f>IF(G361=FALSE,"Working day", IF(G361=TRUE,"Holiday"))</f>
        <v>Working day</v>
      </c>
    </row>
    <row r="362" spans="1:24" x14ac:dyDescent="0.25">
      <c r="A362" s="32">
        <v>361</v>
      </c>
      <c r="B362" s="33">
        <v>40559</v>
      </c>
      <c r="C362" s="26">
        <v>1</v>
      </c>
      <c r="D362" s="26">
        <v>0</v>
      </c>
      <c r="E362" s="26">
        <v>1</v>
      </c>
      <c r="F362" s="26">
        <v>12</v>
      </c>
      <c r="G362" s="26" t="b">
        <v>0</v>
      </c>
      <c r="H362" s="26">
        <v>0</v>
      </c>
      <c r="I362" s="26">
        <v>1</v>
      </c>
      <c r="J362" s="26">
        <v>0.24</v>
      </c>
      <c r="K362" s="26">
        <v>0.2273</v>
      </c>
      <c r="L362" s="26">
        <v>0.41</v>
      </c>
      <c r="M362">
        <v>0.28360000000000002</v>
      </c>
      <c r="N362" s="26">
        <v>29</v>
      </c>
      <c r="O362" s="26">
        <v>75</v>
      </c>
      <c r="P362" s="26">
        <v>104</v>
      </c>
      <c r="Q362" s="34" t="str">
        <f t="shared" si="15"/>
        <v>Clear</v>
      </c>
      <c r="R362" s="41" t="str">
        <f>IF(I362=1,"Normal",IF(I362=2,"Yellow Alert",IF(I362=3,"Orange Alert",IF(I362=4,"Red Alert"))))</f>
        <v>Normal</v>
      </c>
      <c r="S362" s="60">
        <f t="shared" si="16"/>
        <v>16</v>
      </c>
      <c r="T362" s="60">
        <f>MONTH(dataset_1!B:B)</f>
        <v>1</v>
      </c>
      <c r="U362" s="60">
        <f t="shared" si="17"/>
        <v>2011</v>
      </c>
      <c r="V362" s="59" t="str">
        <f>TEXT(F362/24,"H AM/PM")</f>
        <v>12 PM</v>
      </c>
      <c r="W362" s="59" t="str">
        <f>IF(H362=6,"Saturday",IF(H362=0,"Sunday",IF(H362=1,"Monday",IF(H362=2,"Tuesday",IF(H362=3,"Wednesday",IF(H362=4,"Thursday",IF(H362=5,"Friday")))))))</f>
        <v>Sunday</v>
      </c>
      <c r="X362" s="59" t="str">
        <f>IF(G362=FALSE,"Working day", IF(G362=TRUE,"Holiday"))</f>
        <v>Working day</v>
      </c>
    </row>
    <row r="363" spans="1:24" x14ac:dyDescent="0.25">
      <c r="A363" s="32">
        <v>362</v>
      </c>
      <c r="B363" s="33">
        <v>40559</v>
      </c>
      <c r="C363" s="26">
        <v>1</v>
      </c>
      <c r="D363" s="26">
        <v>0</v>
      </c>
      <c r="E363" s="26">
        <v>1</v>
      </c>
      <c r="F363" s="26">
        <v>13</v>
      </c>
      <c r="G363" s="26" t="b">
        <v>0</v>
      </c>
      <c r="H363" s="26">
        <v>0</v>
      </c>
      <c r="I363" s="26">
        <v>1</v>
      </c>
      <c r="J363" s="26">
        <v>0.26</v>
      </c>
      <c r="K363" s="26">
        <v>0.2727</v>
      </c>
      <c r="L363" s="26">
        <v>0.35</v>
      </c>
      <c r="M363">
        <v>0.29849999999999999</v>
      </c>
      <c r="N363" s="26">
        <v>23</v>
      </c>
      <c r="O363" s="26">
        <v>95</v>
      </c>
      <c r="P363" s="26">
        <v>118</v>
      </c>
      <c r="Q363" s="34" t="str">
        <f t="shared" si="15"/>
        <v>Clear</v>
      </c>
      <c r="R363" s="41" t="str">
        <f>IF(I363=1,"Normal",IF(I363=2,"Yellow Alert",IF(I363=3,"Orange Alert",IF(I363=4,"Red Alert"))))</f>
        <v>Normal</v>
      </c>
      <c r="S363" s="60">
        <f t="shared" si="16"/>
        <v>16</v>
      </c>
      <c r="T363" s="60">
        <f>MONTH(dataset_1!B:B)</f>
        <v>1</v>
      </c>
      <c r="U363" s="60">
        <f t="shared" si="17"/>
        <v>2011</v>
      </c>
      <c r="V363" s="59" t="str">
        <f>TEXT(F363/24,"H AM/PM")</f>
        <v>1 PM</v>
      </c>
      <c r="W363" s="59" t="str">
        <f>IF(H363=6,"Saturday",IF(H363=0,"Sunday",IF(H363=1,"Monday",IF(H363=2,"Tuesday",IF(H363=3,"Wednesday",IF(H363=4,"Thursday",IF(H363=5,"Friday")))))))</f>
        <v>Sunday</v>
      </c>
      <c r="X363" s="59" t="str">
        <f>IF(G363=FALSE,"Working day", IF(G363=TRUE,"Holiday"))</f>
        <v>Working day</v>
      </c>
    </row>
    <row r="364" spans="1:24" x14ac:dyDescent="0.25">
      <c r="A364" s="32">
        <v>363</v>
      </c>
      <c r="B364" s="33">
        <v>40559</v>
      </c>
      <c r="C364" s="26">
        <v>1</v>
      </c>
      <c r="D364" s="26">
        <v>0</v>
      </c>
      <c r="E364" s="26">
        <v>1</v>
      </c>
      <c r="F364" s="26">
        <v>14</v>
      </c>
      <c r="G364" s="26" t="b">
        <v>0</v>
      </c>
      <c r="H364" s="26">
        <v>0</v>
      </c>
      <c r="I364" s="26">
        <v>1</v>
      </c>
      <c r="J364" s="26">
        <v>0.28000000000000003</v>
      </c>
      <c r="K364" s="26">
        <v>0.2424</v>
      </c>
      <c r="L364" s="26">
        <v>0.36</v>
      </c>
      <c r="M364">
        <v>0.25369999999999998</v>
      </c>
      <c r="N364" s="26">
        <v>22</v>
      </c>
      <c r="O364" s="26">
        <v>69</v>
      </c>
      <c r="P364" s="26">
        <v>91</v>
      </c>
      <c r="Q364" s="34" t="str">
        <f t="shared" si="15"/>
        <v>Clear</v>
      </c>
      <c r="R364" s="41" t="str">
        <f>IF(I364=1,"Normal",IF(I364=2,"Yellow Alert",IF(I364=3,"Orange Alert",IF(I364=4,"Red Alert"))))</f>
        <v>Normal</v>
      </c>
      <c r="S364" s="60">
        <f t="shared" si="16"/>
        <v>16</v>
      </c>
      <c r="T364" s="60">
        <f>MONTH(dataset_1!B:B)</f>
        <v>1</v>
      </c>
      <c r="U364" s="60">
        <f t="shared" si="17"/>
        <v>2011</v>
      </c>
      <c r="V364" s="59" t="str">
        <f>TEXT(F364/24,"H AM/PM")</f>
        <v>2 PM</v>
      </c>
      <c r="W364" s="59" t="str">
        <f>IF(H364=6,"Saturday",IF(H364=0,"Sunday",IF(H364=1,"Monday",IF(H364=2,"Tuesday",IF(H364=3,"Wednesday",IF(H364=4,"Thursday",IF(H364=5,"Friday")))))))</f>
        <v>Sunday</v>
      </c>
      <c r="X364" s="59" t="str">
        <f>IF(G364=FALSE,"Working day", IF(G364=TRUE,"Holiday"))</f>
        <v>Working day</v>
      </c>
    </row>
    <row r="365" spans="1:24" x14ac:dyDescent="0.25">
      <c r="A365" s="32">
        <v>364</v>
      </c>
      <c r="B365" s="33">
        <v>40559</v>
      </c>
      <c r="C365" s="26">
        <v>1</v>
      </c>
      <c r="D365" s="26">
        <v>0</v>
      </c>
      <c r="E365" s="26">
        <v>1</v>
      </c>
      <c r="F365" s="26">
        <v>15</v>
      </c>
      <c r="G365" s="26" t="b">
        <v>0</v>
      </c>
      <c r="H365" s="26">
        <v>0</v>
      </c>
      <c r="I365" s="26">
        <v>1</v>
      </c>
      <c r="J365" s="26">
        <v>0.26</v>
      </c>
      <c r="K365" s="26">
        <v>0.2273</v>
      </c>
      <c r="L365" s="26">
        <v>0.38</v>
      </c>
      <c r="M365">
        <v>0.25369999999999998</v>
      </c>
      <c r="N365" s="26">
        <v>35</v>
      </c>
      <c r="O365" s="26">
        <v>78</v>
      </c>
      <c r="P365" s="26">
        <v>113</v>
      </c>
      <c r="Q365" s="34" t="str">
        <f t="shared" si="15"/>
        <v>Clear</v>
      </c>
      <c r="R365" s="41" t="str">
        <f>IF(I365=1,"Normal",IF(I365=2,"Yellow Alert",IF(I365=3,"Orange Alert",IF(I365=4,"Red Alert"))))</f>
        <v>Normal</v>
      </c>
      <c r="S365" s="60">
        <f t="shared" si="16"/>
        <v>16</v>
      </c>
      <c r="T365" s="60">
        <f>MONTH(dataset_1!B:B)</f>
        <v>1</v>
      </c>
      <c r="U365" s="60">
        <f t="shared" si="17"/>
        <v>2011</v>
      </c>
      <c r="V365" s="59" t="str">
        <f>TEXT(F365/24,"H AM/PM")</f>
        <v>3 PM</v>
      </c>
      <c r="W365" s="59" t="str">
        <f>IF(H365=6,"Saturday",IF(H365=0,"Sunday",IF(H365=1,"Monday",IF(H365=2,"Tuesday",IF(H365=3,"Wednesday",IF(H365=4,"Thursday",IF(H365=5,"Friday")))))))</f>
        <v>Sunday</v>
      </c>
      <c r="X365" s="59" t="str">
        <f>IF(G365=FALSE,"Working day", IF(G365=TRUE,"Holiday"))</f>
        <v>Working day</v>
      </c>
    </row>
    <row r="366" spans="1:24" x14ac:dyDescent="0.25">
      <c r="A366" s="32">
        <v>365</v>
      </c>
      <c r="B366" s="33">
        <v>40559</v>
      </c>
      <c r="C366" s="26">
        <v>1</v>
      </c>
      <c r="D366" s="26">
        <v>0</v>
      </c>
      <c r="E366" s="26">
        <v>1</v>
      </c>
      <c r="F366" s="26">
        <v>16</v>
      </c>
      <c r="G366" s="26" t="b">
        <v>0</v>
      </c>
      <c r="H366" s="26">
        <v>0</v>
      </c>
      <c r="I366" s="26">
        <v>1</v>
      </c>
      <c r="J366" s="26">
        <v>0.24</v>
      </c>
      <c r="K366" s="26">
        <v>0.21210000000000001</v>
      </c>
      <c r="L366" s="26">
        <v>0.38</v>
      </c>
      <c r="M366">
        <v>0.22389999999999999</v>
      </c>
      <c r="N366" s="26">
        <v>22</v>
      </c>
      <c r="O366" s="26">
        <v>77</v>
      </c>
      <c r="P366" s="26">
        <v>99</v>
      </c>
      <c r="Q366" s="34" t="str">
        <f t="shared" si="15"/>
        <v>Clear</v>
      </c>
      <c r="R366" s="41" t="str">
        <f>IF(I366=1,"Normal",IF(I366=2,"Yellow Alert",IF(I366=3,"Orange Alert",IF(I366=4,"Red Alert"))))</f>
        <v>Normal</v>
      </c>
      <c r="S366" s="60">
        <f t="shared" si="16"/>
        <v>16</v>
      </c>
      <c r="T366" s="60">
        <f>MONTH(dataset_1!B:B)</f>
        <v>1</v>
      </c>
      <c r="U366" s="60">
        <f t="shared" si="17"/>
        <v>2011</v>
      </c>
      <c r="V366" s="59" t="str">
        <f>TEXT(F366/24,"H AM/PM")</f>
        <v>4 PM</v>
      </c>
      <c r="W366" s="59" t="str">
        <f>IF(H366=6,"Saturday",IF(H366=0,"Sunday",IF(H366=1,"Monday",IF(H366=2,"Tuesday",IF(H366=3,"Wednesday",IF(H366=4,"Thursday",IF(H366=5,"Friday")))))))</f>
        <v>Sunday</v>
      </c>
      <c r="X366" s="59" t="str">
        <f>IF(G366=FALSE,"Working day", IF(G366=TRUE,"Holiday"))</f>
        <v>Working day</v>
      </c>
    </row>
    <row r="367" spans="1:24" x14ac:dyDescent="0.25">
      <c r="A367" s="32">
        <v>366</v>
      </c>
      <c r="B367" s="33">
        <v>40559</v>
      </c>
      <c r="C367" s="26">
        <v>1</v>
      </c>
      <c r="D367" s="26">
        <v>0</v>
      </c>
      <c r="E367" s="26">
        <v>1</v>
      </c>
      <c r="F367" s="26">
        <v>17</v>
      </c>
      <c r="G367" s="26" t="b">
        <v>0</v>
      </c>
      <c r="H367" s="26">
        <v>0</v>
      </c>
      <c r="I367" s="26">
        <v>1</v>
      </c>
      <c r="J367" s="26">
        <v>0.22</v>
      </c>
      <c r="K367" s="26">
        <v>0.21210000000000001</v>
      </c>
      <c r="L367" s="26">
        <v>0.37</v>
      </c>
      <c r="M367">
        <v>0.25369999999999998</v>
      </c>
      <c r="N367" s="26">
        <v>23</v>
      </c>
      <c r="O367" s="26">
        <v>82</v>
      </c>
      <c r="P367" s="26">
        <v>105</v>
      </c>
      <c r="Q367" s="34" t="str">
        <f t="shared" si="15"/>
        <v>Clear</v>
      </c>
      <c r="R367" s="41" t="str">
        <f>IF(I367=1,"Normal",IF(I367=2,"Yellow Alert",IF(I367=3,"Orange Alert",IF(I367=4,"Red Alert"))))</f>
        <v>Normal</v>
      </c>
      <c r="S367" s="60">
        <f t="shared" si="16"/>
        <v>16</v>
      </c>
      <c r="T367" s="60">
        <f>MONTH(dataset_1!B:B)</f>
        <v>1</v>
      </c>
      <c r="U367" s="60">
        <f t="shared" si="17"/>
        <v>2011</v>
      </c>
      <c r="V367" s="59" t="str">
        <f>TEXT(F367/24,"H AM/PM")</f>
        <v>5 PM</v>
      </c>
      <c r="W367" s="59" t="str">
        <f>IF(H367=6,"Saturday",IF(H367=0,"Sunday",IF(H367=1,"Monday",IF(H367=2,"Tuesday",IF(H367=3,"Wednesday",IF(H367=4,"Thursday",IF(H367=5,"Friday")))))))</f>
        <v>Sunday</v>
      </c>
      <c r="X367" s="59" t="str">
        <f>IF(G367=FALSE,"Working day", IF(G367=TRUE,"Holiday"))</f>
        <v>Working day</v>
      </c>
    </row>
    <row r="368" spans="1:24" x14ac:dyDescent="0.25">
      <c r="A368" s="32">
        <v>367</v>
      </c>
      <c r="B368" s="33">
        <v>40559</v>
      </c>
      <c r="C368" s="26">
        <v>1</v>
      </c>
      <c r="D368" s="26">
        <v>0</v>
      </c>
      <c r="E368" s="26">
        <v>1</v>
      </c>
      <c r="F368" s="26">
        <v>18</v>
      </c>
      <c r="G368" s="26" t="b">
        <v>0</v>
      </c>
      <c r="H368" s="26">
        <v>0</v>
      </c>
      <c r="I368" s="26">
        <v>1</v>
      </c>
      <c r="J368" s="26">
        <v>0.2</v>
      </c>
      <c r="K368" s="26">
        <v>0.19700000000000001</v>
      </c>
      <c r="L368" s="26">
        <v>0.4</v>
      </c>
      <c r="M368">
        <v>0.16420000000000001</v>
      </c>
      <c r="N368" s="26">
        <v>11</v>
      </c>
      <c r="O368" s="26">
        <v>56</v>
      </c>
      <c r="P368" s="26">
        <v>67</v>
      </c>
      <c r="Q368" s="34" t="str">
        <f t="shared" si="15"/>
        <v>Clear</v>
      </c>
      <c r="R368" s="41" t="str">
        <f>IF(I368=1,"Normal",IF(I368=2,"Yellow Alert",IF(I368=3,"Orange Alert",IF(I368=4,"Red Alert"))))</f>
        <v>Normal</v>
      </c>
      <c r="S368" s="60">
        <f t="shared" si="16"/>
        <v>16</v>
      </c>
      <c r="T368" s="60">
        <f>MONTH(dataset_1!B:B)</f>
        <v>1</v>
      </c>
      <c r="U368" s="60">
        <f t="shared" si="17"/>
        <v>2011</v>
      </c>
      <c r="V368" s="59" t="str">
        <f>TEXT(F368/24,"H AM/PM")</f>
        <v>6 PM</v>
      </c>
      <c r="W368" s="59" t="str">
        <f>IF(H368=6,"Saturday",IF(H368=0,"Sunday",IF(H368=1,"Monday",IF(H368=2,"Tuesday",IF(H368=3,"Wednesday",IF(H368=4,"Thursday",IF(H368=5,"Friday")))))))</f>
        <v>Sunday</v>
      </c>
      <c r="X368" s="59" t="str">
        <f>IF(G368=FALSE,"Working day", IF(G368=TRUE,"Holiday"))</f>
        <v>Working day</v>
      </c>
    </row>
    <row r="369" spans="1:24" x14ac:dyDescent="0.25">
      <c r="A369" s="32">
        <v>368</v>
      </c>
      <c r="B369" s="33">
        <v>40559</v>
      </c>
      <c r="C369" s="26">
        <v>1</v>
      </c>
      <c r="D369" s="26">
        <v>0</v>
      </c>
      <c r="E369" s="26">
        <v>1</v>
      </c>
      <c r="F369" s="26">
        <v>19</v>
      </c>
      <c r="G369" s="26" t="b">
        <v>0</v>
      </c>
      <c r="H369" s="26">
        <v>0</v>
      </c>
      <c r="I369" s="26">
        <v>1</v>
      </c>
      <c r="J369" s="26">
        <v>0.18</v>
      </c>
      <c r="K369" s="26">
        <v>0.19700000000000001</v>
      </c>
      <c r="L369" s="26">
        <v>0.47</v>
      </c>
      <c r="M369">
        <v>0.1343</v>
      </c>
      <c r="N369" s="26">
        <v>14</v>
      </c>
      <c r="O369" s="26">
        <v>47</v>
      </c>
      <c r="P369" s="26">
        <v>61</v>
      </c>
      <c r="Q369" s="34" t="str">
        <f t="shared" si="15"/>
        <v>Clear</v>
      </c>
      <c r="R369" s="41" t="str">
        <f>IF(I369=1,"Normal",IF(I369=2,"Yellow Alert",IF(I369=3,"Orange Alert",IF(I369=4,"Red Alert"))))</f>
        <v>Normal</v>
      </c>
      <c r="S369" s="60">
        <f t="shared" si="16"/>
        <v>16</v>
      </c>
      <c r="T369" s="60">
        <f>MONTH(dataset_1!B:B)</f>
        <v>1</v>
      </c>
      <c r="U369" s="60">
        <f t="shared" si="17"/>
        <v>2011</v>
      </c>
      <c r="V369" s="59" t="str">
        <f>TEXT(F369/24,"H AM/PM")</f>
        <v>7 PM</v>
      </c>
      <c r="W369" s="59" t="str">
        <f>IF(H369=6,"Saturday",IF(H369=0,"Sunday",IF(H369=1,"Monday",IF(H369=2,"Tuesday",IF(H369=3,"Wednesday",IF(H369=4,"Thursday",IF(H369=5,"Friday")))))))</f>
        <v>Sunday</v>
      </c>
      <c r="X369" s="59" t="str">
        <f>IF(G369=FALSE,"Working day", IF(G369=TRUE,"Holiday"))</f>
        <v>Working day</v>
      </c>
    </row>
    <row r="370" spans="1:24" x14ac:dyDescent="0.25">
      <c r="A370" s="32">
        <v>369</v>
      </c>
      <c r="B370" s="33">
        <v>40559</v>
      </c>
      <c r="C370" s="26">
        <v>1</v>
      </c>
      <c r="D370" s="26">
        <v>0</v>
      </c>
      <c r="E370" s="26">
        <v>1</v>
      </c>
      <c r="F370" s="26">
        <v>20</v>
      </c>
      <c r="G370" s="26" t="b">
        <v>0</v>
      </c>
      <c r="H370" s="26">
        <v>0</v>
      </c>
      <c r="I370" s="26">
        <v>1</v>
      </c>
      <c r="J370" s="26">
        <v>0.18</v>
      </c>
      <c r="K370" s="26">
        <v>0.19700000000000001</v>
      </c>
      <c r="L370" s="26">
        <v>0.47</v>
      </c>
      <c r="M370">
        <v>0.16420000000000001</v>
      </c>
      <c r="N370" s="26">
        <v>7</v>
      </c>
      <c r="O370" s="26">
        <v>50</v>
      </c>
      <c r="P370" s="26">
        <v>57</v>
      </c>
      <c r="Q370" s="34" t="str">
        <f t="shared" si="15"/>
        <v>Clear</v>
      </c>
      <c r="R370" s="41" t="str">
        <f>IF(I370=1,"Normal",IF(I370=2,"Yellow Alert",IF(I370=3,"Orange Alert",IF(I370=4,"Red Alert"))))</f>
        <v>Normal</v>
      </c>
      <c r="S370" s="60">
        <f t="shared" si="16"/>
        <v>16</v>
      </c>
      <c r="T370" s="60">
        <f>MONTH(dataset_1!B:B)</f>
        <v>1</v>
      </c>
      <c r="U370" s="60">
        <f t="shared" si="17"/>
        <v>2011</v>
      </c>
      <c r="V370" s="59" t="str">
        <f>TEXT(F370/24,"H AM/PM")</f>
        <v>8 PM</v>
      </c>
      <c r="W370" s="59" t="str">
        <f>IF(H370=6,"Saturday",IF(H370=0,"Sunday",IF(H370=1,"Monday",IF(H370=2,"Tuesday",IF(H370=3,"Wednesday",IF(H370=4,"Thursday",IF(H370=5,"Friday")))))))</f>
        <v>Sunday</v>
      </c>
      <c r="X370" s="59" t="str">
        <f>IF(G370=FALSE,"Working day", IF(G370=TRUE,"Holiday"))</f>
        <v>Working day</v>
      </c>
    </row>
    <row r="371" spans="1:24" x14ac:dyDescent="0.25">
      <c r="A371" s="32">
        <v>370</v>
      </c>
      <c r="B371" s="33">
        <v>40559</v>
      </c>
      <c r="C371" s="26">
        <v>1</v>
      </c>
      <c r="D371" s="26">
        <v>0</v>
      </c>
      <c r="E371" s="26">
        <v>1</v>
      </c>
      <c r="F371" s="26">
        <v>21</v>
      </c>
      <c r="G371" s="26" t="b">
        <v>0</v>
      </c>
      <c r="H371" s="26">
        <v>0</v>
      </c>
      <c r="I371" s="26">
        <v>1</v>
      </c>
      <c r="J371" s="26">
        <v>0.18</v>
      </c>
      <c r="K371" s="26">
        <v>0.21210000000000001</v>
      </c>
      <c r="L371" s="26">
        <v>0.51</v>
      </c>
      <c r="M371">
        <v>0.16420000000000001</v>
      </c>
      <c r="N371" s="26">
        <v>6</v>
      </c>
      <c r="O371" s="26">
        <v>22</v>
      </c>
      <c r="P371" s="26">
        <v>28</v>
      </c>
      <c r="Q371" s="34" t="str">
        <f t="shared" si="15"/>
        <v>Clear</v>
      </c>
      <c r="R371" s="41" t="str">
        <f>IF(I371=1,"Normal",IF(I371=2,"Yellow Alert",IF(I371=3,"Orange Alert",IF(I371=4,"Red Alert"))))</f>
        <v>Normal</v>
      </c>
      <c r="S371" s="60">
        <f t="shared" si="16"/>
        <v>16</v>
      </c>
      <c r="T371" s="60">
        <f>MONTH(dataset_1!B:B)</f>
        <v>1</v>
      </c>
      <c r="U371" s="60">
        <f t="shared" si="17"/>
        <v>2011</v>
      </c>
      <c r="V371" s="59" t="str">
        <f>TEXT(F371/24,"H AM/PM")</f>
        <v>9 PM</v>
      </c>
      <c r="W371" s="59" t="str">
        <f>IF(H371=6,"Saturday",IF(H371=0,"Sunday",IF(H371=1,"Monday",IF(H371=2,"Tuesday",IF(H371=3,"Wednesday",IF(H371=4,"Thursday",IF(H371=5,"Friday")))))))</f>
        <v>Sunday</v>
      </c>
      <c r="X371" s="59" t="str">
        <f>IF(G371=FALSE,"Working day", IF(G371=TRUE,"Holiday"))</f>
        <v>Working day</v>
      </c>
    </row>
    <row r="372" spans="1:24" x14ac:dyDescent="0.25">
      <c r="A372" s="32">
        <v>371</v>
      </c>
      <c r="B372" s="33">
        <v>40559</v>
      </c>
      <c r="C372" s="26">
        <v>1</v>
      </c>
      <c r="D372" s="26">
        <v>0</v>
      </c>
      <c r="E372" s="26">
        <v>1</v>
      </c>
      <c r="F372" s="26">
        <v>22</v>
      </c>
      <c r="G372" s="26" t="b">
        <v>0</v>
      </c>
      <c r="H372" s="26">
        <v>0</v>
      </c>
      <c r="I372" s="26">
        <v>2</v>
      </c>
      <c r="J372" s="26">
        <v>0.2</v>
      </c>
      <c r="K372" s="26">
        <v>0.2273</v>
      </c>
      <c r="L372" s="26">
        <v>0.49</v>
      </c>
      <c r="M372">
        <v>0.1343</v>
      </c>
      <c r="N372" s="26">
        <v>2</v>
      </c>
      <c r="O372" s="26">
        <v>19</v>
      </c>
      <c r="P372" s="26">
        <v>21</v>
      </c>
      <c r="Q372" s="34" t="str">
        <f t="shared" si="15"/>
        <v>Cloudy</v>
      </c>
      <c r="R372" s="41" t="str">
        <f>IF(I372=1,"Normal",IF(I372=2,"Yellow Alert",IF(I372=3,"Orange Alert",IF(I372=4,"Red Alert"))))</f>
        <v>Yellow Alert</v>
      </c>
      <c r="S372" s="60">
        <f t="shared" si="16"/>
        <v>16</v>
      </c>
      <c r="T372" s="60">
        <f>MONTH(dataset_1!B:B)</f>
        <v>1</v>
      </c>
      <c r="U372" s="60">
        <f t="shared" si="17"/>
        <v>2011</v>
      </c>
      <c r="V372" s="59" t="str">
        <f>TEXT(F372/24,"H AM/PM")</f>
        <v>10 PM</v>
      </c>
      <c r="W372" s="59" t="str">
        <f>IF(H372=6,"Saturday",IF(H372=0,"Sunday",IF(H372=1,"Monday",IF(H372=2,"Tuesday",IF(H372=3,"Wednesday",IF(H372=4,"Thursday",IF(H372=5,"Friday")))))))</f>
        <v>Sunday</v>
      </c>
      <c r="X372" s="59" t="str">
        <f>IF(G372=FALSE,"Working day", IF(G372=TRUE,"Holiday"))</f>
        <v>Working day</v>
      </c>
    </row>
    <row r="373" spans="1:24" x14ac:dyDescent="0.25">
      <c r="A373" s="32">
        <v>372</v>
      </c>
      <c r="B373" s="33">
        <v>40559</v>
      </c>
      <c r="C373" s="26">
        <v>1</v>
      </c>
      <c r="D373" s="26">
        <v>0</v>
      </c>
      <c r="E373" s="26">
        <v>1</v>
      </c>
      <c r="F373" s="26">
        <v>23</v>
      </c>
      <c r="G373" s="26" t="b">
        <v>0</v>
      </c>
      <c r="H373" s="26">
        <v>0</v>
      </c>
      <c r="I373" s="26">
        <v>2</v>
      </c>
      <c r="J373" s="26">
        <v>0.2</v>
      </c>
      <c r="K373" s="26">
        <v>0.19700000000000001</v>
      </c>
      <c r="L373" s="26">
        <v>0.4</v>
      </c>
      <c r="M373">
        <v>0.1045</v>
      </c>
      <c r="N373" s="26">
        <v>0</v>
      </c>
      <c r="O373" s="26">
        <v>18</v>
      </c>
      <c r="P373" s="26">
        <v>18</v>
      </c>
      <c r="Q373" s="34" t="str">
        <f t="shared" si="15"/>
        <v>Cloudy</v>
      </c>
      <c r="R373" s="41" t="str">
        <f>IF(I373=1,"Normal",IF(I373=2,"Yellow Alert",IF(I373=3,"Orange Alert",IF(I373=4,"Red Alert"))))</f>
        <v>Yellow Alert</v>
      </c>
      <c r="S373" s="60">
        <f t="shared" si="16"/>
        <v>16</v>
      </c>
      <c r="T373" s="60">
        <f>MONTH(dataset_1!B:B)</f>
        <v>1</v>
      </c>
      <c r="U373" s="60">
        <f t="shared" si="17"/>
        <v>2011</v>
      </c>
      <c r="V373" s="59" t="str">
        <f>TEXT(F373/24,"H AM/PM")</f>
        <v>11 PM</v>
      </c>
      <c r="W373" s="59" t="str">
        <f>IF(H373=6,"Saturday",IF(H373=0,"Sunday",IF(H373=1,"Monday",IF(H373=2,"Tuesday",IF(H373=3,"Wednesday",IF(H373=4,"Thursday",IF(H373=5,"Friday")))))))</f>
        <v>Sunday</v>
      </c>
      <c r="X373" s="59" t="str">
        <f>IF(G373=FALSE,"Working day", IF(G373=TRUE,"Holiday"))</f>
        <v>Working day</v>
      </c>
    </row>
    <row r="374" spans="1:24" x14ac:dyDescent="0.25">
      <c r="A374" s="32">
        <v>373</v>
      </c>
      <c r="B374" s="33">
        <v>40560</v>
      </c>
      <c r="C374" s="26">
        <v>1</v>
      </c>
      <c r="D374" s="26">
        <v>0</v>
      </c>
      <c r="E374" s="26">
        <v>1</v>
      </c>
      <c r="F374" s="26">
        <v>0</v>
      </c>
      <c r="G374" s="26" t="b">
        <v>1</v>
      </c>
      <c r="H374" s="26">
        <v>1</v>
      </c>
      <c r="I374" s="26">
        <v>2</v>
      </c>
      <c r="J374" s="26">
        <v>0.2</v>
      </c>
      <c r="K374" s="26">
        <v>0.19700000000000001</v>
      </c>
      <c r="L374" s="26">
        <v>0.47</v>
      </c>
      <c r="M374">
        <v>0.22389999999999999</v>
      </c>
      <c r="N374" s="26">
        <v>1</v>
      </c>
      <c r="O374" s="26">
        <v>16</v>
      </c>
      <c r="P374" s="26">
        <v>17</v>
      </c>
      <c r="Q374" s="34" t="str">
        <f t="shared" si="15"/>
        <v>Cloudy</v>
      </c>
      <c r="R374" s="41" t="str">
        <f>IF(I374=1,"Normal",IF(I374=2,"Yellow Alert",IF(I374=3,"Orange Alert",IF(I374=4,"Red Alert"))))</f>
        <v>Yellow Alert</v>
      </c>
      <c r="S374" s="60">
        <f t="shared" si="16"/>
        <v>17</v>
      </c>
      <c r="T374" s="60">
        <f>MONTH(dataset_1!B:B)</f>
        <v>1</v>
      </c>
      <c r="U374" s="60">
        <f t="shared" si="17"/>
        <v>2011</v>
      </c>
      <c r="V374" s="59" t="str">
        <f>TEXT(F374/24,"H AM/PM")</f>
        <v>12 AM</v>
      </c>
      <c r="W374" s="59" t="str">
        <f>IF(H374=6,"Saturday",IF(H374=0,"Sunday",IF(H374=1,"Monday",IF(H374=2,"Tuesday",IF(H374=3,"Wednesday",IF(H374=4,"Thursday",IF(H374=5,"Friday")))))))</f>
        <v>Monday</v>
      </c>
      <c r="X374" s="59" t="str">
        <f>IF(G374=FALSE,"Working day", IF(G374=TRUE,"Holiday"))</f>
        <v>Holiday</v>
      </c>
    </row>
    <row r="375" spans="1:24" x14ac:dyDescent="0.25">
      <c r="A375" s="32">
        <v>374</v>
      </c>
      <c r="B375" s="33">
        <v>40560</v>
      </c>
      <c r="C375" s="26">
        <v>1</v>
      </c>
      <c r="D375" s="26">
        <v>0</v>
      </c>
      <c r="E375" s="26">
        <v>1</v>
      </c>
      <c r="F375" s="26">
        <v>1</v>
      </c>
      <c r="G375" s="26" t="b">
        <v>1</v>
      </c>
      <c r="H375" s="26">
        <v>1</v>
      </c>
      <c r="I375" s="26">
        <v>2</v>
      </c>
      <c r="J375" s="26">
        <v>0.2</v>
      </c>
      <c r="K375" s="26">
        <v>0.16669999999999999</v>
      </c>
      <c r="L375" s="26">
        <v>0.44</v>
      </c>
      <c r="M375">
        <v>0.19400000000000001</v>
      </c>
      <c r="N375" s="26">
        <v>1</v>
      </c>
      <c r="O375" s="26">
        <v>15</v>
      </c>
      <c r="P375" s="26">
        <v>16</v>
      </c>
      <c r="Q375" s="34" t="str">
        <f t="shared" si="15"/>
        <v>Cloudy</v>
      </c>
      <c r="R375" s="41" t="str">
        <f>IF(I375=1,"Normal",IF(I375=2,"Yellow Alert",IF(I375=3,"Orange Alert",IF(I375=4,"Red Alert"))))</f>
        <v>Yellow Alert</v>
      </c>
      <c r="S375" s="60">
        <f t="shared" si="16"/>
        <v>17</v>
      </c>
      <c r="T375" s="60">
        <f>MONTH(dataset_1!B:B)</f>
        <v>1</v>
      </c>
      <c r="U375" s="60">
        <f t="shared" si="17"/>
        <v>2011</v>
      </c>
      <c r="V375" s="59" t="str">
        <f>TEXT(F375/24,"H AM/PM")</f>
        <v>1 AM</v>
      </c>
      <c r="W375" s="59" t="str">
        <f>IF(H375=6,"Saturday",IF(H375=0,"Sunday",IF(H375=1,"Monday",IF(H375=2,"Tuesday",IF(H375=3,"Wednesday",IF(H375=4,"Thursday",IF(H375=5,"Friday")))))))</f>
        <v>Monday</v>
      </c>
      <c r="X375" s="59" t="str">
        <f>IF(G375=FALSE,"Working day", IF(G375=TRUE,"Holiday"))</f>
        <v>Holiday</v>
      </c>
    </row>
    <row r="376" spans="1:24" x14ac:dyDescent="0.25">
      <c r="A376" s="32">
        <v>375</v>
      </c>
      <c r="B376" s="33">
        <v>40560</v>
      </c>
      <c r="C376" s="26">
        <v>1</v>
      </c>
      <c r="D376" s="26">
        <v>0</v>
      </c>
      <c r="E376" s="26">
        <v>1</v>
      </c>
      <c r="F376" s="26">
        <v>2</v>
      </c>
      <c r="G376" s="26" t="b">
        <v>1</v>
      </c>
      <c r="H376" s="26">
        <v>1</v>
      </c>
      <c r="I376" s="26">
        <v>2</v>
      </c>
      <c r="J376" s="26">
        <v>0.18</v>
      </c>
      <c r="K376" s="26">
        <v>0.18179999999999999</v>
      </c>
      <c r="L376" s="26">
        <v>0.43</v>
      </c>
      <c r="M376">
        <v>0.25369999999999998</v>
      </c>
      <c r="N376" s="26">
        <v>0</v>
      </c>
      <c r="O376" s="26">
        <v>8</v>
      </c>
      <c r="P376" s="26">
        <v>8</v>
      </c>
      <c r="Q376" s="34" t="str">
        <f t="shared" si="15"/>
        <v>Cloudy</v>
      </c>
      <c r="R376" s="41" t="str">
        <f>IF(I376=1,"Normal",IF(I376=2,"Yellow Alert",IF(I376=3,"Orange Alert",IF(I376=4,"Red Alert"))))</f>
        <v>Yellow Alert</v>
      </c>
      <c r="S376" s="60">
        <f t="shared" si="16"/>
        <v>17</v>
      </c>
      <c r="T376" s="60">
        <f>MONTH(dataset_1!B:B)</f>
        <v>1</v>
      </c>
      <c r="U376" s="60">
        <f t="shared" si="17"/>
        <v>2011</v>
      </c>
      <c r="V376" s="59" t="str">
        <f>TEXT(F376/24,"H AM/PM")</f>
        <v>2 AM</v>
      </c>
      <c r="W376" s="59" t="str">
        <f>IF(H376=6,"Saturday",IF(H376=0,"Sunday",IF(H376=1,"Monday",IF(H376=2,"Tuesday",IF(H376=3,"Wednesday",IF(H376=4,"Thursday",IF(H376=5,"Friday")))))))</f>
        <v>Monday</v>
      </c>
      <c r="X376" s="59" t="str">
        <f>IF(G376=FALSE,"Working day", IF(G376=TRUE,"Holiday"))</f>
        <v>Holiday</v>
      </c>
    </row>
    <row r="377" spans="1:24" x14ac:dyDescent="0.25">
      <c r="A377" s="32">
        <v>376</v>
      </c>
      <c r="B377" s="33">
        <v>40560</v>
      </c>
      <c r="C377" s="26">
        <v>1</v>
      </c>
      <c r="D377" s="26">
        <v>0</v>
      </c>
      <c r="E377" s="26">
        <v>1</v>
      </c>
      <c r="F377" s="26">
        <v>3</v>
      </c>
      <c r="G377" s="26" t="b">
        <v>1</v>
      </c>
      <c r="H377" s="26">
        <v>1</v>
      </c>
      <c r="I377" s="26">
        <v>2</v>
      </c>
      <c r="J377" s="26">
        <v>0.18</v>
      </c>
      <c r="K377" s="26">
        <v>0.19700000000000001</v>
      </c>
      <c r="L377" s="26">
        <v>0.43</v>
      </c>
      <c r="M377">
        <v>0.19400000000000001</v>
      </c>
      <c r="N377" s="26">
        <v>0</v>
      </c>
      <c r="O377" s="26">
        <v>2</v>
      </c>
      <c r="P377" s="26">
        <v>2</v>
      </c>
      <c r="Q377" s="34" t="str">
        <f t="shared" si="15"/>
        <v>Cloudy</v>
      </c>
      <c r="R377" s="41" t="str">
        <f>IF(I377=1,"Normal",IF(I377=2,"Yellow Alert",IF(I377=3,"Orange Alert",IF(I377=4,"Red Alert"))))</f>
        <v>Yellow Alert</v>
      </c>
      <c r="S377" s="60">
        <f t="shared" si="16"/>
        <v>17</v>
      </c>
      <c r="T377" s="60">
        <f>MONTH(dataset_1!B:B)</f>
        <v>1</v>
      </c>
      <c r="U377" s="60">
        <f t="shared" si="17"/>
        <v>2011</v>
      </c>
      <c r="V377" s="59" t="str">
        <f>TEXT(F377/24,"H AM/PM")</f>
        <v>3 AM</v>
      </c>
      <c r="W377" s="59" t="str">
        <f>IF(H377=6,"Saturday",IF(H377=0,"Sunday",IF(H377=1,"Monday",IF(H377=2,"Tuesday",IF(H377=3,"Wednesday",IF(H377=4,"Thursday",IF(H377=5,"Friday")))))))</f>
        <v>Monday</v>
      </c>
      <c r="X377" s="59" t="str">
        <f>IF(G377=FALSE,"Working day", IF(G377=TRUE,"Holiday"))</f>
        <v>Holiday</v>
      </c>
    </row>
    <row r="378" spans="1:24" x14ac:dyDescent="0.25">
      <c r="A378" s="32">
        <v>377</v>
      </c>
      <c r="B378" s="33">
        <v>40560</v>
      </c>
      <c r="C378" s="26">
        <v>1</v>
      </c>
      <c r="D378" s="26">
        <v>0</v>
      </c>
      <c r="E378" s="26">
        <v>1</v>
      </c>
      <c r="F378" s="26">
        <v>4</v>
      </c>
      <c r="G378" s="26" t="b">
        <v>1</v>
      </c>
      <c r="H378" s="26">
        <v>1</v>
      </c>
      <c r="I378" s="26">
        <v>2</v>
      </c>
      <c r="J378" s="26">
        <v>0.18</v>
      </c>
      <c r="K378" s="26">
        <v>0.19700000000000001</v>
      </c>
      <c r="L378" s="26">
        <v>0.43</v>
      </c>
      <c r="M378">
        <v>0.1343</v>
      </c>
      <c r="N378" s="26">
        <v>1</v>
      </c>
      <c r="O378" s="26">
        <v>2</v>
      </c>
      <c r="P378" s="26">
        <v>3</v>
      </c>
      <c r="Q378" s="34" t="str">
        <f t="shared" si="15"/>
        <v>Cloudy</v>
      </c>
      <c r="R378" s="41" t="str">
        <f>IF(I378=1,"Normal",IF(I378=2,"Yellow Alert",IF(I378=3,"Orange Alert",IF(I378=4,"Red Alert"))))</f>
        <v>Yellow Alert</v>
      </c>
      <c r="S378" s="60">
        <f t="shared" si="16"/>
        <v>17</v>
      </c>
      <c r="T378" s="60">
        <f>MONTH(dataset_1!B:B)</f>
        <v>1</v>
      </c>
      <c r="U378" s="60">
        <f t="shared" si="17"/>
        <v>2011</v>
      </c>
      <c r="V378" s="59" t="str">
        <f>TEXT(F378/24,"H AM/PM")</f>
        <v>4 AM</v>
      </c>
      <c r="W378" s="59" t="str">
        <f>IF(H378=6,"Saturday",IF(H378=0,"Sunday",IF(H378=1,"Monday",IF(H378=2,"Tuesday",IF(H378=3,"Wednesday",IF(H378=4,"Thursday",IF(H378=5,"Friday")))))))</f>
        <v>Monday</v>
      </c>
      <c r="X378" s="59" t="str">
        <f>IF(G378=FALSE,"Working day", IF(G378=TRUE,"Holiday"))</f>
        <v>Holiday</v>
      </c>
    </row>
    <row r="379" spans="1:24" x14ac:dyDescent="0.25">
      <c r="A379" s="32">
        <v>378</v>
      </c>
      <c r="B379" s="33">
        <v>40560</v>
      </c>
      <c r="C379" s="26">
        <v>1</v>
      </c>
      <c r="D379" s="26">
        <v>0</v>
      </c>
      <c r="E379" s="26">
        <v>1</v>
      </c>
      <c r="F379" s="26">
        <v>5</v>
      </c>
      <c r="G379" s="26" t="b">
        <v>1</v>
      </c>
      <c r="H379" s="26">
        <v>1</v>
      </c>
      <c r="I379" s="26">
        <v>2</v>
      </c>
      <c r="J379" s="26">
        <v>0.18</v>
      </c>
      <c r="K379" s="26">
        <v>0.18179999999999999</v>
      </c>
      <c r="L379" s="26">
        <v>0.43</v>
      </c>
      <c r="M379">
        <v>0.16420000000000001</v>
      </c>
      <c r="N379" s="26">
        <v>0</v>
      </c>
      <c r="O379" s="26">
        <v>1</v>
      </c>
      <c r="P379" s="26">
        <v>1</v>
      </c>
      <c r="Q379" s="34" t="str">
        <f t="shared" si="15"/>
        <v>Cloudy</v>
      </c>
      <c r="R379" s="41" t="str">
        <f>IF(I379=1,"Normal",IF(I379=2,"Yellow Alert",IF(I379=3,"Orange Alert",IF(I379=4,"Red Alert"))))</f>
        <v>Yellow Alert</v>
      </c>
      <c r="S379" s="60">
        <f t="shared" si="16"/>
        <v>17</v>
      </c>
      <c r="T379" s="60">
        <f>MONTH(dataset_1!B:B)</f>
        <v>1</v>
      </c>
      <c r="U379" s="60">
        <f t="shared" si="17"/>
        <v>2011</v>
      </c>
      <c r="V379" s="59" t="str">
        <f>TEXT(F379/24,"H AM/PM")</f>
        <v>5 AM</v>
      </c>
      <c r="W379" s="59" t="str">
        <f>IF(H379=6,"Saturday",IF(H379=0,"Sunday",IF(H379=1,"Monday",IF(H379=2,"Tuesday",IF(H379=3,"Wednesday",IF(H379=4,"Thursday",IF(H379=5,"Friday")))))))</f>
        <v>Monday</v>
      </c>
      <c r="X379" s="59" t="str">
        <f>IF(G379=FALSE,"Working day", IF(G379=TRUE,"Holiday"))</f>
        <v>Holiday</v>
      </c>
    </row>
    <row r="380" spans="1:24" x14ac:dyDescent="0.25">
      <c r="A380" s="32">
        <v>379</v>
      </c>
      <c r="B380" s="33">
        <v>40560</v>
      </c>
      <c r="C380" s="26">
        <v>1</v>
      </c>
      <c r="D380" s="26">
        <v>0</v>
      </c>
      <c r="E380" s="26">
        <v>1</v>
      </c>
      <c r="F380" s="26">
        <v>6</v>
      </c>
      <c r="G380" s="26" t="b">
        <v>1</v>
      </c>
      <c r="H380" s="26">
        <v>1</v>
      </c>
      <c r="I380" s="26">
        <v>2</v>
      </c>
      <c r="J380" s="26">
        <v>0.18</v>
      </c>
      <c r="K380" s="26">
        <v>0.18179999999999999</v>
      </c>
      <c r="L380" s="26">
        <v>0.43</v>
      </c>
      <c r="M380">
        <v>0.19400000000000001</v>
      </c>
      <c r="N380" s="26">
        <v>0</v>
      </c>
      <c r="O380" s="26">
        <v>5</v>
      </c>
      <c r="P380" s="26">
        <v>5</v>
      </c>
      <c r="Q380" s="34" t="str">
        <f t="shared" si="15"/>
        <v>Cloudy</v>
      </c>
      <c r="R380" s="41" t="str">
        <f>IF(I380=1,"Normal",IF(I380=2,"Yellow Alert",IF(I380=3,"Orange Alert",IF(I380=4,"Red Alert"))))</f>
        <v>Yellow Alert</v>
      </c>
      <c r="S380" s="60">
        <f t="shared" si="16"/>
        <v>17</v>
      </c>
      <c r="T380" s="60">
        <f>MONTH(dataset_1!B:B)</f>
        <v>1</v>
      </c>
      <c r="U380" s="60">
        <f t="shared" si="17"/>
        <v>2011</v>
      </c>
      <c r="V380" s="59" t="str">
        <f>TEXT(F380/24,"H AM/PM")</f>
        <v>6 AM</v>
      </c>
      <c r="W380" s="59" t="str">
        <f>IF(H380=6,"Saturday",IF(H380=0,"Sunday",IF(H380=1,"Monday",IF(H380=2,"Tuesday",IF(H380=3,"Wednesday",IF(H380=4,"Thursday",IF(H380=5,"Friday")))))))</f>
        <v>Monday</v>
      </c>
      <c r="X380" s="59" t="str">
        <f>IF(G380=FALSE,"Working day", IF(G380=TRUE,"Holiday"))</f>
        <v>Holiday</v>
      </c>
    </row>
    <row r="381" spans="1:24" x14ac:dyDescent="0.25">
      <c r="A381" s="32">
        <v>380</v>
      </c>
      <c r="B381" s="33">
        <v>40560</v>
      </c>
      <c r="C381" s="26">
        <v>1</v>
      </c>
      <c r="D381" s="26">
        <v>0</v>
      </c>
      <c r="E381" s="26">
        <v>1</v>
      </c>
      <c r="F381" s="26">
        <v>7</v>
      </c>
      <c r="G381" s="26" t="b">
        <v>1</v>
      </c>
      <c r="H381" s="26">
        <v>1</v>
      </c>
      <c r="I381" s="26">
        <v>2</v>
      </c>
      <c r="J381" s="26">
        <v>0.16</v>
      </c>
      <c r="K381" s="26">
        <v>0.1515</v>
      </c>
      <c r="L381" s="26">
        <v>0.5</v>
      </c>
      <c r="M381">
        <v>0.1343</v>
      </c>
      <c r="N381" s="26">
        <v>4</v>
      </c>
      <c r="O381" s="26">
        <v>9</v>
      </c>
      <c r="P381" s="26">
        <v>13</v>
      </c>
      <c r="Q381" s="34" t="str">
        <f t="shared" si="15"/>
        <v>Cloudy</v>
      </c>
      <c r="R381" s="41" t="str">
        <f>IF(I381=1,"Normal",IF(I381=2,"Yellow Alert",IF(I381=3,"Orange Alert",IF(I381=4,"Red Alert"))))</f>
        <v>Yellow Alert</v>
      </c>
      <c r="S381" s="60">
        <f t="shared" si="16"/>
        <v>17</v>
      </c>
      <c r="T381" s="60">
        <f>MONTH(dataset_1!B:B)</f>
        <v>1</v>
      </c>
      <c r="U381" s="60">
        <f t="shared" si="17"/>
        <v>2011</v>
      </c>
      <c r="V381" s="59" t="str">
        <f>TEXT(F381/24,"H AM/PM")</f>
        <v>7 AM</v>
      </c>
      <c r="W381" s="59" t="str">
        <f>IF(H381=6,"Saturday",IF(H381=0,"Sunday",IF(H381=1,"Monday",IF(H381=2,"Tuesday",IF(H381=3,"Wednesday",IF(H381=4,"Thursday",IF(H381=5,"Friday")))))))</f>
        <v>Monday</v>
      </c>
      <c r="X381" s="59" t="str">
        <f>IF(G381=FALSE,"Working day", IF(G381=TRUE,"Holiday"))</f>
        <v>Holiday</v>
      </c>
    </row>
    <row r="382" spans="1:24" x14ac:dyDescent="0.25">
      <c r="A382" s="32">
        <v>381</v>
      </c>
      <c r="B382" s="33">
        <v>40560</v>
      </c>
      <c r="C382" s="26">
        <v>1</v>
      </c>
      <c r="D382" s="26">
        <v>0</v>
      </c>
      <c r="E382" s="26">
        <v>1</v>
      </c>
      <c r="F382" s="26">
        <v>8</v>
      </c>
      <c r="G382" s="26" t="b">
        <v>1</v>
      </c>
      <c r="H382" s="26">
        <v>1</v>
      </c>
      <c r="I382" s="26">
        <v>2</v>
      </c>
      <c r="J382" s="26">
        <v>0.16</v>
      </c>
      <c r="K382" s="26">
        <v>0.1515</v>
      </c>
      <c r="L382" s="26">
        <v>0.47</v>
      </c>
      <c r="M382">
        <v>0.22389999999999999</v>
      </c>
      <c r="N382" s="26">
        <v>3</v>
      </c>
      <c r="O382" s="26">
        <v>30</v>
      </c>
      <c r="P382" s="26">
        <v>33</v>
      </c>
      <c r="Q382" s="34" t="str">
        <f t="shared" si="15"/>
        <v>Cloudy</v>
      </c>
      <c r="R382" s="41" t="str">
        <f>IF(I382=1,"Normal",IF(I382=2,"Yellow Alert",IF(I382=3,"Orange Alert",IF(I382=4,"Red Alert"))))</f>
        <v>Yellow Alert</v>
      </c>
      <c r="S382" s="60">
        <f t="shared" si="16"/>
        <v>17</v>
      </c>
      <c r="T382" s="60">
        <f>MONTH(dataset_1!B:B)</f>
        <v>1</v>
      </c>
      <c r="U382" s="60">
        <f t="shared" si="17"/>
        <v>2011</v>
      </c>
      <c r="V382" s="59" t="str">
        <f>TEXT(F382/24,"H AM/PM")</f>
        <v>8 AM</v>
      </c>
      <c r="W382" s="59" t="str">
        <f>IF(H382=6,"Saturday",IF(H382=0,"Sunday",IF(H382=1,"Monday",IF(H382=2,"Tuesday",IF(H382=3,"Wednesday",IF(H382=4,"Thursday",IF(H382=5,"Friday")))))))</f>
        <v>Monday</v>
      </c>
      <c r="X382" s="59" t="str">
        <f>IF(G382=FALSE,"Working day", IF(G382=TRUE,"Holiday"))</f>
        <v>Holiday</v>
      </c>
    </row>
    <row r="383" spans="1:24" x14ac:dyDescent="0.25">
      <c r="A383" s="32">
        <v>382</v>
      </c>
      <c r="B383" s="33">
        <v>40560</v>
      </c>
      <c r="C383" s="26">
        <v>1</v>
      </c>
      <c r="D383" s="26">
        <v>0</v>
      </c>
      <c r="E383" s="26">
        <v>1</v>
      </c>
      <c r="F383" s="26">
        <v>9</v>
      </c>
      <c r="G383" s="26" t="b">
        <v>1</v>
      </c>
      <c r="H383" s="26">
        <v>1</v>
      </c>
      <c r="I383" s="26">
        <v>2</v>
      </c>
      <c r="J383" s="26">
        <v>0.16</v>
      </c>
      <c r="K383" s="26">
        <v>0.1515</v>
      </c>
      <c r="L383" s="26">
        <v>0.47</v>
      </c>
      <c r="M383">
        <v>0.22389999999999999</v>
      </c>
      <c r="N383" s="26">
        <v>8</v>
      </c>
      <c r="O383" s="26">
        <v>39</v>
      </c>
      <c r="P383" s="26">
        <v>47</v>
      </c>
      <c r="Q383" s="34" t="str">
        <f t="shared" si="15"/>
        <v>Cloudy</v>
      </c>
      <c r="R383" s="41" t="str">
        <f>IF(I383=1,"Normal",IF(I383=2,"Yellow Alert",IF(I383=3,"Orange Alert",IF(I383=4,"Red Alert"))))</f>
        <v>Yellow Alert</v>
      </c>
      <c r="S383" s="60">
        <f t="shared" si="16"/>
        <v>17</v>
      </c>
      <c r="T383" s="60">
        <f>MONTH(dataset_1!B:B)</f>
        <v>1</v>
      </c>
      <c r="U383" s="60">
        <f t="shared" si="17"/>
        <v>2011</v>
      </c>
      <c r="V383" s="59" t="str">
        <f>TEXT(F383/24,"H AM/PM")</f>
        <v>9 AM</v>
      </c>
      <c r="W383" s="59" t="str">
        <f>IF(H383=6,"Saturday",IF(H383=0,"Sunday",IF(H383=1,"Monday",IF(H383=2,"Tuesday",IF(H383=3,"Wednesday",IF(H383=4,"Thursday",IF(H383=5,"Friday")))))))</f>
        <v>Monday</v>
      </c>
      <c r="X383" s="59" t="str">
        <f>IF(G383=FALSE,"Working day", IF(G383=TRUE,"Holiday"))</f>
        <v>Holiday</v>
      </c>
    </row>
    <row r="384" spans="1:24" x14ac:dyDescent="0.25">
      <c r="A384" s="32">
        <v>383</v>
      </c>
      <c r="B384" s="33">
        <v>40560</v>
      </c>
      <c r="C384" s="26">
        <v>1</v>
      </c>
      <c r="D384" s="26">
        <v>0</v>
      </c>
      <c r="E384" s="26">
        <v>1</v>
      </c>
      <c r="F384" s="26">
        <v>10</v>
      </c>
      <c r="G384" s="26" t="b">
        <v>1</v>
      </c>
      <c r="H384" s="26">
        <v>1</v>
      </c>
      <c r="I384" s="26">
        <v>2</v>
      </c>
      <c r="J384" s="26">
        <v>0.16</v>
      </c>
      <c r="K384" s="26">
        <v>0.1515</v>
      </c>
      <c r="L384" s="26">
        <v>0.5</v>
      </c>
      <c r="M384">
        <v>0.25369999999999998</v>
      </c>
      <c r="N384" s="26">
        <v>7</v>
      </c>
      <c r="O384" s="26">
        <v>50</v>
      </c>
      <c r="P384" s="26">
        <v>57</v>
      </c>
      <c r="Q384" s="34" t="str">
        <f t="shared" si="15"/>
        <v>Cloudy</v>
      </c>
      <c r="R384" s="41" t="str">
        <f>IF(I384=1,"Normal",IF(I384=2,"Yellow Alert",IF(I384=3,"Orange Alert",IF(I384=4,"Red Alert"))))</f>
        <v>Yellow Alert</v>
      </c>
      <c r="S384" s="60">
        <f t="shared" si="16"/>
        <v>17</v>
      </c>
      <c r="T384" s="60">
        <f>MONTH(dataset_1!B:B)</f>
        <v>1</v>
      </c>
      <c r="U384" s="60">
        <f t="shared" si="17"/>
        <v>2011</v>
      </c>
      <c r="V384" s="59" t="str">
        <f>TEXT(F384/24,"H AM/PM")</f>
        <v>10 AM</v>
      </c>
      <c r="W384" s="59" t="str">
        <f>IF(H384=6,"Saturday",IF(H384=0,"Sunday",IF(H384=1,"Monday",IF(H384=2,"Tuesday",IF(H384=3,"Wednesday",IF(H384=4,"Thursday",IF(H384=5,"Friday")))))))</f>
        <v>Monday</v>
      </c>
      <c r="X384" s="59" t="str">
        <f>IF(G384=FALSE,"Working day", IF(G384=TRUE,"Holiday"))</f>
        <v>Holiday</v>
      </c>
    </row>
    <row r="385" spans="1:24" x14ac:dyDescent="0.25">
      <c r="A385" s="32">
        <v>384</v>
      </c>
      <c r="B385" s="33">
        <v>40560</v>
      </c>
      <c r="C385" s="26">
        <v>1</v>
      </c>
      <c r="D385" s="26">
        <v>0</v>
      </c>
      <c r="E385" s="26">
        <v>1</v>
      </c>
      <c r="F385" s="26">
        <v>11</v>
      </c>
      <c r="G385" s="26" t="b">
        <v>1</v>
      </c>
      <c r="H385" s="26">
        <v>1</v>
      </c>
      <c r="I385" s="26">
        <v>2</v>
      </c>
      <c r="J385" s="26">
        <v>0.16</v>
      </c>
      <c r="K385" s="26">
        <v>0.19700000000000001</v>
      </c>
      <c r="L385" s="26">
        <v>0.55000000000000004</v>
      </c>
      <c r="M385">
        <v>0.19400000000000001</v>
      </c>
      <c r="N385" s="26">
        <v>9</v>
      </c>
      <c r="O385" s="26">
        <v>55</v>
      </c>
      <c r="P385" s="26">
        <v>64</v>
      </c>
      <c r="Q385" s="34" t="str">
        <f t="shared" si="15"/>
        <v>Cloudy</v>
      </c>
      <c r="R385" s="41" t="str">
        <f>IF(I385=1,"Normal",IF(I385=2,"Yellow Alert",IF(I385=3,"Orange Alert",IF(I385=4,"Red Alert"))))</f>
        <v>Yellow Alert</v>
      </c>
      <c r="S385" s="60">
        <f t="shared" si="16"/>
        <v>17</v>
      </c>
      <c r="T385" s="60">
        <f>MONTH(dataset_1!B:B)</f>
        <v>1</v>
      </c>
      <c r="U385" s="60">
        <f t="shared" si="17"/>
        <v>2011</v>
      </c>
      <c r="V385" s="59" t="str">
        <f>TEXT(F385/24,"H AM/PM")</f>
        <v>11 AM</v>
      </c>
      <c r="W385" s="59" t="str">
        <f>IF(H385=6,"Saturday",IF(H385=0,"Sunday",IF(H385=1,"Monday",IF(H385=2,"Tuesday",IF(H385=3,"Wednesday",IF(H385=4,"Thursday",IF(H385=5,"Friday")))))))</f>
        <v>Monday</v>
      </c>
      <c r="X385" s="59" t="str">
        <f>IF(G385=FALSE,"Working day", IF(G385=TRUE,"Holiday"))</f>
        <v>Holiday</v>
      </c>
    </row>
    <row r="386" spans="1:24" x14ac:dyDescent="0.25">
      <c r="A386" s="32">
        <v>385</v>
      </c>
      <c r="B386" s="33">
        <v>40560</v>
      </c>
      <c r="C386" s="26">
        <v>1</v>
      </c>
      <c r="D386" s="26">
        <v>0</v>
      </c>
      <c r="E386" s="26">
        <v>1</v>
      </c>
      <c r="F386" s="26">
        <v>12</v>
      </c>
      <c r="G386" s="26" t="b">
        <v>1</v>
      </c>
      <c r="H386" s="26">
        <v>1</v>
      </c>
      <c r="I386" s="26">
        <v>2</v>
      </c>
      <c r="J386" s="26">
        <v>0.18</v>
      </c>
      <c r="K386" s="26">
        <v>0.19700000000000001</v>
      </c>
      <c r="L386" s="26">
        <v>0.47</v>
      </c>
      <c r="M386">
        <v>0.1343</v>
      </c>
      <c r="N386" s="26">
        <v>10</v>
      </c>
      <c r="O386" s="26">
        <v>70</v>
      </c>
      <c r="P386" s="26">
        <v>80</v>
      </c>
      <c r="Q386" s="34" t="str">
        <f t="shared" ref="Q386:Q449" si="18">IF(I386=1,"Clear",IF(I386=2,"Cloudy",IF(I386=3,"Light Rain",IF(I386=4,"Heavy Rain"))))</f>
        <v>Cloudy</v>
      </c>
      <c r="R386" s="41" t="str">
        <f>IF(I386=1,"Normal",IF(I386=2,"Yellow Alert",IF(I386=3,"Orange Alert",IF(I386=4,"Red Alert"))))</f>
        <v>Yellow Alert</v>
      </c>
      <c r="S386" s="60">
        <f t="shared" ref="S386:S449" si="19">DAY(B:B)</f>
        <v>17</v>
      </c>
      <c r="T386" s="60">
        <f>MONTH(dataset_1!B:B)</f>
        <v>1</v>
      </c>
      <c r="U386" s="60">
        <f t="shared" ref="U386:U449" si="20">YEAR(B:B)</f>
        <v>2011</v>
      </c>
      <c r="V386" s="59" t="str">
        <f>TEXT(F386/24,"H AM/PM")</f>
        <v>12 PM</v>
      </c>
      <c r="W386" s="59" t="str">
        <f>IF(H386=6,"Saturday",IF(H386=0,"Sunday",IF(H386=1,"Monday",IF(H386=2,"Tuesday",IF(H386=3,"Wednesday",IF(H386=4,"Thursday",IF(H386=5,"Friday")))))))</f>
        <v>Monday</v>
      </c>
      <c r="X386" s="59" t="str">
        <f>IF(G386=FALSE,"Working day", IF(G386=TRUE,"Holiday"))</f>
        <v>Holiday</v>
      </c>
    </row>
    <row r="387" spans="1:24" x14ac:dyDescent="0.25">
      <c r="A387" s="32">
        <v>386</v>
      </c>
      <c r="B387" s="33">
        <v>40560</v>
      </c>
      <c r="C387" s="26">
        <v>1</v>
      </c>
      <c r="D387" s="26">
        <v>0</v>
      </c>
      <c r="E387" s="26">
        <v>1</v>
      </c>
      <c r="F387" s="26">
        <v>13</v>
      </c>
      <c r="G387" s="26" t="b">
        <v>1</v>
      </c>
      <c r="H387" s="26">
        <v>1</v>
      </c>
      <c r="I387" s="26">
        <v>2</v>
      </c>
      <c r="J387" s="26">
        <v>0.18</v>
      </c>
      <c r="K387" s="26">
        <v>0.21210000000000001</v>
      </c>
      <c r="L387" s="26">
        <v>0.47</v>
      </c>
      <c r="M387">
        <v>0.1343</v>
      </c>
      <c r="N387" s="26">
        <v>13</v>
      </c>
      <c r="O387" s="26">
        <v>80</v>
      </c>
      <c r="P387" s="26">
        <v>93</v>
      </c>
      <c r="Q387" s="34" t="str">
        <f t="shared" si="18"/>
        <v>Cloudy</v>
      </c>
      <c r="R387" s="41" t="str">
        <f>IF(I387=1,"Normal",IF(I387=2,"Yellow Alert",IF(I387=3,"Orange Alert",IF(I387=4,"Red Alert"))))</f>
        <v>Yellow Alert</v>
      </c>
      <c r="S387" s="60">
        <f t="shared" si="19"/>
        <v>17</v>
      </c>
      <c r="T387" s="60">
        <f>MONTH(dataset_1!B:B)</f>
        <v>1</v>
      </c>
      <c r="U387" s="60">
        <f t="shared" si="20"/>
        <v>2011</v>
      </c>
      <c r="V387" s="59" t="str">
        <f>TEXT(F387/24,"H AM/PM")</f>
        <v>1 PM</v>
      </c>
      <c r="W387" s="59" t="str">
        <f>IF(H387=6,"Saturday",IF(H387=0,"Sunday",IF(H387=1,"Monday",IF(H387=2,"Tuesday",IF(H387=3,"Wednesday",IF(H387=4,"Thursday",IF(H387=5,"Friday")))))))</f>
        <v>Monday</v>
      </c>
      <c r="X387" s="59" t="str">
        <f>IF(G387=FALSE,"Working day", IF(G387=TRUE,"Holiday"))</f>
        <v>Holiday</v>
      </c>
    </row>
    <row r="388" spans="1:24" x14ac:dyDescent="0.25">
      <c r="A388" s="32">
        <v>387</v>
      </c>
      <c r="B388" s="33">
        <v>40560</v>
      </c>
      <c r="C388" s="26">
        <v>1</v>
      </c>
      <c r="D388" s="26">
        <v>0</v>
      </c>
      <c r="E388" s="26">
        <v>1</v>
      </c>
      <c r="F388" s="26">
        <v>14</v>
      </c>
      <c r="G388" s="26" t="b">
        <v>1</v>
      </c>
      <c r="H388" s="26">
        <v>1</v>
      </c>
      <c r="I388" s="26">
        <v>2</v>
      </c>
      <c r="J388" s="26">
        <v>0.18</v>
      </c>
      <c r="K388" s="26">
        <v>0.21210000000000001</v>
      </c>
      <c r="L388" s="26">
        <v>0.43</v>
      </c>
      <c r="M388">
        <v>0.1045</v>
      </c>
      <c r="N388" s="26">
        <v>12</v>
      </c>
      <c r="O388" s="26">
        <v>74</v>
      </c>
      <c r="P388" s="26">
        <v>86</v>
      </c>
      <c r="Q388" s="34" t="str">
        <f t="shared" si="18"/>
        <v>Cloudy</v>
      </c>
      <c r="R388" s="41" t="str">
        <f>IF(I388=1,"Normal",IF(I388=2,"Yellow Alert",IF(I388=3,"Orange Alert",IF(I388=4,"Red Alert"))))</f>
        <v>Yellow Alert</v>
      </c>
      <c r="S388" s="60">
        <f t="shared" si="19"/>
        <v>17</v>
      </c>
      <c r="T388" s="60">
        <f>MONTH(dataset_1!B:B)</f>
        <v>1</v>
      </c>
      <c r="U388" s="60">
        <f t="shared" si="20"/>
        <v>2011</v>
      </c>
      <c r="V388" s="59" t="str">
        <f>TEXT(F388/24,"H AM/PM")</f>
        <v>2 PM</v>
      </c>
      <c r="W388" s="59" t="str">
        <f>IF(H388=6,"Saturday",IF(H388=0,"Sunday",IF(H388=1,"Monday",IF(H388=2,"Tuesday",IF(H388=3,"Wednesday",IF(H388=4,"Thursday",IF(H388=5,"Friday")))))))</f>
        <v>Monday</v>
      </c>
      <c r="X388" s="59" t="str">
        <f>IF(G388=FALSE,"Working day", IF(G388=TRUE,"Holiday"))</f>
        <v>Holiday</v>
      </c>
    </row>
    <row r="389" spans="1:24" x14ac:dyDescent="0.25">
      <c r="A389" s="32">
        <v>388</v>
      </c>
      <c r="B389" s="33">
        <v>40560</v>
      </c>
      <c r="C389" s="26">
        <v>1</v>
      </c>
      <c r="D389" s="26">
        <v>0</v>
      </c>
      <c r="E389" s="26">
        <v>1</v>
      </c>
      <c r="F389" s="26">
        <v>15</v>
      </c>
      <c r="G389" s="26" t="b">
        <v>1</v>
      </c>
      <c r="H389" s="26">
        <v>1</v>
      </c>
      <c r="I389" s="26">
        <v>2</v>
      </c>
      <c r="J389" s="26">
        <v>0.2</v>
      </c>
      <c r="K389" s="26">
        <v>0.21210000000000001</v>
      </c>
      <c r="L389" s="26">
        <v>0.47</v>
      </c>
      <c r="M389">
        <v>0.16420000000000001</v>
      </c>
      <c r="N389" s="26">
        <v>21</v>
      </c>
      <c r="O389" s="26">
        <v>72</v>
      </c>
      <c r="P389" s="26">
        <v>93</v>
      </c>
      <c r="Q389" s="34" t="str">
        <f t="shared" si="18"/>
        <v>Cloudy</v>
      </c>
      <c r="R389" s="41" t="str">
        <f>IF(I389=1,"Normal",IF(I389=2,"Yellow Alert",IF(I389=3,"Orange Alert",IF(I389=4,"Red Alert"))))</f>
        <v>Yellow Alert</v>
      </c>
      <c r="S389" s="60">
        <f t="shared" si="19"/>
        <v>17</v>
      </c>
      <c r="T389" s="60">
        <f>MONTH(dataset_1!B:B)</f>
        <v>1</v>
      </c>
      <c r="U389" s="60">
        <f t="shared" si="20"/>
        <v>2011</v>
      </c>
      <c r="V389" s="59" t="str">
        <f>TEXT(F389/24,"H AM/PM")</f>
        <v>3 PM</v>
      </c>
      <c r="W389" s="59" t="str">
        <f>IF(H389=6,"Saturday",IF(H389=0,"Sunday",IF(H389=1,"Monday",IF(H389=2,"Tuesday",IF(H389=3,"Wednesday",IF(H389=4,"Thursday",IF(H389=5,"Friday")))))))</f>
        <v>Monday</v>
      </c>
      <c r="X389" s="59" t="str">
        <f>IF(G389=FALSE,"Working day", IF(G389=TRUE,"Holiday"))</f>
        <v>Holiday</v>
      </c>
    </row>
    <row r="390" spans="1:24" x14ac:dyDescent="0.25">
      <c r="A390" s="32">
        <v>389</v>
      </c>
      <c r="B390" s="33">
        <v>40560</v>
      </c>
      <c r="C390" s="26">
        <v>1</v>
      </c>
      <c r="D390" s="26">
        <v>0</v>
      </c>
      <c r="E390" s="26">
        <v>1</v>
      </c>
      <c r="F390" s="26">
        <v>16</v>
      </c>
      <c r="G390" s="26" t="b">
        <v>1</v>
      </c>
      <c r="H390" s="26">
        <v>1</v>
      </c>
      <c r="I390" s="26">
        <v>2</v>
      </c>
      <c r="J390" s="26">
        <v>0.2</v>
      </c>
      <c r="K390" s="26">
        <v>0.19700000000000001</v>
      </c>
      <c r="L390" s="26">
        <v>0.47</v>
      </c>
      <c r="M390">
        <v>0.16420000000000001</v>
      </c>
      <c r="N390" s="26">
        <v>6</v>
      </c>
      <c r="O390" s="26">
        <v>76</v>
      </c>
      <c r="P390" s="26">
        <v>82</v>
      </c>
      <c r="Q390" s="34" t="str">
        <f t="shared" si="18"/>
        <v>Cloudy</v>
      </c>
      <c r="R390" s="41" t="str">
        <f>IF(I390=1,"Normal",IF(I390=2,"Yellow Alert",IF(I390=3,"Orange Alert",IF(I390=4,"Red Alert"))))</f>
        <v>Yellow Alert</v>
      </c>
      <c r="S390" s="60">
        <f t="shared" si="19"/>
        <v>17</v>
      </c>
      <c r="T390" s="60">
        <f>MONTH(dataset_1!B:B)</f>
        <v>1</v>
      </c>
      <c r="U390" s="60">
        <f t="shared" si="20"/>
        <v>2011</v>
      </c>
      <c r="V390" s="59" t="str">
        <f>TEXT(F390/24,"H AM/PM")</f>
        <v>4 PM</v>
      </c>
      <c r="W390" s="59" t="str">
        <f>IF(H390=6,"Saturday",IF(H390=0,"Sunday",IF(H390=1,"Monday",IF(H390=2,"Tuesday",IF(H390=3,"Wednesday",IF(H390=4,"Thursday",IF(H390=5,"Friday")))))))</f>
        <v>Monday</v>
      </c>
      <c r="X390" s="59" t="str">
        <f>IF(G390=FALSE,"Working day", IF(G390=TRUE,"Holiday"))</f>
        <v>Holiday</v>
      </c>
    </row>
    <row r="391" spans="1:24" x14ac:dyDescent="0.25">
      <c r="A391" s="32">
        <v>390</v>
      </c>
      <c r="B391" s="33">
        <v>40560</v>
      </c>
      <c r="C391" s="26">
        <v>1</v>
      </c>
      <c r="D391" s="26">
        <v>0</v>
      </c>
      <c r="E391" s="26">
        <v>1</v>
      </c>
      <c r="F391" s="26">
        <v>17</v>
      </c>
      <c r="G391" s="26" t="b">
        <v>1</v>
      </c>
      <c r="H391" s="26">
        <v>1</v>
      </c>
      <c r="I391" s="26">
        <v>1</v>
      </c>
      <c r="J391" s="26">
        <v>0.2</v>
      </c>
      <c r="K391" s="26">
        <v>0.16669999999999999</v>
      </c>
      <c r="L391" s="26">
        <v>0.51</v>
      </c>
      <c r="M391">
        <v>0.19400000000000001</v>
      </c>
      <c r="N391" s="26">
        <v>4</v>
      </c>
      <c r="O391" s="26">
        <v>67</v>
      </c>
      <c r="P391" s="26">
        <v>71</v>
      </c>
      <c r="Q391" s="34" t="str">
        <f t="shared" si="18"/>
        <v>Clear</v>
      </c>
      <c r="R391" s="41" t="str">
        <f>IF(I391=1,"Normal",IF(I391=2,"Yellow Alert",IF(I391=3,"Orange Alert",IF(I391=4,"Red Alert"))))</f>
        <v>Normal</v>
      </c>
      <c r="S391" s="60">
        <f t="shared" si="19"/>
        <v>17</v>
      </c>
      <c r="T391" s="60">
        <f>MONTH(dataset_1!B:B)</f>
        <v>1</v>
      </c>
      <c r="U391" s="60">
        <f t="shared" si="20"/>
        <v>2011</v>
      </c>
      <c r="V391" s="59" t="str">
        <f>TEXT(F391/24,"H AM/PM")</f>
        <v>5 PM</v>
      </c>
      <c r="W391" s="59" t="str">
        <f>IF(H391=6,"Saturday",IF(H391=0,"Sunday",IF(H391=1,"Monday",IF(H391=2,"Tuesday",IF(H391=3,"Wednesday",IF(H391=4,"Thursday",IF(H391=5,"Friday")))))))</f>
        <v>Monday</v>
      </c>
      <c r="X391" s="59" t="str">
        <f>IF(G391=FALSE,"Working day", IF(G391=TRUE,"Holiday"))</f>
        <v>Holiday</v>
      </c>
    </row>
    <row r="392" spans="1:24" x14ac:dyDescent="0.25">
      <c r="A392" s="32">
        <v>391</v>
      </c>
      <c r="B392" s="33">
        <v>40560</v>
      </c>
      <c r="C392" s="26">
        <v>1</v>
      </c>
      <c r="D392" s="26">
        <v>0</v>
      </c>
      <c r="E392" s="26">
        <v>1</v>
      </c>
      <c r="F392" s="26">
        <v>18</v>
      </c>
      <c r="G392" s="26" t="b">
        <v>1</v>
      </c>
      <c r="H392" s="26">
        <v>1</v>
      </c>
      <c r="I392" s="26">
        <v>2</v>
      </c>
      <c r="J392" s="26">
        <v>0.18</v>
      </c>
      <c r="K392" s="26">
        <v>0.18179999999999999</v>
      </c>
      <c r="L392" s="26">
        <v>0.55000000000000004</v>
      </c>
      <c r="M392">
        <v>0.25369999999999998</v>
      </c>
      <c r="N392" s="26">
        <v>7</v>
      </c>
      <c r="O392" s="26">
        <v>85</v>
      </c>
      <c r="P392" s="26">
        <v>92</v>
      </c>
      <c r="Q392" s="34" t="str">
        <f t="shared" si="18"/>
        <v>Cloudy</v>
      </c>
      <c r="R392" s="41" t="str">
        <f>IF(I392=1,"Normal",IF(I392=2,"Yellow Alert",IF(I392=3,"Orange Alert",IF(I392=4,"Red Alert"))))</f>
        <v>Yellow Alert</v>
      </c>
      <c r="S392" s="60">
        <f t="shared" si="19"/>
        <v>17</v>
      </c>
      <c r="T392" s="60">
        <f>MONTH(dataset_1!B:B)</f>
        <v>1</v>
      </c>
      <c r="U392" s="60">
        <f t="shared" si="20"/>
        <v>2011</v>
      </c>
      <c r="V392" s="59" t="str">
        <f>TEXT(F392/24,"H AM/PM")</f>
        <v>6 PM</v>
      </c>
      <c r="W392" s="59" t="str">
        <f>IF(H392=6,"Saturday",IF(H392=0,"Sunday",IF(H392=1,"Monday",IF(H392=2,"Tuesday",IF(H392=3,"Wednesday",IF(H392=4,"Thursday",IF(H392=5,"Friday")))))))</f>
        <v>Monday</v>
      </c>
      <c r="X392" s="59" t="str">
        <f>IF(G392=FALSE,"Working day", IF(G392=TRUE,"Holiday"))</f>
        <v>Holiday</v>
      </c>
    </row>
    <row r="393" spans="1:24" x14ac:dyDescent="0.25">
      <c r="A393" s="32">
        <v>392</v>
      </c>
      <c r="B393" s="33">
        <v>40560</v>
      </c>
      <c r="C393" s="26">
        <v>1</v>
      </c>
      <c r="D393" s="26">
        <v>0</v>
      </c>
      <c r="E393" s="26">
        <v>1</v>
      </c>
      <c r="F393" s="26">
        <v>19</v>
      </c>
      <c r="G393" s="26" t="b">
        <v>1</v>
      </c>
      <c r="H393" s="26">
        <v>1</v>
      </c>
      <c r="I393" s="26">
        <v>3</v>
      </c>
      <c r="J393" s="26">
        <v>0.18</v>
      </c>
      <c r="K393" s="26">
        <v>0.1515</v>
      </c>
      <c r="L393" s="26">
        <v>0.59</v>
      </c>
      <c r="M393">
        <v>0.19400000000000001</v>
      </c>
      <c r="N393" s="26">
        <v>2</v>
      </c>
      <c r="O393" s="26">
        <v>58</v>
      </c>
      <c r="P393" s="26">
        <v>60</v>
      </c>
      <c r="Q393" s="34" t="str">
        <f t="shared" si="18"/>
        <v>Light Rain</v>
      </c>
      <c r="R393" s="41" t="str">
        <f>IF(I393=1,"Normal",IF(I393=2,"Yellow Alert",IF(I393=3,"Orange Alert",IF(I393=4,"Red Alert"))))</f>
        <v>Orange Alert</v>
      </c>
      <c r="S393" s="60">
        <f t="shared" si="19"/>
        <v>17</v>
      </c>
      <c r="T393" s="60">
        <f>MONTH(dataset_1!B:B)</f>
        <v>1</v>
      </c>
      <c r="U393" s="60">
        <f t="shared" si="20"/>
        <v>2011</v>
      </c>
      <c r="V393" s="59" t="str">
        <f>TEXT(F393/24,"H AM/PM")</f>
        <v>7 PM</v>
      </c>
      <c r="W393" s="59" t="str">
        <f>IF(H393=6,"Saturday",IF(H393=0,"Sunday",IF(H393=1,"Monday",IF(H393=2,"Tuesday",IF(H393=3,"Wednesday",IF(H393=4,"Thursday",IF(H393=5,"Friday")))))))</f>
        <v>Monday</v>
      </c>
      <c r="X393" s="59" t="str">
        <f>IF(G393=FALSE,"Working day", IF(G393=TRUE,"Holiday"))</f>
        <v>Holiday</v>
      </c>
    </row>
    <row r="394" spans="1:24" x14ac:dyDescent="0.25">
      <c r="A394" s="32">
        <v>393</v>
      </c>
      <c r="B394" s="33">
        <v>40560</v>
      </c>
      <c r="C394" s="26">
        <v>1</v>
      </c>
      <c r="D394" s="26">
        <v>0</v>
      </c>
      <c r="E394" s="26">
        <v>1</v>
      </c>
      <c r="F394" s="26">
        <v>20</v>
      </c>
      <c r="G394" s="26" t="b">
        <v>1</v>
      </c>
      <c r="H394" s="26">
        <v>1</v>
      </c>
      <c r="I394" s="26">
        <v>3</v>
      </c>
      <c r="J394" s="26">
        <v>0.16</v>
      </c>
      <c r="K394" s="26">
        <v>0.1515</v>
      </c>
      <c r="L394" s="26">
        <v>0.8</v>
      </c>
      <c r="M394">
        <v>0.19400000000000001</v>
      </c>
      <c r="N394" s="26">
        <v>4</v>
      </c>
      <c r="O394" s="26">
        <v>29</v>
      </c>
      <c r="P394" s="26">
        <v>33</v>
      </c>
      <c r="Q394" s="34" t="str">
        <f t="shared" si="18"/>
        <v>Light Rain</v>
      </c>
      <c r="R394" s="41" t="str">
        <f>IF(I394=1,"Normal",IF(I394=2,"Yellow Alert",IF(I394=3,"Orange Alert",IF(I394=4,"Red Alert"))))</f>
        <v>Orange Alert</v>
      </c>
      <c r="S394" s="60">
        <f t="shared" si="19"/>
        <v>17</v>
      </c>
      <c r="T394" s="60">
        <f>MONTH(dataset_1!B:B)</f>
        <v>1</v>
      </c>
      <c r="U394" s="60">
        <f t="shared" si="20"/>
        <v>2011</v>
      </c>
      <c r="V394" s="59" t="str">
        <f>TEXT(F394/24,"H AM/PM")</f>
        <v>8 PM</v>
      </c>
      <c r="W394" s="59" t="str">
        <f>IF(H394=6,"Saturday",IF(H394=0,"Sunday",IF(H394=1,"Monday",IF(H394=2,"Tuesday",IF(H394=3,"Wednesday",IF(H394=4,"Thursday",IF(H394=5,"Friday")))))))</f>
        <v>Monday</v>
      </c>
      <c r="X394" s="59" t="str">
        <f>IF(G394=FALSE,"Working day", IF(G394=TRUE,"Holiday"))</f>
        <v>Holiday</v>
      </c>
    </row>
    <row r="395" spans="1:24" x14ac:dyDescent="0.25">
      <c r="A395" s="32">
        <v>394</v>
      </c>
      <c r="B395" s="33">
        <v>40560</v>
      </c>
      <c r="C395" s="26">
        <v>1</v>
      </c>
      <c r="D395" s="26">
        <v>0</v>
      </c>
      <c r="E395" s="26">
        <v>1</v>
      </c>
      <c r="F395" s="26">
        <v>21</v>
      </c>
      <c r="G395" s="26" t="b">
        <v>1</v>
      </c>
      <c r="H395" s="26">
        <v>1</v>
      </c>
      <c r="I395" s="26">
        <v>3</v>
      </c>
      <c r="J395" s="26">
        <v>0.16</v>
      </c>
      <c r="K395" s="26">
        <v>0.1212</v>
      </c>
      <c r="L395" s="26">
        <v>0.8</v>
      </c>
      <c r="M395">
        <v>0.19400000000000001</v>
      </c>
      <c r="N395" s="26">
        <v>3</v>
      </c>
      <c r="O395" s="26">
        <v>24</v>
      </c>
      <c r="P395" s="26">
        <v>27</v>
      </c>
      <c r="Q395" s="34" t="str">
        <f t="shared" si="18"/>
        <v>Light Rain</v>
      </c>
      <c r="R395" s="41" t="str">
        <f>IF(I395=1,"Normal",IF(I395=2,"Yellow Alert",IF(I395=3,"Orange Alert",IF(I395=4,"Red Alert"))))</f>
        <v>Orange Alert</v>
      </c>
      <c r="S395" s="60">
        <f t="shared" si="19"/>
        <v>17</v>
      </c>
      <c r="T395" s="60">
        <f>MONTH(dataset_1!B:B)</f>
        <v>1</v>
      </c>
      <c r="U395" s="60">
        <f t="shared" si="20"/>
        <v>2011</v>
      </c>
      <c r="V395" s="59" t="str">
        <f>TEXT(F395/24,"H AM/PM")</f>
        <v>9 PM</v>
      </c>
      <c r="W395" s="59" t="str">
        <f>IF(H395=6,"Saturday",IF(H395=0,"Sunday",IF(H395=1,"Monday",IF(H395=2,"Tuesday",IF(H395=3,"Wednesday",IF(H395=4,"Thursday",IF(H395=5,"Friday")))))))</f>
        <v>Monday</v>
      </c>
      <c r="X395" s="59" t="str">
        <f>IF(G395=FALSE,"Working day", IF(G395=TRUE,"Holiday"))</f>
        <v>Holiday</v>
      </c>
    </row>
    <row r="396" spans="1:24" x14ac:dyDescent="0.25">
      <c r="A396" s="32">
        <v>395</v>
      </c>
      <c r="B396" s="33">
        <v>40560</v>
      </c>
      <c r="C396" s="26">
        <v>1</v>
      </c>
      <c r="D396" s="26">
        <v>0</v>
      </c>
      <c r="E396" s="26">
        <v>1</v>
      </c>
      <c r="F396" s="26">
        <v>22</v>
      </c>
      <c r="G396" s="26" t="b">
        <v>1</v>
      </c>
      <c r="H396" s="26">
        <v>1</v>
      </c>
      <c r="I396" s="26">
        <v>3</v>
      </c>
      <c r="J396" s="26">
        <v>0.14000000000000001</v>
      </c>
      <c r="K396" s="26">
        <v>0.13639999999999999</v>
      </c>
      <c r="L396" s="26">
        <v>0.93</v>
      </c>
      <c r="M396">
        <v>0.25369999999999998</v>
      </c>
      <c r="N396" s="26">
        <v>0</v>
      </c>
      <c r="O396" s="26">
        <v>13</v>
      </c>
      <c r="P396" s="26">
        <v>13</v>
      </c>
      <c r="Q396" s="34" t="str">
        <f t="shared" si="18"/>
        <v>Light Rain</v>
      </c>
      <c r="R396" s="41" t="str">
        <f>IF(I396=1,"Normal",IF(I396=2,"Yellow Alert",IF(I396=3,"Orange Alert",IF(I396=4,"Red Alert"))))</f>
        <v>Orange Alert</v>
      </c>
      <c r="S396" s="60">
        <f t="shared" si="19"/>
        <v>17</v>
      </c>
      <c r="T396" s="60">
        <f>MONTH(dataset_1!B:B)</f>
        <v>1</v>
      </c>
      <c r="U396" s="60">
        <f t="shared" si="20"/>
        <v>2011</v>
      </c>
      <c r="V396" s="59" t="str">
        <f>TEXT(F396/24,"H AM/PM")</f>
        <v>10 PM</v>
      </c>
      <c r="W396" s="59" t="str">
        <f>IF(H396=6,"Saturday",IF(H396=0,"Sunday",IF(H396=1,"Monday",IF(H396=2,"Tuesday",IF(H396=3,"Wednesday",IF(H396=4,"Thursday",IF(H396=5,"Friday")))))))</f>
        <v>Monday</v>
      </c>
      <c r="X396" s="59" t="str">
        <f>IF(G396=FALSE,"Working day", IF(G396=TRUE,"Holiday"))</f>
        <v>Holiday</v>
      </c>
    </row>
    <row r="397" spans="1:24" x14ac:dyDescent="0.25">
      <c r="A397" s="32">
        <v>396</v>
      </c>
      <c r="B397" s="33">
        <v>40560</v>
      </c>
      <c r="C397" s="26">
        <v>1</v>
      </c>
      <c r="D397" s="26">
        <v>0</v>
      </c>
      <c r="E397" s="26">
        <v>1</v>
      </c>
      <c r="F397" s="26">
        <v>23</v>
      </c>
      <c r="G397" s="26" t="b">
        <v>1</v>
      </c>
      <c r="H397" s="26">
        <v>1</v>
      </c>
      <c r="I397" s="26">
        <v>3</v>
      </c>
      <c r="J397" s="26">
        <v>0.16</v>
      </c>
      <c r="K397" s="26">
        <v>0.18179999999999999</v>
      </c>
      <c r="L397" s="26">
        <v>0.86</v>
      </c>
      <c r="M397">
        <v>0.28360000000000002</v>
      </c>
      <c r="N397" s="26">
        <v>1</v>
      </c>
      <c r="O397" s="26">
        <v>3</v>
      </c>
      <c r="P397" s="26">
        <v>4</v>
      </c>
      <c r="Q397" s="34" t="str">
        <f t="shared" si="18"/>
        <v>Light Rain</v>
      </c>
      <c r="R397" s="41" t="str">
        <f>IF(I397=1,"Normal",IF(I397=2,"Yellow Alert",IF(I397=3,"Orange Alert",IF(I397=4,"Red Alert"))))</f>
        <v>Orange Alert</v>
      </c>
      <c r="S397" s="60">
        <f t="shared" si="19"/>
        <v>17</v>
      </c>
      <c r="T397" s="60">
        <f>MONTH(dataset_1!B:B)</f>
        <v>1</v>
      </c>
      <c r="U397" s="60">
        <f t="shared" si="20"/>
        <v>2011</v>
      </c>
      <c r="V397" s="59" t="str">
        <f>TEXT(F397/24,"H AM/PM")</f>
        <v>11 PM</v>
      </c>
      <c r="W397" s="59" t="str">
        <f>IF(H397=6,"Saturday",IF(H397=0,"Sunday",IF(H397=1,"Monday",IF(H397=2,"Tuesday",IF(H397=3,"Wednesday",IF(H397=4,"Thursday",IF(H397=5,"Friday")))))))</f>
        <v>Monday</v>
      </c>
      <c r="X397" s="59" t="str">
        <f>IF(G397=FALSE,"Working day", IF(G397=TRUE,"Holiday"))</f>
        <v>Holiday</v>
      </c>
    </row>
    <row r="398" spans="1:24" x14ac:dyDescent="0.25">
      <c r="A398" s="32">
        <v>397</v>
      </c>
      <c r="B398" s="33">
        <v>40561</v>
      </c>
      <c r="C398" s="26">
        <v>1</v>
      </c>
      <c r="D398" s="26">
        <v>0</v>
      </c>
      <c r="E398" s="26">
        <v>1</v>
      </c>
      <c r="F398" s="26">
        <v>12</v>
      </c>
      <c r="G398" s="26" t="b">
        <v>0</v>
      </c>
      <c r="H398" s="26">
        <v>2</v>
      </c>
      <c r="I398" s="26">
        <v>2</v>
      </c>
      <c r="J398" s="26">
        <v>0.2</v>
      </c>
      <c r="K398" s="26">
        <v>0.19700000000000001</v>
      </c>
      <c r="L398" s="26">
        <v>0.86</v>
      </c>
      <c r="M398">
        <v>0.32840000000000003</v>
      </c>
      <c r="N398" s="26">
        <v>0</v>
      </c>
      <c r="O398" s="26">
        <v>3</v>
      </c>
      <c r="P398" s="26">
        <v>3</v>
      </c>
      <c r="Q398" s="34" t="str">
        <f t="shared" si="18"/>
        <v>Cloudy</v>
      </c>
      <c r="R398" s="41" t="str">
        <f>IF(I398=1,"Normal",IF(I398=2,"Yellow Alert",IF(I398=3,"Orange Alert",IF(I398=4,"Red Alert"))))</f>
        <v>Yellow Alert</v>
      </c>
      <c r="S398" s="60">
        <f t="shared" si="19"/>
        <v>18</v>
      </c>
      <c r="T398" s="60">
        <f>MONTH(dataset_1!B:B)</f>
        <v>1</v>
      </c>
      <c r="U398" s="60">
        <f t="shared" si="20"/>
        <v>2011</v>
      </c>
      <c r="V398" s="59" t="str">
        <f>TEXT(F398/24,"H AM/PM")</f>
        <v>12 PM</v>
      </c>
      <c r="W398" s="59" t="str">
        <f>IF(H398=6,"Saturday",IF(H398=0,"Sunday",IF(H398=1,"Monday",IF(H398=2,"Tuesday",IF(H398=3,"Wednesday",IF(H398=4,"Thursday",IF(H398=5,"Friday")))))))</f>
        <v>Tuesday</v>
      </c>
      <c r="X398" s="59" t="str">
        <f>IF(G398=FALSE,"Working day", IF(G398=TRUE,"Holiday"))</f>
        <v>Working day</v>
      </c>
    </row>
    <row r="399" spans="1:24" x14ac:dyDescent="0.25">
      <c r="A399" s="32">
        <v>398</v>
      </c>
      <c r="B399" s="33">
        <v>40561</v>
      </c>
      <c r="C399" s="26">
        <v>1</v>
      </c>
      <c r="D399" s="26">
        <v>0</v>
      </c>
      <c r="E399" s="26">
        <v>1</v>
      </c>
      <c r="F399" s="26">
        <v>13</v>
      </c>
      <c r="G399" s="26" t="b">
        <v>0</v>
      </c>
      <c r="H399" s="26">
        <v>2</v>
      </c>
      <c r="I399" s="26">
        <v>2</v>
      </c>
      <c r="J399" s="26">
        <v>0.2</v>
      </c>
      <c r="K399" s="26">
        <v>0.2273</v>
      </c>
      <c r="L399" s="26">
        <v>0.86</v>
      </c>
      <c r="M399">
        <v>0.22389999999999999</v>
      </c>
      <c r="N399" s="26">
        <v>0</v>
      </c>
      <c r="O399" s="26">
        <v>22</v>
      </c>
      <c r="P399" s="26">
        <v>22</v>
      </c>
      <c r="Q399" s="34" t="str">
        <f t="shared" si="18"/>
        <v>Cloudy</v>
      </c>
      <c r="R399" s="41" t="str">
        <f>IF(I399=1,"Normal",IF(I399=2,"Yellow Alert",IF(I399=3,"Orange Alert",IF(I399=4,"Red Alert"))))</f>
        <v>Yellow Alert</v>
      </c>
      <c r="S399" s="60">
        <f t="shared" si="19"/>
        <v>18</v>
      </c>
      <c r="T399" s="60">
        <f>MONTH(dataset_1!B:B)</f>
        <v>1</v>
      </c>
      <c r="U399" s="60">
        <f t="shared" si="20"/>
        <v>2011</v>
      </c>
      <c r="V399" s="59" t="str">
        <f>TEXT(F399/24,"H AM/PM")</f>
        <v>1 PM</v>
      </c>
      <c r="W399" s="59" t="str">
        <f>IF(H399=6,"Saturday",IF(H399=0,"Sunday",IF(H399=1,"Monday",IF(H399=2,"Tuesday",IF(H399=3,"Wednesday",IF(H399=4,"Thursday",IF(H399=5,"Friday")))))))</f>
        <v>Tuesday</v>
      </c>
      <c r="X399" s="59" t="str">
        <f>IF(G399=FALSE,"Working day", IF(G399=TRUE,"Holiday"))</f>
        <v>Working day</v>
      </c>
    </row>
    <row r="400" spans="1:24" x14ac:dyDescent="0.25">
      <c r="A400" s="32">
        <v>399</v>
      </c>
      <c r="B400" s="33">
        <v>40561</v>
      </c>
      <c r="C400" s="26">
        <v>1</v>
      </c>
      <c r="D400" s="26">
        <v>0</v>
      </c>
      <c r="E400" s="26">
        <v>1</v>
      </c>
      <c r="F400" s="26">
        <v>14</v>
      </c>
      <c r="G400" s="26" t="b">
        <v>0</v>
      </c>
      <c r="H400" s="26">
        <v>2</v>
      </c>
      <c r="I400" s="26">
        <v>2</v>
      </c>
      <c r="J400" s="26">
        <v>0.22</v>
      </c>
      <c r="K400" s="26">
        <v>0.2273</v>
      </c>
      <c r="L400" s="26">
        <v>0.8</v>
      </c>
      <c r="M400">
        <v>0.16420000000000001</v>
      </c>
      <c r="N400" s="26">
        <v>2</v>
      </c>
      <c r="O400" s="26">
        <v>26</v>
      </c>
      <c r="P400" s="26">
        <v>28</v>
      </c>
      <c r="Q400" s="34" t="str">
        <f t="shared" si="18"/>
        <v>Cloudy</v>
      </c>
      <c r="R400" s="41" t="str">
        <f>IF(I400=1,"Normal",IF(I400=2,"Yellow Alert",IF(I400=3,"Orange Alert",IF(I400=4,"Red Alert"))))</f>
        <v>Yellow Alert</v>
      </c>
      <c r="S400" s="60">
        <f t="shared" si="19"/>
        <v>18</v>
      </c>
      <c r="T400" s="60">
        <f>MONTH(dataset_1!B:B)</f>
        <v>1</v>
      </c>
      <c r="U400" s="60">
        <f t="shared" si="20"/>
        <v>2011</v>
      </c>
      <c r="V400" s="59" t="str">
        <f>TEXT(F400/24,"H AM/PM")</f>
        <v>2 PM</v>
      </c>
      <c r="W400" s="59" t="str">
        <f>IF(H400=6,"Saturday",IF(H400=0,"Sunday",IF(H400=1,"Monday",IF(H400=2,"Tuesday",IF(H400=3,"Wednesday",IF(H400=4,"Thursday",IF(H400=5,"Friday")))))))</f>
        <v>Tuesday</v>
      </c>
      <c r="X400" s="59" t="str">
        <f>IF(G400=FALSE,"Working day", IF(G400=TRUE,"Holiday"))</f>
        <v>Working day</v>
      </c>
    </row>
    <row r="401" spans="1:24" x14ac:dyDescent="0.25">
      <c r="A401" s="32">
        <v>400</v>
      </c>
      <c r="B401" s="33">
        <v>40561</v>
      </c>
      <c r="C401" s="26">
        <v>1</v>
      </c>
      <c r="D401" s="26">
        <v>0</v>
      </c>
      <c r="E401" s="26">
        <v>1</v>
      </c>
      <c r="F401" s="26">
        <v>15</v>
      </c>
      <c r="G401" s="26" t="b">
        <v>0</v>
      </c>
      <c r="H401" s="26">
        <v>2</v>
      </c>
      <c r="I401" s="26">
        <v>2</v>
      </c>
      <c r="J401" s="26">
        <v>0.22</v>
      </c>
      <c r="K401" s="26">
        <v>0.2273</v>
      </c>
      <c r="L401" s="26">
        <v>0.87</v>
      </c>
      <c r="M401">
        <v>0.16420000000000001</v>
      </c>
      <c r="N401" s="26">
        <v>3</v>
      </c>
      <c r="O401" s="26">
        <v>32</v>
      </c>
      <c r="P401" s="26">
        <v>35</v>
      </c>
      <c r="Q401" s="34" t="str">
        <f t="shared" si="18"/>
        <v>Cloudy</v>
      </c>
      <c r="R401" s="41" t="str">
        <f>IF(I401=1,"Normal",IF(I401=2,"Yellow Alert",IF(I401=3,"Orange Alert",IF(I401=4,"Red Alert"))))</f>
        <v>Yellow Alert</v>
      </c>
      <c r="S401" s="60">
        <f t="shared" si="19"/>
        <v>18</v>
      </c>
      <c r="T401" s="60">
        <f>MONTH(dataset_1!B:B)</f>
        <v>1</v>
      </c>
      <c r="U401" s="60">
        <f t="shared" si="20"/>
        <v>2011</v>
      </c>
      <c r="V401" s="59" t="str">
        <f>TEXT(F401/24,"H AM/PM")</f>
        <v>3 PM</v>
      </c>
      <c r="W401" s="59" t="str">
        <f>IF(H401=6,"Saturday",IF(H401=0,"Sunday",IF(H401=1,"Monday",IF(H401=2,"Tuesday",IF(H401=3,"Wednesday",IF(H401=4,"Thursday",IF(H401=5,"Friday")))))))</f>
        <v>Tuesday</v>
      </c>
      <c r="X401" s="59" t="str">
        <f>IF(G401=FALSE,"Working day", IF(G401=TRUE,"Holiday"))</f>
        <v>Working day</v>
      </c>
    </row>
    <row r="402" spans="1:24" x14ac:dyDescent="0.25">
      <c r="A402" s="32">
        <v>401</v>
      </c>
      <c r="B402" s="33">
        <v>40561</v>
      </c>
      <c r="C402" s="26">
        <v>1</v>
      </c>
      <c r="D402" s="26">
        <v>0</v>
      </c>
      <c r="E402" s="26">
        <v>1</v>
      </c>
      <c r="F402" s="26">
        <v>16</v>
      </c>
      <c r="G402" s="26" t="b">
        <v>0</v>
      </c>
      <c r="H402" s="26">
        <v>2</v>
      </c>
      <c r="I402" s="26">
        <v>2</v>
      </c>
      <c r="J402" s="26">
        <v>0.22</v>
      </c>
      <c r="K402" s="26">
        <v>0.2273</v>
      </c>
      <c r="L402" s="26">
        <v>0.87</v>
      </c>
      <c r="M402">
        <v>0.19400000000000001</v>
      </c>
      <c r="N402" s="26">
        <v>0</v>
      </c>
      <c r="O402" s="26">
        <v>61</v>
      </c>
      <c r="P402" s="26">
        <v>61</v>
      </c>
      <c r="Q402" s="34" t="str">
        <f t="shared" si="18"/>
        <v>Cloudy</v>
      </c>
      <c r="R402" s="41" t="str">
        <f>IF(I402=1,"Normal",IF(I402=2,"Yellow Alert",IF(I402=3,"Orange Alert",IF(I402=4,"Red Alert"))))</f>
        <v>Yellow Alert</v>
      </c>
      <c r="S402" s="60">
        <f t="shared" si="19"/>
        <v>18</v>
      </c>
      <c r="T402" s="60">
        <f>MONTH(dataset_1!B:B)</f>
        <v>1</v>
      </c>
      <c r="U402" s="60">
        <f t="shared" si="20"/>
        <v>2011</v>
      </c>
      <c r="V402" s="59" t="str">
        <f>TEXT(F402/24,"H AM/PM")</f>
        <v>4 PM</v>
      </c>
      <c r="W402" s="59" t="str">
        <f>IF(H402=6,"Saturday",IF(H402=0,"Sunday",IF(H402=1,"Monday",IF(H402=2,"Tuesday",IF(H402=3,"Wednesday",IF(H402=4,"Thursday",IF(H402=5,"Friday")))))))</f>
        <v>Tuesday</v>
      </c>
      <c r="X402" s="59" t="str">
        <f>IF(G402=FALSE,"Working day", IF(G402=TRUE,"Holiday"))</f>
        <v>Working day</v>
      </c>
    </row>
    <row r="403" spans="1:24" x14ac:dyDescent="0.25">
      <c r="A403" s="32">
        <v>402</v>
      </c>
      <c r="B403" s="33">
        <v>40561</v>
      </c>
      <c r="C403" s="26">
        <v>1</v>
      </c>
      <c r="D403" s="26">
        <v>0</v>
      </c>
      <c r="E403" s="26">
        <v>1</v>
      </c>
      <c r="F403" s="26">
        <v>17</v>
      </c>
      <c r="G403" s="26" t="b">
        <v>0</v>
      </c>
      <c r="H403" s="26">
        <v>2</v>
      </c>
      <c r="I403" s="26">
        <v>2</v>
      </c>
      <c r="J403" s="26">
        <v>0.22</v>
      </c>
      <c r="K403" s="26">
        <v>0.2273</v>
      </c>
      <c r="L403" s="26">
        <v>0.82</v>
      </c>
      <c r="M403">
        <v>0.19400000000000001</v>
      </c>
      <c r="N403" s="26">
        <v>1</v>
      </c>
      <c r="O403" s="26">
        <v>124</v>
      </c>
      <c r="P403" s="26">
        <v>125</v>
      </c>
      <c r="Q403" s="34" t="str">
        <f t="shared" si="18"/>
        <v>Cloudy</v>
      </c>
      <c r="R403" s="41" t="str">
        <f>IF(I403=1,"Normal",IF(I403=2,"Yellow Alert",IF(I403=3,"Orange Alert",IF(I403=4,"Red Alert"))))</f>
        <v>Yellow Alert</v>
      </c>
      <c r="S403" s="60">
        <f t="shared" si="19"/>
        <v>18</v>
      </c>
      <c r="T403" s="60">
        <f>MONTH(dataset_1!B:B)</f>
        <v>1</v>
      </c>
      <c r="U403" s="60">
        <f t="shared" si="20"/>
        <v>2011</v>
      </c>
      <c r="V403" s="59" t="str">
        <f>TEXT(F403/24,"H AM/PM")</f>
        <v>5 PM</v>
      </c>
      <c r="W403" s="59" t="str">
        <f>IF(H403=6,"Saturday",IF(H403=0,"Sunday",IF(H403=1,"Monday",IF(H403=2,"Tuesday",IF(H403=3,"Wednesday",IF(H403=4,"Thursday",IF(H403=5,"Friday")))))))</f>
        <v>Tuesday</v>
      </c>
      <c r="X403" s="59" t="str">
        <f>IF(G403=FALSE,"Working day", IF(G403=TRUE,"Holiday"))</f>
        <v>Working day</v>
      </c>
    </row>
    <row r="404" spans="1:24" x14ac:dyDescent="0.25">
      <c r="A404" s="32">
        <v>403</v>
      </c>
      <c r="B404" s="33">
        <v>40561</v>
      </c>
      <c r="C404" s="26">
        <v>1</v>
      </c>
      <c r="D404" s="26">
        <v>0</v>
      </c>
      <c r="E404" s="26">
        <v>1</v>
      </c>
      <c r="F404" s="26">
        <v>18</v>
      </c>
      <c r="G404" s="26" t="b">
        <v>0</v>
      </c>
      <c r="H404" s="26">
        <v>2</v>
      </c>
      <c r="I404" s="26">
        <v>2</v>
      </c>
      <c r="J404" s="26">
        <v>0.22</v>
      </c>
      <c r="K404" s="26">
        <v>0.2273</v>
      </c>
      <c r="L404" s="26">
        <v>0.8</v>
      </c>
      <c r="M404">
        <v>0.16420000000000001</v>
      </c>
      <c r="N404" s="26">
        <v>1</v>
      </c>
      <c r="O404" s="26">
        <v>132</v>
      </c>
      <c r="P404" s="26">
        <v>133</v>
      </c>
      <c r="Q404" s="34" t="str">
        <f t="shared" si="18"/>
        <v>Cloudy</v>
      </c>
      <c r="R404" s="41" t="str">
        <f>IF(I404=1,"Normal",IF(I404=2,"Yellow Alert",IF(I404=3,"Orange Alert",IF(I404=4,"Red Alert"))))</f>
        <v>Yellow Alert</v>
      </c>
      <c r="S404" s="60">
        <f t="shared" si="19"/>
        <v>18</v>
      </c>
      <c r="T404" s="60">
        <f>MONTH(dataset_1!B:B)</f>
        <v>1</v>
      </c>
      <c r="U404" s="60">
        <f t="shared" si="20"/>
        <v>2011</v>
      </c>
      <c r="V404" s="59" t="str">
        <f>TEXT(F404/24,"H AM/PM")</f>
        <v>6 PM</v>
      </c>
      <c r="W404" s="59" t="str">
        <f>IF(H404=6,"Saturday",IF(H404=0,"Sunday",IF(H404=1,"Monday",IF(H404=2,"Tuesday",IF(H404=3,"Wednesday",IF(H404=4,"Thursday",IF(H404=5,"Friday")))))))</f>
        <v>Tuesday</v>
      </c>
      <c r="X404" s="59" t="str">
        <f>IF(G404=FALSE,"Working day", IF(G404=TRUE,"Holiday"))</f>
        <v>Working day</v>
      </c>
    </row>
    <row r="405" spans="1:24" x14ac:dyDescent="0.25">
      <c r="A405" s="32">
        <v>404</v>
      </c>
      <c r="B405" s="33">
        <v>40561</v>
      </c>
      <c r="C405" s="26">
        <v>1</v>
      </c>
      <c r="D405" s="26">
        <v>0</v>
      </c>
      <c r="E405" s="26">
        <v>1</v>
      </c>
      <c r="F405" s="26">
        <v>19</v>
      </c>
      <c r="G405" s="26" t="b">
        <v>0</v>
      </c>
      <c r="H405" s="26">
        <v>2</v>
      </c>
      <c r="I405" s="26">
        <v>2</v>
      </c>
      <c r="J405" s="26">
        <v>0.22</v>
      </c>
      <c r="K405" s="26">
        <v>0.2727</v>
      </c>
      <c r="L405" s="26">
        <v>0.8</v>
      </c>
      <c r="M405">
        <v>0.1343</v>
      </c>
      <c r="N405" s="26">
        <v>1</v>
      </c>
      <c r="O405" s="26">
        <v>98</v>
      </c>
      <c r="P405" s="26">
        <v>99</v>
      </c>
      <c r="Q405" s="34" t="str">
        <f t="shared" si="18"/>
        <v>Cloudy</v>
      </c>
      <c r="R405" s="41" t="str">
        <f>IF(I405=1,"Normal",IF(I405=2,"Yellow Alert",IF(I405=3,"Orange Alert",IF(I405=4,"Red Alert"))))</f>
        <v>Yellow Alert</v>
      </c>
      <c r="S405" s="60">
        <f t="shared" si="19"/>
        <v>18</v>
      </c>
      <c r="T405" s="60">
        <f>MONTH(dataset_1!B:B)</f>
        <v>1</v>
      </c>
      <c r="U405" s="60">
        <f t="shared" si="20"/>
        <v>2011</v>
      </c>
      <c r="V405" s="59" t="str">
        <f>TEXT(F405/24,"H AM/PM")</f>
        <v>7 PM</v>
      </c>
      <c r="W405" s="59" t="str">
        <f>IF(H405=6,"Saturday",IF(H405=0,"Sunday",IF(H405=1,"Monday",IF(H405=2,"Tuesday",IF(H405=3,"Wednesday",IF(H405=4,"Thursday",IF(H405=5,"Friday")))))))</f>
        <v>Tuesday</v>
      </c>
      <c r="X405" s="59" t="str">
        <f>IF(G405=FALSE,"Working day", IF(G405=TRUE,"Holiday"))</f>
        <v>Working day</v>
      </c>
    </row>
    <row r="406" spans="1:24" x14ac:dyDescent="0.25">
      <c r="A406" s="32">
        <v>405</v>
      </c>
      <c r="B406" s="33">
        <v>40561</v>
      </c>
      <c r="C406" s="26">
        <v>1</v>
      </c>
      <c r="D406" s="26">
        <v>0</v>
      </c>
      <c r="E406" s="26">
        <v>1</v>
      </c>
      <c r="F406" s="26">
        <v>20</v>
      </c>
      <c r="G406" s="26" t="b">
        <v>0</v>
      </c>
      <c r="H406" s="26">
        <v>2</v>
      </c>
      <c r="I406" s="26">
        <v>2</v>
      </c>
      <c r="J406" s="26">
        <v>0.22</v>
      </c>
      <c r="K406" s="26">
        <v>0.2424</v>
      </c>
      <c r="L406" s="26">
        <v>0.87</v>
      </c>
      <c r="M406">
        <v>0</v>
      </c>
      <c r="N406" s="26">
        <v>0</v>
      </c>
      <c r="O406" s="26">
        <v>83</v>
      </c>
      <c r="P406" s="26">
        <v>83</v>
      </c>
      <c r="Q406" s="34" t="str">
        <f t="shared" si="18"/>
        <v>Cloudy</v>
      </c>
      <c r="R406" s="41" t="str">
        <f>IF(I406=1,"Normal",IF(I406=2,"Yellow Alert",IF(I406=3,"Orange Alert",IF(I406=4,"Red Alert"))))</f>
        <v>Yellow Alert</v>
      </c>
      <c r="S406" s="60">
        <f t="shared" si="19"/>
        <v>18</v>
      </c>
      <c r="T406" s="60">
        <f>MONTH(dataset_1!B:B)</f>
        <v>1</v>
      </c>
      <c r="U406" s="60">
        <f t="shared" si="20"/>
        <v>2011</v>
      </c>
      <c r="V406" s="59" t="str">
        <f>TEXT(F406/24,"H AM/PM")</f>
        <v>8 PM</v>
      </c>
      <c r="W406" s="59" t="str">
        <f>IF(H406=6,"Saturday",IF(H406=0,"Sunday",IF(H406=1,"Monday",IF(H406=2,"Tuesday",IF(H406=3,"Wednesday",IF(H406=4,"Thursday",IF(H406=5,"Friday")))))))</f>
        <v>Tuesday</v>
      </c>
      <c r="X406" s="59" t="str">
        <f>IF(G406=FALSE,"Working day", IF(G406=TRUE,"Holiday"))</f>
        <v>Working day</v>
      </c>
    </row>
    <row r="407" spans="1:24" x14ac:dyDescent="0.25">
      <c r="A407" s="32">
        <v>406</v>
      </c>
      <c r="B407" s="33">
        <v>40561</v>
      </c>
      <c r="C407" s="26">
        <v>1</v>
      </c>
      <c r="D407" s="26">
        <v>0</v>
      </c>
      <c r="E407" s="26">
        <v>1</v>
      </c>
      <c r="F407" s="26">
        <v>21</v>
      </c>
      <c r="G407" s="26" t="b">
        <v>0</v>
      </c>
      <c r="H407" s="26">
        <v>2</v>
      </c>
      <c r="I407" s="26">
        <v>2</v>
      </c>
      <c r="J407" s="26">
        <v>0.22</v>
      </c>
      <c r="K407" s="26">
        <v>0.2576</v>
      </c>
      <c r="L407" s="26">
        <v>0.93</v>
      </c>
      <c r="M407">
        <v>0.1045</v>
      </c>
      <c r="N407" s="26">
        <v>0</v>
      </c>
      <c r="O407" s="26">
        <v>41</v>
      </c>
      <c r="P407" s="26">
        <v>41</v>
      </c>
      <c r="Q407" s="34" t="str">
        <f t="shared" si="18"/>
        <v>Cloudy</v>
      </c>
      <c r="R407" s="41" t="str">
        <f>IF(I407=1,"Normal",IF(I407=2,"Yellow Alert",IF(I407=3,"Orange Alert",IF(I407=4,"Red Alert"))))</f>
        <v>Yellow Alert</v>
      </c>
      <c r="S407" s="60">
        <f t="shared" si="19"/>
        <v>18</v>
      </c>
      <c r="T407" s="60">
        <f>MONTH(dataset_1!B:B)</f>
        <v>1</v>
      </c>
      <c r="U407" s="60">
        <f t="shared" si="20"/>
        <v>2011</v>
      </c>
      <c r="V407" s="59" t="str">
        <f>TEXT(F407/24,"H AM/PM")</f>
        <v>9 PM</v>
      </c>
      <c r="W407" s="59" t="str">
        <f>IF(H407=6,"Saturday",IF(H407=0,"Sunday",IF(H407=1,"Monday",IF(H407=2,"Tuesday",IF(H407=3,"Wednesday",IF(H407=4,"Thursday",IF(H407=5,"Friday")))))))</f>
        <v>Tuesday</v>
      </c>
      <c r="X407" s="59" t="str">
        <f>IF(G407=FALSE,"Working day", IF(G407=TRUE,"Holiday"))</f>
        <v>Working day</v>
      </c>
    </row>
    <row r="408" spans="1:24" x14ac:dyDescent="0.25">
      <c r="A408" s="32">
        <v>407</v>
      </c>
      <c r="B408" s="33">
        <v>40561</v>
      </c>
      <c r="C408" s="26">
        <v>1</v>
      </c>
      <c r="D408" s="26">
        <v>0</v>
      </c>
      <c r="E408" s="26">
        <v>1</v>
      </c>
      <c r="F408" s="26">
        <v>22</v>
      </c>
      <c r="G408" s="26" t="b">
        <v>0</v>
      </c>
      <c r="H408" s="26">
        <v>2</v>
      </c>
      <c r="I408" s="26">
        <v>2</v>
      </c>
      <c r="J408" s="26">
        <v>0.22</v>
      </c>
      <c r="K408" s="26">
        <v>0.2727</v>
      </c>
      <c r="L408" s="26">
        <v>0.93</v>
      </c>
      <c r="M408">
        <v>8.9599999999999999E-2</v>
      </c>
      <c r="N408" s="26">
        <v>0</v>
      </c>
      <c r="O408" s="26">
        <v>33</v>
      </c>
      <c r="P408" s="26">
        <v>33</v>
      </c>
      <c r="Q408" s="34" t="str">
        <f t="shared" si="18"/>
        <v>Cloudy</v>
      </c>
      <c r="R408" s="41" t="str">
        <f>IF(I408=1,"Normal",IF(I408=2,"Yellow Alert",IF(I408=3,"Orange Alert",IF(I408=4,"Red Alert"))))</f>
        <v>Yellow Alert</v>
      </c>
      <c r="S408" s="60">
        <f t="shared" si="19"/>
        <v>18</v>
      </c>
      <c r="T408" s="60">
        <f>MONTH(dataset_1!B:B)</f>
        <v>1</v>
      </c>
      <c r="U408" s="60">
        <f t="shared" si="20"/>
        <v>2011</v>
      </c>
      <c r="V408" s="59" t="str">
        <f>TEXT(F408/24,"H AM/PM")</f>
        <v>10 PM</v>
      </c>
      <c r="W408" s="59" t="str">
        <f>IF(H408=6,"Saturday",IF(H408=0,"Sunday",IF(H408=1,"Monday",IF(H408=2,"Tuesday",IF(H408=3,"Wednesday",IF(H408=4,"Thursday",IF(H408=5,"Friday")))))))</f>
        <v>Tuesday</v>
      </c>
      <c r="X408" s="59" t="str">
        <f>IF(G408=FALSE,"Working day", IF(G408=TRUE,"Holiday"))</f>
        <v>Working day</v>
      </c>
    </row>
    <row r="409" spans="1:24" x14ac:dyDescent="0.25">
      <c r="A409" s="32">
        <v>408</v>
      </c>
      <c r="B409" s="33">
        <v>40561</v>
      </c>
      <c r="C409" s="26">
        <v>1</v>
      </c>
      <c r="D409" s="26">
        <v>0</v>
      </c>
      <c r="E409" s="26">
        <v>1</v>
      </c>
      <c r="F409" s="26">
        <v>23</v>
      </c>
      <c r="G409" s="26" t="b">
        <v>0</v>
      </c>
      <c r="H409" s="26">
        <v>2</v>
      </c>
      <c r="I409" s="26">
        <v>2</v>
      </c>
      <c r="J409" s="26">
        <v>0.22</v>
      </c>
      <c r="K409" s="26">
        <v>0.2727</v>
      </c>
      <c r="L409" s="26">
        <v>0.93</v>
      </c>
      <c r="M409">
        <v>0</v>
      </c>
      <c r="N409" s="26">
        <v>1</v>
      </c>
      <c r="O409" s="26">
        <v>19</v>
      </c>
      <c r="P409" s="26">
        <v>20</v>
      </c>
      <c r="Q409" s="34" t="str">
        <f t="shared" si="18"/>
        <v>Cloudy</v>
      </c>
      <c r="R409" s="41" t="str">
        <f>IF(I409=1,"Normal",IF(I409=2,"Yellow Alert",IF(I409=3,"Orange Alert",IF(I409=4,"Red Alert"))))</f>
        <v>Yellow Alert</v>
      </c>
      <c r="S409" s="60">
        <f t="shared" si="19"/>
        <v>18</v>
      </c>
      <c r="T409" s="60">
        <f>MONTH(dataset_1!B:B)</f>
        <v>1</v>
      </c>
      <c r="U409" s="60">
        <f t="shared" si="20"/>
        <v>2011</v>
      </c>
      <c r="V409" s="59" t="str">
        <f>TEXT(F409/24,"H AM/PM")</f>
        <v>11 PM</v>
      </c>
      <c r="W409" s="59" t="str">
        <f>IF(H409=6,"Saturday",IF(H409=0,"Sunday",IF(H409=1,"Monday",IF(H409=2,"Tuesday",IF(H409=3,"Wednesday",IF(H409=4,"Thursday",IF(H409=5,"Friday")))))))</f>
        <v>Tuesday</v>
      </c>
      <c r="X409" s="59" t="str">
        <f>IF(G409=FALSE,"Working day", IF(G409=TRUE,"Holiday"))</f>
        <v>Working day</v>
      </c>
    </row>
    <row r="410" spans="1:24" x14ac:dyDescent="0.25">
      <c r="A410" s="32">
        <v>409</v>
      </c>
      <c r="B410" s="33">
        <v>40562</v>
      </c>
      <c r="C410" s="26">
        <v>1</v>
      </c>
      <c r="D410" s="26">
        <v>0</v>
      </c>
      <c r="E410" s="26">
        <v>1</v>
      </c>
      <c r="F410" s="26">
        <v>0</v>
      </c>
      <c r="G410" s="26" t="b">
        <v>0</v>
      </c>
      <c r="H410" s="26">
        <v>3</v>
      </c>
      <c r="I410" s="26">
        <v>2</v>
      </c>
      <c r="J410" s="26">
        <v>0.22</v>
      </c>
      <c r="K410" s="26">
        <v>0.2273</v>
      </c>
      <c r="L410" s="26">
        <v>0.93</v>
      </c>
      <c r="M410">
        <v>0</v>
      </c>
      <c r="N410" s="26">
        <v>0</v>
      </c>
      <c r="O410" s="26">
        <v>3</v>
      </c>
      <c r="P410" s="26">
        <v>3</v>
      </c>
      <c r="Q410" s="34" t="str">
        <f t="shared" si="18"/>
        <v>Cloudy</v>
      </c>
      <c r="R410" s="41" t="str">
        <f>IF(I410=1,"Normal",IF(I410=2,"Yellow Alert",IF(I410=3,"Orange Alert",IF(I410=4,"Red Alert"))))</f>
        <v>Yellow Alert</v>
      </c>
      <c r="S410" s="60">
        <f t="shared" si="19"/>
        <v>19</v>
      </c>
      <c r="T410" s="60">
        <f>MONTH(dataset_1!B:B)</f>
        <v>1</v>
      </c>
      <c r="U410" s="60">
        <f t="shared" si="20"/>
        <v>2011</v>
      </c>
      <c r="V410" s="59" t="str">
        <f>TEXT(F410/24,"H AM/PM")</f>
        <v>12 AM</v>
      </c>
      <c r="W410" s="59" t="str">
        <f>IF(H410=6,"Saturday",IF(H410=0,"Sunday",IF(H410=1,"Monday",IF(H410=2,"Tuesday",IF(H410=3,"Wednesday",IF(H410=4,"Thursday",IF(H410=5,"Friday")))))))</f>
        <v>Wednesday</v>
      </c>
      <c r="X410" s="59" t="str">
        <f>IF(G410=FALSE,"Working day", IF(G410=TRUE,"Holiday"))</f>
        <v>Working day</v>
      </c>
    </row>
    <row r="411" spans="1:24" x14ac:dyDescent="0.25">
      <c r="A411" s="32">
        <v>410</v>
      </c>
      <c r="B411" s="33">
        <v>40562</v>
      </c>
      <c r="C411" s="26">
        <v>1</v>
      </c>
      <c r="D411" s="26">
        <v>0</v>
      </c>
      <c r="E411" s="26">
        <v>1</v>
      </c>
      <c r="F411" s="26">
        <v>1</v>
      </c>
      <c r="G411" s="26" t="b">
        <v>0</v>
      </c>
      <c r="H411" s="26">
        <v>3</v>
      </c>
      <c r="I411" s="26">
        <v>3</v>
      </c>
      <c r="J411" s="26">
        <v>0.22</v>
      </c>
      <c r="K411" s="26">
        <v>0.2273</v>
      </c>
      <c r="L411" s="26">
        <v>0.93</v>
      </c>
      <c r="M411">
        <v>0.1343</v>
      </c>
      <c r="N411" s="26">
        <v>1</v>
      </c>
      <c r="O411" s="26">
        <v>6</v>
      </c>
      <c r="P411" s="26">
        <v>7</v>
      </c>
      <c r="Q411" s="34" t="str">
        <f t="shared" si="18"/>
        <v>Light Rain</v>
      </c>
      <c r="R411" s="41" t="str">
        <f>IF(I411=1,"Normal",IF(I411=2,"Yellow Alert",IF(I411=3,"Orange Alert",IF(I411=4,"Red Alert"))))</f>
        <v>Orange Alert</v>
      </c>
      <c r="S411" s="60">
        <f t="shared" si="19"/>
        <v>19</v>
      </c>
      <c r="T411" s="60">
        <f>MONTH(dataset_1!B:B)</f>
        <v>1</v>
      </c>
      <c r="U411" s="60">
        <f t="shared" si="20"/>
        <v>2011</v>
      </c>
      <c r="V411" s="59" t="str">
        <f>TEXT(F411/24,"H AM/PM")</f>
        <v>1 AM</v>
      </c>
      <c r="W411" s="59" t="str">
        <f>IF(H411=6,"Saturday",IF(H411=0,"Sunday",IF(H411=1,"Monday",IF(H411=2,"Tuesday",IF(H411=3,"Wednesday",IF(H411=4,"Thursday",IF(H411=5,"Friday")))))))</f>
        <v>Wednesday</v>
      </c>
      <c r="X411" s="59" t="str">
        <f>IF(G411=FALSE,"Working day", IF(G411=TRUE,"Holiday"))</f>
        <v>Working day</v>
      </c>
    </row>
    <row r="412" spans="1:24" x14ac:dyDescent="0.25">
      <c r="A412" s="32">
        <v>411</v>
      </c>
      <c r="B412" s="33">
        <v>40562</v>
      </c>
      <c r="C412" s="26">
        <v>1</v>
      </c>
      <c r="D412" s="26">
        <v>0</v>
      </c>
      <c r="E412" s="26">
        <v>1</v>
      </c>
      <c r="F412" s="26">
        <v>2</v>
      </c>
      <c r="G412" s="26" t="b">
        <v>0</v>
      </c>
      <c r="H412" s="26">
        <v>3</v>
      </c>
      <c r="I412" s="26">
        <v>3</v>
      </c>
      <c r="J412" s="26">
        <v>0.22</v>
      </c>
      <c r="K412" s="26">
        <v>0.2273</v>
      </c>
      <c r="L412" s="26">
        <v>0.93</v>
      </c>
      <c r="M412">
        <v>0.1343</v>
      </c>
      <c r="N412" s="26">
        <v>0</v>
      </c>
      <c r="O412" s="26">
        <v>3</v>
      </c>
      <c r="P412" s="26">
        <v>3</v>
      </c>
      <c r="Q412" s="34" t="str">
        <f t="shared" si="18"/>
        <v>Light Rain</v>
      </c>
      <c r="R412" s="41" t="str">
        <f>IF(I412=1,"Normal",IF(I412=2,"Yellow Alert",IF(I412=3,"Orange Alert",IF(I412=4,"Red Alert"))))</f>
        <v>Orange Alert</v>
      </c>
      <c r="S412" s="60">
        <f t="shared" si="19"/>
        <v>19</v>
      </c>
      <c r="T412" s="60">
        <f>MONTH(dataset_1!B:B)</f>
        <v>1</v>
      </c>
      <c r="U412" s="60">
        <f t="shared" si="20"/>
        <v>2011</v>
      </c>
      <c r="V412" s="59" t="str">
        <f>TEXT(F412/24,"H AM/PM")</f>
        <v>2 AM</v>
      </c>
      <c r="W412" s="59" t="str">
        <f>IF(H412=6,"Saturday",IF(H412=0,"Sunday",IF(H412=1,"Monday",IF(H412=2,"Tuesday",IF(H412=3,"Wednesday",IF(H412=4,"Thursday",IF(H412=5,"Friday")))))))</f>
        <v>Wednesday</v>
      </c>
      <c r="X412" s="59" t="str">
        <f>IF(G412=FALSE,"Working day", IF(G412=TRUE,"Holiday"))</f>
        <v>Working day</v>
      </c>
    </row>
    <row r="413" spans="1:24" x14ac:dyDescent="0.25">
      <c r="A413" s="32">
        <v>412</v>
      </c>
      <c r="B413" s="33">
        <v>40562</v>
      </c>
      <c r="C413" s="26">
        <v>1</v>
      </c>
      <c r="D413" s="26">
        <v>0</v>
      </c>
      <c r="E413" s="26">
        <v>1</v>
      </c>
      <c r="F413" s="26">
        <v>4</v>
      </c>
      <c r="G413" s="26" t="b">
        <v>0</v>
      </c>
      <c r="H413" s="26">
        <v>3</v>
      </c>
      <c r="I413" s="26">
        <v>3</v>
      </c>
      <c r="J413" s="26">
        <v>0.22</v>
      </c>
      <c r="K413" s="26">
        <v>0.2576</v>
      </c>
      <c r="L413" s="26">
        <v>0.93</v>
      </c>
      <c r="M413">
        <v>0.1343</v>
      </c>
      <c r="N413" s="26">
        <v>1</v>
      </c>
      <c r="O413" s="26">
        <v>1</v>
      </c>
      <c r="P413" s="26">
        <v>2</v>
      </c>
      <c r="Q413" s="34" t="str">
        <f t="shared" si="18"/>
        <v>Light Rain</v>
      </c>
      <c r="R413" s="41" t="str">
        <f>IF(I413=1,"Normal",IF(I413=2,"Yellow Alert",IF(I413=3,"Orange Alert",IF(I413=4,"Red Alert"))))</f>
        <v>Orange Alert</v>
      </c>
      <c r="S413" s="60">
        <f t="shared" si="19"/>
        <v>19</v>
      </c>
      <c r="T413" s="60">
        <f>MONTH(dataset_1!B:B)</f>
        <v>1</v>
      </c>
      <c r="U413" s="60">
        <f t="shared" si="20"/>
        <v>2011</v>
      </c>
      <c r="V413" s="59" t="str">
        <f>TEXT(F413/24,"H AM/PM")</f>
        <v>4 AM</v>
      </c>
      <c r="W413" s="59" t="str">
        <f>IF(H413=6,"Saturday",IF(H413=0,"Sunday",IF(H413=1,"Monday",IF(H413=2,"Tuesday",IF(H413=3,"Wednesday",IF(H413=4,"Thursday",IF(H413=5,"Friday")))))))</f>
        <v>Wednesday</v>
      </c>
      <c r="X413" s="59" t="str">
        <f>IF(G413=FALSE,"Working day", IF(G413=TRUE,"Holiday"))</f>
        <v>Working day</v>
      </c>
    </row>
    <row r="414" spans="1:24" x14ac:dyDescent="0.25">
      <c r="A414" s="32">
        <v>413</v>
      </c>
      <c r="B414" s="33">
        <v>40562</v>
      </c>
      <c r="C414" s="26">
        <v>1</v>
      </c>
      <c r="D414" s="26">
        <v>0</v>
      </c>
      <c r="E414" s="26">
        <v>1</v>
      </c>
      <c r="F414" s="26">
        <v>5</v>
      </c>
      <c r="G414" s="26" t="b">
        <v>0</v>
      </c>
      <c r="H414" s="26">
        <v>3</v>
      </c>
      <c r="I414" s="26">
        <v>2</v>
      </c>
      <c r="J414" s="26">
        <v>0.22</v>
      </c>
      <c r="K414" s="26">
        <v>0.2576</v>
      </c>
      <c r="L414" s="26">
        <v>0.93</v>
      </c>
      <c r="M414">
        <v>8.9599999999999999E-2</v>
      </c>
      <c r="N414" s="26">
        <v>0</v>
      </c>
      <c r="O414" s="26">
        <v>7</v>
      </c>
      <c r="P414" s="26">
        <v>7</v>
      </c>
      <c r="Q414" s="34" t="str">
        <f t="shared" si="18"/>
        <v>Cloudy</v>
      </c>
      <c r="R414" s="41" t="str">
        <f>IF(I414=1,"Normal",IF(I414=2,"Yellow Alert",IF(I414=3,"Orange Alert",IF(I414=4,"Red Alert"))))</f>
        <v>Yellow Alert</v>
      </c>
      <c r="S414" s="60">
        <f t="shared" si="19"/>
        <v>19</v>
      </c>
      <c r="T414" s="60">
        <f>MONTH(dataset_1!B:B)</f>
        <v>1</v>
      </c>
      <c r="U414" s="60">
        <f t="shared" si="20"/>
        <v>2011</v>
      </c>
      <c r="V414" s="59" t="str">
        <f>TEXT(F414/24,"H AM/PM")</f>
        <v>5 AM</v>
      </c>
      <c r="W414" s="59" t="str">
        <f>IF(H414=6,"Saturday",IF(H414=0,"Sunday",IF(H414=1,"Monday",IF(H414=2,"Tuesday",IF(H414=3,"Wednesday",IF(H414=4,"Thursday",IF(H414=5,"Friday")))))))</f>
        <v>Wednesday</v>
      </c>
      <c r="X414" s="59" t="str">
        <f>IF(G414=FALSE,"Working day", IF(G414=TRUE,"Holiday"))</f>
        <v>Working day</v>
      </c>
    </row>
    <row r="415" spans="1:24" x14ac:dyDescent="0.25">
      <c r="A415" s="32">
        <v>414</v>
      </c>
      <c r="B415" s="33">
        <v>40562</v>
      </c>
      <c r="C415" s="26">
        <v>1</v>
      </c>
      <c r="D415" s="26">
        <v>0</v>
      </c>
      <c r="E415" s="26">
        <v>1</v>
      </c>
      <c r="F415" s="26">
        <v>6</v>
      </c>
      <c r="G415" s="26" t="b">
        <v>0</v>
      </c>
      <c r="H415" s="26">
        <v>3</v>
      </c>
      <c r="I415" s="26">
        <v>2</v>
      </c>
      <c r="J415" s="26">
        <v>0.22</v>
      </c>
      <c r="K415" s="26">
        <v>0.2576</v>
      </c>
      <c r="L415" s="26">
        <v>0.93</v>
      </c>
      <c r="M415">
        <v>8.9599999999999999E-2</v>
      </c>
      <c r="N415" s="26">
        <v>0</v>
      </c>
      <c r="O415" s="26">
        <v>32</v>
      </c>
      <c r="P415" s="26">
        <v>32</v>
      </c>
      <c r="Q415" s="34" t="str">
        <f t="shared" si="18"/>
        <v>Cloudy</v>
      </c>
      <c r="R415" s="41" t="str">
        <f>IF(I415=1,"Normal",IF(I415=2,"Yellow Alert",IF(I415=3,"Orange Alert",IF(I415=4,"Red Alert"))))</f>
        <v>Yellow Alert</v>
      </c>
      <c r="S415" s="60">
        <f t="shared" si="19"/>
        <v>19</v>
      </c>
      <c r="T415" s="60">
        <f>MONTH(dataset_1!B:B)</f>
        <v>1</v>
      </c>
      <c r="U415" s="60">
        <f t="shared" si="20"/>
        <v>2011</v>
      </c>
      <c r="V415" s="59" t="str">
        <f>TEXT(F415/24,"H AM/PM")</f>
        <v>6 AM</v>
      </c>
      <c r="W415" s="59" t="str">
        <f>IF(H415=6,"Saturday",IF(H415=0,"Sunday",IF(H415=1,"Monday",IF(H415=2,"Tuesday",IF(H415=3,"Wednesday",IF(H415=4,"Thursday",IF(H415=5,"Friday")))))))</f>
        <v>Wednesday</v>
      </c>
      <c r="X415" s="59" t="str">
        <f>IF(G415=FALSE,"Working day", IF(G415=TRUE,"Holiday"))</f>
        <v>Working day</v>
      </c>
    </row>
    <row r="416" spans="1:24" x14ac:dyDescent="0.25">
      <c r="A416" s="32">
        <v>415</v>
      </c>
      <c r="B416" s="33">
        <v>40562</v>
      </c>
      <c r="C416" s="26">
        <v>1</v>
      </c>
      <c r="D416" s="26">
        <v>0</v>
      </c>
      <c r="E416" s="26">
        <v>1</v>
      </c>
      <c r="F416" s="26">
        <v>7</v>
      </c>
      <c r="G416" s="26" t="b">
        <v>0</v>
      </c>
      <c r="H416" s="26">
        <v>3</v>
      </c>
      <c r="I416" s="26">
        <v>2</v>
      </c>
      <c r="J416" s="26">
        <v>0.24</v>
      </c>
      <c r="K416" s="26">
        <v>0.2576</v>
      </c>
      <c r="L416" s="26">
        <v>0.92</v>
      </c>
      <c r="M416">
        <v>0.1045</v>
      </c>
      <c r="N416" s="26">
        <v>1</v>
      </c>
      <c r="O416" s="26">
        <v>89</v>
      </c>
      <c r="P416" s="26">
        <v>90</v>
      </c>
      <c r="Q416" s="34" t="str">
        <f t="shared" si="18"/>
        <v>Cloudy</v>
      </c>
      <c r="R416" s="41" t="str">
        <f>IF(I416=1,"Normal",IF(I416=2,"Yellow Alert",IF(I416=3,"Orange Alert",IF(I416=4,"Red Alert"))))</f>
        <v>Yellow Alert</v>
      </c>
      <c r="S416" s="60">
        <f t="shared" si="19"/>
        <v>19</v>
      </c>
      <c r="T416" s="60">
        <f>MONTH(dataset_1!B:B)</f>
        <v>1</v>
      </c>
      <c r="U416" s="60">
        <f t="shared" si="20"/>
        <v>2011</v>
      </c>
      <c r="V416" s="59" t="str">
        <f>TEXT(F416/24,"H AM/PM")</f>
        <v>7 AM</v>
      </c>
      <c r="W416" s="59" t="str">
        <f>IF(H416=6,"Saturday",IF(H416=0,"Sunday",IF(H416=1,"Monday",IF(H416=2,"Tuesday",IF(H416=3,"Wednesday",IF(H416=4,"Thursday",IF(H416=5,"Friday")))))))</f>
        <v>Wednesday</v>
      </c>
      <c r="X416" s="59" t="str">
        <f>IF(G416=FALSE,"Working day", IF(G416=TRUE,"Holiday"))</f>
        <v>Working day</v>
      </c>
    </row>
    <row r="417" spans="1:24" x14ac:dyDescent="0.25">
      <c r="A417" s="32">
        <v>416</v>
      </c>
      <c r="B417" s="33">
        <v>40562</v>
      </c>
      <c r="C417" s="26">
        <v>1</v>
      </c>
      <c r="D417" s="26">
        <v>0</v>
      </c>
      <c r="E417" s="26">
        <v>1</v>
      </c>
      <c r="F417" s="26">
        <v>8</v>
      </c>
      <c r="G417" s="26" t="b">
        <v>0</v>
      </c>
      <c r="H417" s="26">
        <v>3</v>
      </c>
      <c r="I417" s="26">
        <v>2</v>
      </c>
      <c r="J417" s="26">
        <v>0.24</v>
      </c>
      <c r="K417" s="26">
        <v>0.2576</v>
      </c>
      <c r="L417" s="26">
        <v>0.93</v>
      </c>
      <c r="M417">
        <v>0.1045</v>
      </c>
      <c r="N417" s="26">
        <v>1</v>
      </c>
      <c r="O417" s="26">
        <v>196</v>
      </c>
      <c r="P417" s="26">
        <v>197</v>
      </c>
      <c r="Q417" s="34" t="str">
        <f t="shared" si="18"/>
        <v>Cloudy</v>
      </c>
      <c r="R417" s="41" t="str">
        <f>IF(I417=1,"Normal",IF(I417=2,"Yellow Alert",IF(I417=3,"Orange Alert",IF(I417=4,"Red Alert"))))</f>
        <v>Yellow Alert</v>
      </c>
      <c r="S417" s="60">
        <f t="shared" si="19"/>
        <v>19</v>
      </c>
      <c r="T417" s="60">
        <f>MONTH(dataset_1!B:B)</f>
        <v>1</v>
      </c>
      <c r="U417" s="60">
        <f t="shared" si="20"/>
        <v>2011</v>
      </c>
      <c r="V417" s="59" t="str">
        <f>TEXT(F417/24,"H AM/PM")</f>
        <v>8 AM</v>
      </c>
      <c r="W417" s="59" t="str">
        <f>IF(H417=6,"Saturday",IF(H417=0,"Sunday",IF(H417=1,"Monday",IF(H417=2,"Tuesday",IF(H417=3,"Wednesday",IF(H417=4,"Thursday",IF(H417=5,"Friday")))))))</f>
        <v>Wednesday</v>
      </c>
      <c r="X417" s="59" t="str">
        <f>IF(G417=FALSE,"Working day", IF(G417=TRUE,"Holiday"))</f>
        <v>Working day</v>
      </c>
    </row>
    <row r="418" spans="1:24" x14ac:dyDescent="0.25">
      <c r="A418" s="32">
        <v>417</v>
      </c>
      <c r="B418" s="33">
        <v>40562</v>
      </c>
      <c r="C418" s="26">
        <v>1</v>
      </c>
      <c r="D418" s="26">
        <v>0</v>
      </c>
      <c r="E418" s="26">
        <v>1</v>
      </c>
      <c r="F418" s="26">
        <v>9</v>
      </c>
      <c r="G418" s="26" t="b">
        <v>0</v>
      </c>
      <c r="H418" s="26">
        <v>3</v>
      </c>
      <c r="I418" s="26">
        <v>2</v>
      </c>
      <c r="J418" s="26">
        <v>0.24</v>
      </c>
      <c r="K418" s="26">
        <v>0.2727</v>
      </c>
      <c r="L418" s="26">
        <v>0.93</v>
      </c>
      <c r="M418">
        <v>0.1045</v>
      </c>
      <c r="N418" s="26">
        <v>2</v>
      </c>
      <c r="O418" s="26">
        <v>107</v>
      </c>
      <c r="P418" s="26">
        <v>109</v>
      </c>
      <c r="Q418" s="34" t="str">
        <f t="shared" si="18"/>
        <v>Cloudy</v>
      </c>
      <c r="R418" s="41" t="str">
        <f>IF(I418=1,"Normal",IF(I418=2,"Yellow Alert",IF(I418=3,"Orange Alert",IF(I418=4,"Red Alert"))))</f>
        <v>Yellow Alert</v>
      </c>
      <c r="S418" s="60">
        <f t="shared" si="19"/>
        <v>19</v>
      </c>
      <c r="T418" s="60">
        <f>MONTH(dataset_1!B:B)</f>
        <v>1</v>
      </c>
      <c r="U418" s="60">
        <f t="shared" si="20"/>
        <v>2011</v>
      </c>
      <c r="V418" s="59" t="str">
        <f>TEXT(F418/24,"H AM/PM")</f>
        <v>9 AM</v>
      </c>
      <c r="W418" s="59" t="str">
        <f>IF(H418=6,"Saturday",IF(H418=0,"Sunday",IF(H418=1,"Monday",IF(H418=2,"Tuesday",IF(H418=3,"Wednesday",IF(H418=4,"Thursday",IF(H418=5,"Friday")))))))</f>
        <v>Wednesday</v>
      </c>
      <c r="X418" s="59" t="str">
        <f>IF(G418=FALSE,"Working day", IF(G418=TRUE,"Holiday"))</f>
        <v>Working day</v>
      </c>
    </row>
    <row r="419" spans="1:24" x14ac:dyDescent="0.25">
      <c r="A419" s="32">
        <v>418</v>
      </c>
      <c r="B419" s="33">
        <v>40562</v>
      </c>
      <c r="C419" s="26">
        <v>1</v>
      </c>
      <c r="D419" s="26">
        <v>0</v>
      </c>
      <c r="E419" s="26">
        <v>1</v>
      </c>
      <c r="F419" s="26">
        <v>10</v>
      </c>
      <c r="G419" s="26" t="b">
        <v>0</v>
      </c>
      <c r="H419" s="26">
        <v>3</v>
      </c>
      <c r="I419" s="26">
        <v>2</v>
      </c>
      <c r="J419" s="26">
        <v>0.26</v>
      </c>
      <c r="K419" s="26">
        <v>0.30299999999999999</v>
      </c>
      <c r="L419" s="26">
        <v>0.93</v>
      </c>
      <c r="M419">
        <v>0.1343</v>
      </c>
      <c r="N419" s="26">
        <v>1</v>
      </c>
      <c r="O419" s="26">
        <v>46</v>
      </c>
      <c r="P419" s="26">
        <v>47</v>
      </c>
      <c r="Q419" s="34" t="str">
        <f t="shared" si="18"/>
        <v>Cloudy</v>
      </c>
      <c r="R419" s="41" t="str">
        <f>IF(I419=1,"Normal",IF(I419=2,"Yellow Alert",IF(I419=3,"Orange Alert",IF(I419=4,"Red Alert"))))</f>
        <v>Yellow Alert</v>
      </c>
      <c r="S419" s="60">
        <f t="shared" si="19"/>
        <v>19</v>
      </c>
      <c r="T419" s="60">
        <f>MONTH(dataset_1!B:B)</f>
        <v>1</v>
      </c>
      <c r="U419" s="60">
        <f t="shared" si="20"/>
        <v>2011</v>
      </c>
      <c r="V419" s="59" t="str">
        <f>TEXT(F419/24,"H AM/PM")</f>
        <v>10 AM</v>
      </c>
      <c r="W419" s="59" t="str">
        <f>IF(H419=6,"Saturday",IF(H419=0,"Sunday",IF(H419=1,"Monday",IF(H419=2,"Tuesday",IF(H419=3,"Wednesday",IF(H419=4,"Thursday",IF(H419=5,"Friday")))))))</f>
        <v>Wednesday</v>
      </c>
      <c r="X419" s="59" t="str">
        <f>IF(G419=FALSE,"Working day", IF(G419=TRUE,"Holiday"))</f>
        <v>Working day</v>
      </c>
    </row>
    <row r="420" spans="1:24" x14ac:dyDescent="0.25">
      <c r="A420" s="32">
        <v>419</v>
      </c>
      <c r="B420" s="33">
        <v>40562</v>
      </c>
      <c r="C420" s="26">
        <v>1</v>
      </c>
      <c r="D420" s="26">
        <v>0</v>
      </c>
      <c r="E420" s="26">
        <v>1</v>
      </c>
      <c r="F420" s="26">
        <v>11</v>
      </c>
      <c r="G420" s="26" t="b">
        <v>0</v>
      </c>
      <c r="H420" s="26">
        <v>3</v>
      </c>
      <c r="I420" s="26">
        <v>2</v>
      </c>
      <c r="J420" s="26">
        <v>0.28000000000000003</v>
      </c>
      <c r="K420" s="26">
        <v>0.31819999999999998</v>
      </c>
      <c r="L420" s="26">
        <v>0.87</v>
      </c>
      <c r="M420">
        <v>8.9599999999999999E-2</v>
      </c>
      <c r="N420" s="26">
        <v>5</v>
      </c>
      <c r="O420" s="26">
        <v>47</v>
      </c>
      <c r="P420" s="26">
        <v>52</v>
      </c>
      <c r="Q420" s="34" t="str">
        <f t="shared" si="18"/>
        <v>Cloudy</v>
      </c>
      <c r="R420" s="41" t="str">
        <f>IF(I420=1,"Normal",IF(I420=2,"Yellow Alert",IF(I420=3,"Orange Alert",IF(I420=4,"Red Alert"))))</f>
        <v>Yellow Alert</v>
      </c>
      <c r="S420" s="60">
        <f t="shared" si="19"/>
        <v>19</v>
      </c>
      <c r="T420" s="60">
        <f>MONTH(dataset_1!B:B)</f>
        <v>1</v>
      </c>
      <c r="U420" s="60">
        <f t="shared" si="20"/>
        <v>2011</v>
      </c>
      <c r="V420" s="59" t="str">
        <f>TEXT(F420/24,"H AM/PM")</f>
        <v>11 AM</v>
      </c>
      <c r="W420" s="59" t="str">
        <f>IF(H420=6,"Saturday",IF(H420=0,"Sunday",IF(H420=1,"Monday",IF(H420=2,"Tuesday",IF(H420=3,"Wednesday",IF(H420=4,"Thursday",IF(H420=5,"Friday")))))))</f>
        <v>Wednesday</v>
      </c>
      <c r="X420" s="59" t="str">
        <f>IF(G420=FALSE,"Working day", IF(G420=TRUE,"Holiday"))</f>
        <v>Working day</v>
      </c>
    </row>
    <row r="421" spans="1:24" x14ac:dyDescent="0.25">
      <c r="A421" s="32">
        <v>420</v>
      </c>
      <c r="B421" s="33">
        <v>40562</v>
      </c>
      <c r="C421" s="26">
        <v>1</v>
      </c>
      <c r="D421" s="26">
        <v>0</v>
      </c>
      <c r="E421" s="26">
        <v>1</v>
      </c>
      <c r="F421" s="26">
        <v>12</v>
      </c>
      <c r="G421" s="26" t="b">
        <v>0</v>
      </c>
      <c r="H421" s="26">
        <v>3</v>
      </c>
      <c r="I421" s="26">
        <v>2</v>
      </c>
      <c r="J421" s="26">
        <v>0.3</v>
      </c>
      <c r="K421" s="26">
        <v>0.40910000000000002</v>
      </c>
      <c r="L421" s="26">
        <v>0.81</v>
      </c>
      <c r="M421">
        <v>8.9599999999999999E-2</v>
      </c>
      <c r="N421" s="26">
        <v>5</v>
      </c>
      <c r="O421" s="26">
        <v>65</v>
      </c>
      <c r="P421" s="26">
        <v>70</v>
      </c>
      <c r="Q421" s="34" t="str">
        <f t="shared" si="18"/>
        <v>Cloudy</v>
      </c>
      <c r="R421" s="41" t="str">
        <f>IF(I421=1,"Normal",IF(I421=2,"Yellow Alert",IF(I421=3,"Orange Alert",IF(I421=4,"Red Alert"))))</f>
        <v>Yellow Alert</v>
      </c>
      <c r="S421" s="60">
        <f t="shared" si="19"/>
        <v>19</v>
      </c>
      <c r="T421" s="60">
        <f>MONTH(dataset_1!B:B)</f>
        <v>1</v>
      </c>
      <c r="U421" s="60">
        <f t="shared" si="20"/>
        <v>2011</v>
      </c>
      <c r="V421" s="59" t="str">
        <f>TEXT(F421/24,"H AM/PM")</f>
        <v>12 PM</v>
      </c>
      <c r="W421" s="59" t="str">
        <f>IF(H421=6,"Saturday",IF(H421=0,"Sunday",IF(H421=1,"Monday",IF(H421=2,"Tuesday",IF(H421=3,"Wednesday",IF(H421=4,"Thursday",IF(H421=5,"Friday")))))))</f>
        <v>Wednesday</v>
      </c>
      <c r="X421" s="59" t="str">
        <f>IF(G421=FALSE,"Working day", IF(G421=TRUE,"Holiday"))</f>
        <v>Working day</v>
      </c>
    </row>
    <row r="422" spans="1:24" x14ac:dyDescent="0.25">
      <c r="A422" s="32">
        <v>421</v>
      </c>
      <c r="B422" s="33">
        <v>40562</v>
      </c>
      <c r="C422" s="26">
        <v>1</v>
      </c>
      <c r="D422" s="26">
        <v>0</v>
      </c>
      <c r="E422" s="26">
        <v>1</v>
      </c>
      <c r="F422" s="26">
        <v>13</v>
      </c>
      <c r="G422" s="26" t="b">
        <v>0</v>
      </c>
      <c r="H422" s="26">
        <v>3</v>
      </c>
      <c r="I422" s="26">
        <v>1</v>
      </c>
      <c r="J422" s="26">
        <v>0.4</v>
      </c>
      <c r="K422" s="26">
        <v>0.40910000000000002</v>
      </c>
      <c r="L422" s="26">
        <v>0.62</v>
      </c>
      <c r="M422">
        <v>0.28360000000000002</v>
      </c>
      <c r="N422" s="26">
        <v>11</v>
      </c>
      <c r="O422" s="26">
        <v>67</v>
      </c>
      <c r="P422" s="26">
        <v>78</v>
      </c>
      <c r="Q422" s="34" t="str">
        <f t="shared" si="18"/>
        <v>Clear</v>
      </c>
      <c r="R422" s="41" t="str">
        <f>IF(I422=1,"Normal",IF(I422=2,"Yellow Alert",IF(I422=3,"Orange Alert",IF(I422=4,"Red Alert"))))</f>
        <v>Normal</v>
      </c>
      <c r="S422" s="60">
        <f t="shared" si="19"/>
        <v>19</v>
      </c>
      <c r="T422" s="60">
        <f>MONTH(dataset_1!B:B)</f>
        <v>1</v>
      </c>
      <c r="U422" s="60">
        <f t="shared" si="20"/>
        <v>2011</v>
      </c>
      <c r="V422" s="59" t="str">
        <f>TEXT(F422/24,"H AM/PM")</f>
        <v>1 PM</v>
      </c>
      <c r="W422" s="59" t="str">
        <f>IF(H422=6,"Saturday",IF(H422=0,"Sunday",IF(H422=1,"Monday",IF(H422=2,"Tuesday",IF(H422=3,"Wednesday",IF(H422=4,"Thursday",IF(H422=5,"Friday")))))))</f>
        <v>Wednesday</v>
      </c>
      <c r="X422" s="59" t="str">
        <f>IF(G422=FALSE,"Working day", IF(G422=TRUE,"Holiday"))</f>
        <v>Working day</v>
      </c>
    </row>
    <row r="423" spans="1:24" x14ac:dyDescent="0.25">
      <c r="A423" s="32">
        <v>422</v>
      </c>
      <c r="B423" s="33">
        <v>40562</v>
      </c>
      <c r="C423" s="26">
        <v>1</v>
      </c>
      <c r="D423" s="26">
        <v>0</v>
      </c>
      <c r="E423" s="26">
        <v>1</v>
      </c>
      <c r="F423" s="26">
        <v>14</v>
      </c>
      <c r="G423" s="26" t="b">
        <v>0</v>
      </c>
      <c r="H423" s="26">
        <v>3</v>
      </c>
      <c r="I423" s="26">
        <v>1</v>
      </c>
      <c r="J423" s="26">
        <v>0.4</v>
      </c>
      <c r="K423" s="26">
        <v>0.40910000000000002</v>
      </c>
      <c r="L423" s="26">
        <v>0.57999999999999996</v>
      </c>
      <c r="M423">
        <v>0.25369999999999998</v>
      </c>
      <c r="N423" s="26">
        <v>7</v>
      </c>
      <c r="O423" s="26">
        <v>68</v>
      </c>
      <c r="P423" s="26">
        <v>75</v>
      </c>
      <c r="Q423" s="34" t="str">
        <f t="shared" si="18"/>
        <v>Clear</v>
      </c>
      <c r="R423" s="41" t="str">
        <f>IF(I423=1,"Normal",IF(I423=2,"Yellow Alert",IF(I423=3,"Orange Alert",IF(I423=4,"Red Alert"))))</f>
        <v>Normal</v>
      </c>
      <c r="S423" s="60">
        <f t="shared" si="19"/>
        <v>19</v>
      </c>
      <c r="T423" s="60">
        <f>MONTH(dataset_1!B:B)</f>
        <v>1</v>
      </c>
      <c r="U423" s="60">
        <f t="shared" si="20"/>
        <v>2011</v>
      </c>
      <c r="V423" s="59" t="str">
        <f>TEXT(F423/24,"H AM/PM")</f>
        <v>2 PM</v>
      </c>
      <c r="W423" s="59" t="str">
        <f>IF(H423=6,"Saturday",IF(H423=0,"Sunday",IF(H423=1,"Monday",IF(H423=2,"Tuesday",IF(H423=3,"Wednesday",IF(H423=4,"Thursday",IF(H423=5,"Friday")))))))</f>
        <v>Wednesday</v>
      </c>
      <c r="X423" s="59" t="str">
        <f>IF(G423=FALSE,"Working day", IF(G423=TRUE,"Holiday"))</f>
        <v>Working day</v>
      </c>
    </row>
    <row r="424" spans="1:24" x14ac:dyDescent="0.25">
      <c r="A424" s="32">
        <v>423</v>
      </c>
      <c r="B424" s="33">
        <v>40562</v>
      </c>
      <c r="C424" s="26">
        <v>1</v>
      </c>
      <c r="D424" s="26">
        <v>0</v>
      </c>
      <c r="E424" s="26">
        <v>1</v>
      </c>
      <c r="F424" s="26">
        <v>15</v>
      </c>
      <c r="G424" s="26" t="b">
        <v>0</v>
      </c>
      <c r="H424" s="26">
        <v>3</v>
      </c>
      <c r="I424" s="26">
        <v>1</v>
      </c>
      <c r="J424" s="26">
        <v>0.4</v>
      </c>
      <c r="K424" s="26">
        <v>0.39389999999999997</v>
      </c>
      <c r="L424" s="26">
        <v>0.54</v>
      </c>
      <c r="M424">
        <v>0.28360000000000002</v>
      </c>
      <c r="N424" s="26">
        <v>4</v>
      </c>
      <c r="O424" s="26">
        <v>78</v>
      </c>
      <c r="P424" s="26">
        <v>82</v>
      </c>
      <c r="Q424" s="34" t="str">
        <f t="shared" si="18"/>
        <v>Clear</v>
      </c>
      <c r="R424" s="41" t="str">
        <f>IF(I424=1,"Normal",IF(I424=2,"Yellow Alert",IF(I424=3,"Orange Alert",IF(I424=4,"Red Alert"))))</f>
        <v>Normal</v>
      </c>
      <c r="S424" s="60">
        <f t="shared" si="19"/>
        <v>19</v>
      </c>
      <c r="T424" s="60">
        <f>MONTH(dataset_1!B:B)</f>
        <v>1</v>
      </c>
      <c r="U424" s="60">
        <f t="shared" si="20"/>
        <v>2011</v>
      </c>
      <c r="V424" s="59" t="str">
        <f>TEXT(F424/24,"H AM/PM")</f>
        <v>3 PM</v>
      </c>
      <c r="W424" s="59" t="str">
        <f>IF(H424=6,"Saturday",IF(H424=0,"Sunday",IF(H424=1,"Monday",IF(H424=2,"Tuesday",IF(H424=3,"Wednesday",IF(H424=4,"Thursday",IF(H424=5,"Friday")))))))</f>
        <v>Wednesday</v>
      </c>
      <c r="X424" s="59" t="str">
        <f>IF(G424=FALSE,"Working day", IF(G424=TRUE,"Holiday"))</f>
        <v>Working day</v>
      </c>
    </row>
    <row r="425" spans="1:24" x14ac:dyDescent="0.25">
      <c r="A425" s="32">
        <v>424</v>
      </c>
      <c r="B425" s="33">
        <v>40562</v>
      </c>
      <c r="C425" s="26">
        <v>1</v>
      </c>
      <c r="D425" s="26">
        <v>0</v>
      </c>
      <c r="E425" s="26">
        <v>1</v>
      </c>
      <c r="F425" s="26">
        <v>16</v>
      </c>
      <c r="G425" s="26" t="b">
        <v>0</v>
      </c>
      <c r="H425" s="26">
        <v>3</v>
      </c>
      <c r="I425" s="26">
        <v>1</v>
      </c>
      <c r="J425" s="26">
        <v>0.38</v>
      </c>
      <c r="K425" s="26">
        <v>0.33329999999999999</v>
      </c>
      <c r="L425" s="26">
        <v>0.57999999999999996</v>
      </c>
      <c r="M425">
        <v>0.3881</v>
      </c>
      <c r="N425" s="26">
        <v>10</v>
      </c>
      <c r="O425" s="26">
        <v>94</v>
      </c>
      <c r="P425" s="26">
        <v>104</v>
      </c>
      <c r="Q425" s="34" t="str">
        <f t="shared" si="18"/>
        <v>Clear</v>
      </c>
      <c r="R425" s="41" t="str">
        <f>IF(I425=1,"Normal",IF(I425=2,"Yellow Alert",IF(I425=3,"Orange Alert",IF(I425=4,"Red Alert"))))</f>
        <v>Normal</v>
      </c>
      <c r="S425" s="60">
        <f t="shared" si="19"/>
        <v>19</v>
      </c>
      <c r="T425" s="60">
        <f>MONTH(dataset_1!B:B)</f>
        <v>1</v>
      </c>
      <c r="U425" s="60">
        <f t="shared" si="20"/>
        <v>2011</v>
      </c>
      <c r="V425" s="59" t="str">
        <f>TEXT(F425/24,"H AM/PM")</f>
        <v>4 PM</v>
      </c>
      <c r="W425" s="59" t="str">
        <f>IF(H425=6,"Saturday",IF(H425=0,"Sunday",IF(H425=1,"Monday",IF(H425=2,"Tuesday",IF(H425=3,"Wednesday",IF(H425=4,"Thursday",IF(H425=5,"Friday")))))))</f>
        <v>Wednesday</v>
      </c>
      <c r="X425" s="59" t="str">
        <f>IF(G425=FALSE,"Working day", IF(G425=TRUE,"Holiday"))</f>
        <v>Working day</v>
      </c>
    </row>
    <row r="426" spans="1:24" x14ac:dyDescent="0.25">
      <c r="A426" s="32">
        <v>425</v>
      </c>
      <c r="B426" s="33">
        <v>40562</v>
      </c>
      <c r="C426" s="26">
        <v>1</v>
      </c>
      <c r="D426" s="26">
        <v>0</v>
      </c>
      <c r="E426" s="26">
        <v>1</v>
      </c>
      <c r="F426" s="26">
        <v>17</v>
      </c>
      <c r="G426" s="26" t="b">
        <v>0</v>
      </c>
      <c r="H426" s="26">
        <v>3</v>
      </c>
      <c r="I426" s="26">
        <v>1</v>
      </c>
      <c r="J426" s="26">
        <v>0.36</v>
      </c>
      <c r="K426" s="26">
        <v>0.31819999999999998</v>
      </c>
      <c r="L426" s="26">
        <v>0.56999999999999995</v>
      </c>
      <c r="M426">
        <v>0.32840000000000003</v>
      </c>
      <c r="N426" s="26">
        <v>7</v>
      </c>
      <c r="O426" s="26">
        <v>190</v>
      </c>
      <c r="P426" s="26">
        <v>197</v>
      </c>
      <c r="Q426" s="34" t="str">
        <f t="shared" si="18"/>
        <v>Clear</v>
      </c>
      <c r="R426" s="41" t="str">
        <f>IF(I426=1,"Normal",IF(I426=2,"Yellow Alert",IF(I426=3,"Orange Alert",IF(I426=4,"Red Alert"))))</f>
        <v>Normal</v>
      </c>
      <c r="S426" s="60">
        <f t="shared" si="19"/>
        <v>19</v>
      </c>
      <c r="T426" s="60">
        <f>MONTH(dataset_1!B:B)</f>
        <v>1</v>
      </c>
      <c r="U426" s="60">
        <f t="shared" si="20"/>
        <v>2011</v>
      </c>
      <c r="V426" s="59" t="str">
        <f>TEXT(F426/24,"H AM/PM")</f>
        <v>5 PM</v>
      </c>
      <c r="W426" s="59" t="str">
        <f>IF(H426=6,"Saturday",IF(H426=0,"Sunday",IF(H426=1,"Monday",IF(H426=2,"Tuesday",IF(H426=3,"Wednesday",IF(H426=4,"Thursday",IF(H426=5,"Friday")))))))</f>
        <v>Wednesday</v>
      </c>
      <c r="X426" s="59" t="str">
        <f>IF(G426=FALSE,"Working day", IF(G426=TRUE,"Holiday"))</f>
        <v>Working day</v>
      </c>
    </row>
    <row r="427" spans="1:24" x14ac:dyDescent="0.25">
      <c r="A427" s="32">
        <v>426</v>
      </c>
      <c r="B427" s="33">
        <v>40562</v>
      </c>
      <c r="C427" s="26">
        <v>1</v>
      </c>
      <c r="D427" s="26">
        <v>0</v>
      </c>
      <c r="E427" s="26">
        <v>1</v>
      </c>
      <c r="F427" s="26">
        <v>18</v>
      </c>
      <c r="G427" s="26" t="b">
        <v>0</v>
      </c>
      <c r="H427" s="26">
        <v>3</v>
      </c>
      <c r="I427" s="26">
        <v>1</v>
      </c>
      <c r="J427" s="26">
        <v>0.34</v>
      </c>
      <c r="K427" s="26">
        <v>0.28789999999999999</v>
      </c>
      <c r="L427" s="26">
        <v>0.61</v>
      </c>
      <c r="M427">
        <v>0.28360000000000002</v>
      </c>
      <c r="N427" s="26">
        <v>5</v>
      </c>
      <c r="O427" s="26">
        <v>156</v>
      </c>
      <c r="P427" s="26">
        <v>161</v>
      </c>
      <c r="Q427" s="34" t="str">
        <f t="shared" si="18"/>
        <v>Clear</v>
      </c>
      <c r="R427" s="41" t="str">
        <f>IF(I427=1,"Normal",IF(I427=2,"Yellow Alert",IF(I427=3,"Orange Alert",IF(I427=4,"Red Alert"))))</f>
        <v>Normal</v>
      </c>
      <c r="S427" s="60">
        <f t="shared" si="19"/>
        <v>19</v>
      </c>
      <c r="T427" s="60">
        <f>MONTH(dataset_1!B:B)</f>
        <v>1</v>
      </c>
      <c r="U427" s="60">
        <f t="shared" si="20"/>
        <v>2011</v>
      </c>
      <c r="V427" s="59" t="str">
        <f>TEXT(F427/24,"H AM/PM")</f>
        <v>6 PM</v>
      </c>
      <c r="W427" s="59" t="str">
        <f>IF(H427=6,"Saturday",IF(H427=0,"Sunday",IF(H427=1,"Monday",IF(H427=2,"Tuesday",IF(H427=3,"Wednesday",IF(H427=4,"Thursday",IF(H427=5,"Friday")))))))</f>
        <v>Wednesday</v>
      </c>
      <c r="X427" s="59" t="str">
        <f>IF(G427=FALSE,"Working day", IF(G427=TRUE,"Holiday"))</f>
        <v>Working day</v>
      </c>
    </row>
    <row r="428" spans="1:24" x14ac:dyDescent="0.25">
      <c r="A428" s="32">
        <v>427</v>
      </c>
      <c r="B428" s="33">
        <v>40562</v>
      </c>
      <c r="C428" s="26">
        <v>1</v>
      </c>
      <c r="D428" s="26">
        <v>0</v>
      </c>
      <c r="E428" s="26">
        <v>1</v>
      </c>
      <c r="F428" s="26">
        <v>19</v>
      </c>
      <c r="G428" s="26" t="b">
        <v>0</v>
      </c>
      <c r="H428" s="26">
        <v>3</v>
      </c>
      <c r="I428" s="26">
        <v>1</v>
      </c>
      <c r="J428" s="26">
        <v>0.32</v>
      </c>
      <c r="K428" s="26">
        <v>0.30299999999999999</v>
      </c>
      <c r="L428" s="26">
        <v>0.56999999999999995</v>
      </c>
      <c r="M428">
        <v>0.41789999999999999</v>
      </c>
      <c r="N428" s="26">
        <v>4</v>
      </c>
      <c r="O428" s="26">
        <v>108</v>
      </c>
      <c r="P428" s="26">
        <v>112</v>
      </c>
      <c r="Q428" s="34" t="str">
        <f t="shared" si="18"/>
        <v>Clear</v>
      </c>
      <c r="R428" s="41" t="str">
        <f>IF(I428=1,"Normal",IF(I428=2,"Yellow Alert",IF(I428=3,"Orange Alert",IF(I428=4,"Red Alert"))))</f>
        <v>Normal</v>
      </c>
      <c r="S428" s="60">
        <f t="shared" si="19"/>
        <v>19</v>
      </c>
      <c r="T428" s="60">
        <f>MONTH(dataset_1!B:B)</f>
        <v>1</v>
      </c>
      <c r="U428" s="60">
        <f t="shared" si="20"/>
        <v>2011</v>
      </c>
      <c r="V428" s="59" t="str">
        <f>TEXT(F428/24,"H AM/PM")</f>
        <v>7 PM</v>
      </c>
      <c r="W428" s="59" t="str">
        <f>IF(H428=6,"Saturday",IF(H428=0,"Sunday",IF(H428=1,"Monday",IF(H428=2,"Tuesday",IF(H428=3,"Wednesday",IF(H428=4,"Thursday",IF(H428=5,"Friday")))))))</f>
        <v>Wednesday</v>
      </c>
      <c r="X428" s="59" t="str">
        <f>IF(G428=FALSE,"Working day", IF(G428=TRUE,"Holiday"))</f>
        <v>Working day</v>
      </c>
    </row>
    <row r="429" spans="1:24" x14ac:dyDescent="0.25">
      <c r="A429" s="32">
        <v>428</v>
      </c>
      <c r="B429" s="33">
        <v>40562</v>
      </c>
      <c r="C429" s="26">
        <v>1</v>
      </c>
      <c r="D429" s="26">
        <v>0</v>
      </c>
      <c r="E429" s="26">
        <v>1</v>
      </c>
      <c r="F429" s="26">
        <v>20</v>
      </c>
      <c r="G429" s="26" t="b">
        <v>0</v>
      </c>
      <c r="H429" s="26">
        <v>3</v>
      </c>
      <c r="I429" s="26">
        <v>1</v>
      </c>
      <c r="J429" s="26">
        <v>0.32</v>
      </c>
      <c r="K429" s="26">
        <v>0.28789999999999999</v>
      </c>
      <c r="L429" s="26">
        <v>0.49</v>
      </c>
      <c r="M429">
        <v>0.29849999999999999</v>
      </c>
      <c r="N429" s="26">
        <v>2</v>
      </c>
      <c r="O429" s="26">
        <v>74</v>
      </c>
      <c r="P429" s="26">
        <v>76</v>
      </c>
      <c r="Q429" s="34" t="str">
        <f t="shared" si="18"/>
        <v>Clear</v>
      </c>
      <c r="R429" s="41" t="str">
        <f>IF(I429=1,"Normal",IF(I429=2,"Yellow Alert",IF(I429=3,"Orange Alert",IF(I429=4,"Red Alert"))))</f>
        <v>Normal</v>
      </c>
      <c r="S429" s="60">
        <f t="shared" si="19"/>
        <v>19</v>
      </c>
      <c r="T429" s="60">
        <f>MONTH(dataset_1!B:B)</f>
        <v>1</v>
      </c>
      <c r="U429" s="60">
        <f t="shared" si="20"/>
        <v>2011</v>
      </c>
      <c r="V429" s="59" t="str">
        <f>TEXT(F429/24,"H AM/PM")</f>
        <v>8 PM</v>
      </c>
      <c r="W429" s="59" t="str">
        <f>IF(H429=6,"Saturday",IF(H429=0,"Sunday",IF(H429=1,"Monday",IF(H429=2,"Tuesday",IF(H429=3,"Wednesday",IF(H429=4,"Thursday",IF(H429=5,"Friday")))))))</f>
        <v>Wednesday</v>
      </c>
      <c r="X429" s="59" t="str">
        <f>IF(G429=FALSE,"Working day", IF(G429=TRUE,"Holiday"))</f>
        <v>Working day</v>
      </c>
    </row>
    <row r="430" spans="1:24" x14ac:dyDescent="0.25">
      <c r="A430" s="32">
        <v>429</v>
      </c>
      <c r="B430" s="33">
        <v>40562</v>
      </c>
      <c r="C430" s="26">
        <v>1</v>
      </c>
      <c r="D430" s="26">
        <v>0</v>
      </c>
      <c r="E430" s="26">
        <v>1</v>
      </c>
      <c r="F430" s="26">
        <v>21</v>
      </c>
      <c r="G430" s="26" t="b">
        <v>0</v>
      </c>
      <c r="H430" s="26">
        <v>3</v>
      </c>
      <c r="I430" s="26">
        <v>1</v>
      </c>
      <c r="J430" s="26">
        <v>0.32</v>
      </c>
      <c r="K430" s="26">
        <v>0.30299999999999999</v>
      </c>
      <c r="L430" s="26">
        <v>0.49</v>
      </c>
      <c r="M430">
        <v>0.41789999999999999</v>
      </c>
      <c r="N430" s="26">
        <v>4</v>
      </c>
      <c r="O430" s="26">
        <v>55</v>
      </c>
      <c r="P430" s="26">
        <v>59</v>
      </c>
      <c r="Q430" s="34" t="str">
        <f t="shared" si="18"/>
        <v>Clear</v>
      </c>
      <c r="R430" s="41" t="str">
        <f>IF(I430=1,"Normal",IF(I430=2,"Yellow Alert",IF(I430=3,"Orange Alert",IF(I430=4,"Red Alert"))))</f>
        <v>Normal</v>
      </c>
      <c r="S430" s="60">
        <f t="shared" si="19"/>
        <v>19</v>
      </c>
      <c r="T430" s="60">
        <f>MONTH(dataset_1!B:B)</f>
        <v>1</v>
      </c>
      <c r="U430" s="60">
        <f t="shared" si="20"/>
        <v>2011</v>
      </c>
      <c r="V430" s="59" t="str">
        <f>TEXT(F430/24,"H AM/PM")</f>
        <v>9 PM</v>
      </c>
      <c r="W430" s="59" t="str">
        <f>IF(H430=6,"Saturday",IF(H430=0,"Sunday",IF(H430=1,"Monday",IF(H430=2,"Tuesday",IF(H430=3,"Wednesday",IF(H430=4,"Thursday",IF(H430=5,"Friday")))))))</f>
        <v>Wednesday</v>
      </c>
      <c r="X430" s="59" t="str">
        <f>IF(G430=FALSE,"Working day", IF(G430=TRUE,"Holiday"))</f>
        <v>Working day</v>
      </c>
    </row>
    <row r="431" spans="1:24" x14ac:dyDescent="0.25">
      <c r="A431" s="32">
        <v>430</v>
      </c>
      <c r="B431" s="33">
        <v>40562</v>
      </c>
      <c r="C431" s="26">
        <v>1</v>
      </c>
      <c r="D431" s="26">
        <v>0</v>
      </c>
      <c r="E431" s="26">
        <v>1</v>
      </c>
      <c r="F431" s="26">
        <v>22</v>
      </c>
      <c r="G431" s="26" t="b">
        <v>0</v>
      </c>
      <c r="H431" s="26">
        <v>3</v>
      </c>
      <c r="I431" s="26">
        <v>1</v>
      </c>
      <c r="J431" s="26">
        <v>0.3</v>
      </c>
      <c r="K431" s="26">
        <v>0.2727</v>
      </c>
      <c r="L431" s="26">
        <v>0.52</v>
      </c>
      <c r="M431">
        <v>0.16420000000000001</v>
      </c>
      <c r="N431" s="26">
        <v>6</v>
      </c>
      <c r="O431" s="26">
        <v>53</v>
      </c>
      <c r="P431" s="26">
        <v>59</v>
      </c>
      <c r="Q431" s="34" t="str">
        <f t="shared" si="18"/>
        <v>Clear</v>
      </c>
      <c r="R431" s="41" t="str">
        <f>IF(I431=1,"Normal",IF(I431=2,"Yellow Alert",IF(I431=3,"Orange Alert",IF(I431=4,"Red Alert"))))</f>
        <v>Normal</v>
      </c>
      <c r="S431" s="60">
        <f t="shared" si="19"/>
        <v>19</v>
      </c>
      <c r="T431" s="60">
        <f>MONTH(dataset_1!B:B)</f>
        <v>1</v>
      </c>
      <c r="U431" s="60">
        <f t="shared" si="20"/>
        <v>2011</v>
      </c>
      <c r="V431" s="59" t="str">
        <f>TEXT(F431/24,"H AM/PM")</f>
        <v>10 PM</v>
      </c>
      <c r="W431" s="59" t="str">
        <f>IF(H431=6,"Saturday",IF(H431=0,"Sunday",IF(H431=1,"Monday",IF(H431=2,"Tuesday",IF(H431=3,"Wednesday",IF(H431=4,"Thursday",IF(H431=5,"Friday")))))))</f>
        <v>Wednesday</v>
      </c>
      <c r="X431" s="59" t="str">
        <f>IF(G431=FALSE,"Working day", IF(G431=TRUE,"Holiday"))</f>
        <v>Working day</v>
      </c>
    </row>
    <row r="432" spans="1:24" x14ac:dyDescent="0.25">
      <c r="A432" s="32">
        <v>431</v>
      </c>
      <c r="B432" s="33">
        <v>40562</v>
      </c>
      <c r="C432" s="26">
        <v>1</v>
      </c>
      <c r="D432" s="26">
        <v>0</v>
      </c>
      <c r="E432" s="26">
        <v>1</v>
      </c>
      <c r="F432" s="26">
        <v>23</v>
      </c>
      <c r="G432" s="26" t="b">
        <v>0</v>
      </c>
      <c r="H432" s="26">
        <v>3</v>
      </c>
      <c r="I432" s="26">
        <v>1</v>
      </c>
      <c r="J432" s="26">
        <v>0.3</v>
      </c>
      <c r="K432" s="26">
        <v>0.2273</v>
      </c>
      <c r="L432" s="26">
        <v>0.52</v>
      </c>
      <c r="M432">
        <v>0.4627</v>
      </c>
      <c r="N432" s="26">
        <v>1</v>
      </c>
      <c r="O432" s="26">
        <v>27</v>
      </c>
      <c r="P432" s="26">
        <v>28</v>
      </c>
      <c r="Q432" s="34" t="str">
        <f t="shared" si="18"/>
        <v>Clear</v>
      </c>
      <c r="R432" s="41" t="str">
        <f>IF(I432=1,"Normal",IF(I432=2,"Yellow Alert",IF(I432=3,"Orange Alert",IF(I432=4,"Red Alert"))))</f>
        <v>Normal</v>
      </c>
      <c r="S432" s="60">
        <f t="shared" si="19"/>
        <v>19</v>
      </c>
      <c r="T432" s="60">
        <f>MONTH(dataset_1!B:B)</f>
        <v>1</v>
      </c>
      <c r="U432" s="60">
        <f t="shared" si="20"/>
        <v>2011</v>
      </c>
      <c r="V432" s="59" t="str">
        <f>TEXT(F432/24,"H AM/PM")</f>
        <v>11 PM</v>
      </c>
      <c r="W432" s="59" t="str">
        <f>IF(H432=6,"Saturday",IF(H432=0,"Sunday",IF(H432=1,"Monday",IF(H432=2,"Tuesday",IF(H432=3,"Wednesday",IF(H432=4,"Thursday",IF(H432=5,"Friday")))))))</f>
        <v>Wednesday</v>
      </c>
      <c r="X432" s="59" t="str">
        <f>IF(G432=FALSE,"Working day", IF(G432=TRUE,"Holiday"))</f>
        <v>Working day</v>
      </c>
    </row>
    <row r="433" spans="1:24" x14ac:dyDescent="0.25">
      <c r="A433" s="32">
        <v>432</v>
      </c>
      <c r="B433" s="33">
        <v>40563</v>
      </c>
      <c r="C433" s="26">
        <v>1</v>
      </c>
      <c r="D433" s="26">
        <v>0</v>
      </c>
      <c r="E433" s="26">
        <v>1</v>
      </c>
      <c r="F433" s="26">
        <v>0</v>
      </c>
      <c r="G433" s="26" t="b">
        <v>0</v>
      </c>
      <c r="H433" s="26">
        <v>4</v>
      </c>
      <c r="I433" s="26">
        <v>1</v>
      </c>
      <c r="J433" s="26">
        <v>0.26</v>
      </c>
      <c r="K433" s="26">
        <v>0.2727</v>
      </c>
      <c r="L433" s="26">
        <v>0.56000000000000005</v>
      </c>
      <c r="M433">
        <v>0.3881</v>
      </c>
      <c r="N433" s="26">
        <v>5</v>
      </c>
      <c r="O433" s="26">
        <v>8</v>
      </c>
      <c r="P433" s="26">
        <v>13</v>
      </c>
      <c r="Q433" s="34" t="str">
        <f t="shared" si="18"/>
        <v>Clear</v>
      </c>
      <c r="R433" s="41" t="str">
        <f>IF(I433=1,"Normal",IF(I433=2,"Yellow Alert",IF(I433=3,"Orange Alert",IF(I433=4,"Red Alert"))))</f>
        <v>Normal</v>
      </c>
      <c r="S433" s="60">
        <f t="shared" si="19"/>
        <v>20</v>
      </c>
      <c r="T433" s="60">
        <f>MONTH(dataset_1!B:B)</f>
        <v>1</v>
      </c>
      <c r="U433" s="60">
        <f t="shared" si="20"/>
        <v>2011</v>
      </c>
      <c r="V433" s="59" t="str">
        <f>TEXT(F433/24,"H AM/PM")</f>
        <v>12 AM</v>
      </c>
      <c r="W433" s="59" t="str">
        <f>IF(H433=6,"Saturday",IF(H433=0,"Sunday",IF(H433=1,"Monday",IF(H433=2,"Tuesday",IF(H433=3,"Wednesday",IF(H433=4,"Thursday",IF(H433=5,"Friday")))))))</f>
        <v>Thursday</v>
      </c>
      <c r="X433" s="59" t="str">
        <f>IF(G433=FALSE,"Working day", IF(G433=TRUE,"Holiday"))</f>
        <v>Working day</v>
      </c>
    </row>
    <row r="434" spans="1:24" x14ac:dyDescent="0.25">
      <c r="A434" s="32">
        <v>433</v>
      </c>
      <c r="B434" s="33">
        <v>40563</v>
      </c>
      <c r="C434" s="26">
        <v>1</v>
      </c>
      <c r="D434" s="26">
        <v>0</v>
      </c>
      <c r="E434" s="26">
        <v>1</v>
      </c>
      <c r="F434" s="26">
        <v>1</v>
      </c>
      <c r="G434" s="26" t="b">
        <v>0</v>
      </c>
      <c r="H434" s="26">
        <v>4</v>
      </c>
      <c r="I434" s="26">
        <v>1</v>
      </c>
      <c r="J434" s="26">
        <v>0.26</v>
      </c>
      <c r="K434" s="26">
        <v>0.2727</v>
      </c>
      <c r="L434" s="26">
        <v>0.56000000000000005</v>
      </c>
      <c r="M434">
        <v>0</v>
      </c>
      <c r="N434" s="26">
        <v>2</v>
      </c>
      <c r="O434" s="26">
        <v>3</v>
      </c>
      <c r="P434" s="26">
        <v>5</v>
      </c>
      <c r="Q434" s="34" t="str">
        <f t="shared" si="18"/>
        <v>Clear</v>
      </c>
      <c r="R434" s="41" t="str">
        <f>IF(I434=1,"Normal",IF(I434=2,"Yellow Alert",IF(I434=3,"Orange Alert",IF(I434=4,"Red Alert"))))</f>
        <v>Normal</v>
      </c>
      <c r="S434" s="60">
        <f t="shared" si="19"/>
        <v>20</v>
      </c>
      <c r="T434" s="60">
        <f>MONTH(dataset_1!B:B)</f>
        <v>1</v>
      </c>
      <c r="U434" s="60">
        <f t="shared" si="20"/>
        <v>2011</v>
      </c>
      <c r="V434" s="59" t="str">
        <f>TEXT(F434/24,"H AM/PM")</f>
        <v>1 AM</v>
      </c>
      <c r="W434" s="59" t="str">
        <f>IF(H434=6,"Saturday",IF(H434=0,"Sunday",IF(H434=1,"Monday",IF(H434=2,"Tuesday",IF(H434=3,"Wednesday",IF(H434=4,"Thursday",IF(H434=5,"Friday")))))))</f>
        <v>Thursday</v>
      </c>
      <c r="X434" s="59" t="str">
        <f>IF(G434=FALSE,"Working day", IF(G434=TRUE,"Holiday"))</f>
        <v>Working day</v>
      </c>
    </row>
    <row r="435" spans="1:24" x14ac:dyDescent="0.25">
      <c r="A435" s="32">
        <v>434</v>
      </c>
      <c r="B435" s="33">
        <v>40563</v>
      </c>
      <c r="C435" s="26">
        <v>1</v>
      </c>
      <c r="D435" s="26">
        <v>0</v>
      </c>
      <c r="E435" s="26">
        <v>1</v>
      </c>
      <c r="F435" s="26">
        <v>2</v>
      </c>
      <c r="G435" s="26" t="b">
        <v>0</v>
      </c>
      <c r="H435" s="26">
        <v>4</v>
      </c>
      <c r="I435" s="26">
        <v>1</v>
      </c>
      <c r="J435" s="26">
        <v>0.26</v>
      </c>
      <c r="K435" s="26">
        <v>0.2576</v>
      </c>
      <c r="L435" s="26">
        <v>0.56000000000000005</v>
      </c>
      <c r="M435">
        <v>0</v>
      </c>
      <c r="N435" s="26">
        <v>0</v>
      </c>
      <c r="O435" s="26">
        <v>2</v>
      </c>
      <c r="P435" s="26">
        <v>2</v>
      </c>
      <c r="Q435" s="34" t="str">
        <f t="shared" si="18"/>
        <v>Clear</v>
      </c>
      <c r="R435" s="41" t="str">
        <f>IF(I435=1,"Normal",IF(I435=2,"Yellow Alert",IF(I435=3,"Orange Alert",IF(I435=4,"Red Alert"))))</f>
        <v>Normal</v>
      </c>
      <c r="S435" s="60">
        <f t="shared" si="19"/>
        <v>20</v>
      </c>
      <c r="T435" s="60">
        <f>MONTH(dataset_1!B:B)</f>
        <v>1</v>
      </c>
      <c r="U435" s="60">
        <f t="shared" si="20"/>
        <v>2011</v>
      </c>
      <c r="V435" s="59" t="str">
        <f>TEXT(F435/24,"H AM/PM")</f>
        <v>2 AM</v>
      </c>
      <c r="W435" s="59" t="str">
        <f>IF(H435=6,"Saturday",IF(H435=0,"Sunday",IF(H435=1,"Monday",IF(H435=2,"Tuesday",IF(H435=3,"Wednesday",IF(H435=4,"Thursday",IF(H435=5,"Friday")))))))</f>
        <v>Thursday</v>
      </c>
      <c r="X435" s="59" t="str">
        <f>IF(G435=FALSE,"Working day", IF(G435=TRUE,"Holiday"))</f>
        <v>Working day</v>
      </c>
    </row>
    <row r="436" spans="1:24" x14ac:dyDescent="0.25">
      <c r="A436" s="32">
        <v>435</v>
      </c>
      <c r="B436" s="33">
        <v>40563</v>
      </c>
      <c r="C436" s="26">
        <v>1</v>
      </c>
      <c r="D436" s="26">
        <v>0</v>
      </c>
      <c r="E436" s="26">
        <v>1</v>
      </c>
      <c r="F436" s="26">
        <v>3</v>
      </c>
      <c r="G436" s="26" t="b">
        <v>0</v>
      </c>
      <c r="H436" s="26">
        <v>4</v>
      </c>
      <c r="I436" s="26">
        <v>1</v>
      </c>
      <c r="J436" s="26">
        <v>0.26</v>
      </c>
      <c r="K436" s="26">
        <v>0.2576</v>
      </c>
      <c r="L436" s="26">
        <v>0.56000000000000005</v>
      </c>
      <c r="M436">
        <v>0.16420000000000001</v>
      </c>
      <c r="N436" s="26">
        <v>0</v>
      </c>
      <c r="O436" s="26">
        <v>1</v>
      </c>
      <c r="P436" s="26">
        <v>1</v>
      </c>
      <c r="Q436" s="34" t="str">
        <f t="shared" si="18"/>
        <v>Clear</v>
      </c>
      <c r="R436" s="41" t="str">
        <f>IF(I436=1,"Normal",IF(I436=2,"Yellow Alert",IF(I436=3,"Orange Alert",IF(I436=4,"Red Alert"))))</f>
        <v>Normal</v>
      </c>
      <c r="S436" s="60">
        <f t="shared" si="19"/>
        <v>20</v>
      </c>
      <c r="T436" s="60">
        <f>MONTH(dataset_1!B:B)</f>
        <v>1</v>
      </c>
      <c r="U436" s="60">
        <f t="shared" si="20"/>
        <v>2011</v>
      </c>
      <c r="V436" s="59" t="str">
        <f>TEXT(F436/24,"H AM/PM")</f>
        <v>3 AM</v>
      </c>
      <c r="W436" s="59" t="str">
        <f>IF(H436=6,"Saturday",IF(H436=0,"Sunday",IF(H436=1,"Monday",IF(H436=2,"Tuesday",IF(H436=3,"Wednesday",IF(H436=4,"Thursday",IF(H436=5,"Friday")))))))</f>
        <v>Thursday</v>
      </c>
      <c r="X436" s="59" t="str">
        <f>IF(G436=FALSE,"Working day", IF(G436=TRUE,"Holiday"))</f>
        <v>Working day</v>
      </c>
    </row>
    <row r="437" spans="1:24" x14ac:dyDescent="0.25">
      <c r="A437" s="32">
        <v>436</v>
      </c>
      <c r="B437" s="33">
        <v>40563</v>
      </c>
      <c r="C437" s="26">
        <v>1</v>
      </c>
      <c r="D437" s="26">
        <v>0</v>
      </c>
      <c r="E437" s="26">
        <v>1</v>
      </c>
      <c r="F437" s="26">
        <v>4</v>
      </c>
      <c r="G437" s="26" t="b">
        <v>0</v>
      </c>
      <c r="H437" s="26">
        <v>4</v>
      </c>
      <c r="I437" s="26">
        <v>1</v>
      </c>
      <c r="J437" s="26">
        <v>0.26</v>
      </c>
      <c r="K437" s="26">
        <v>0.2273</v>
      </c>
      <c r="L437" s="26">
        <v>0.56000000000000005</v>
      </c>
      <c r="M437">
        <v>0.16420000000000001</v>
      </c>
      <c r="N437" s="26">
        <v>0</v>
      </c>
      <c r="O437" s="26">
        <v>1</v>
      </c>
      <c r="P437" s="26">
        <v>1</v>
      </c>
      <c r="Q437" s="34" t="str">
        <f t="shared" si="18"/>
        <v>Clear</v>
      </c>
      <c r="R437" s="41" t="str">
        <f>IF(I437=1,"Normal",IF(I437=2,"Yellow Alert",IF(I437=3,"Orange Alert",IF(I437=4,"Red Alert"))))</f>
        <v>Normal</v>
      </c>
      <c r="S437" s="60">
        <f t="shared" si="19"/>
        <v>20</v>
      </c>
      <c r="T437" s="60">
        <f>MONTH(dataset_1!B:B)</f>
        <v>1</v>
      </c>
      <c r="U437" s="60">
        <f t="shared" si="20"/>
        <v>2011</v>
      </c>
      <c r="V437" s="59" t="str">
        <f>TEXT(F437/24,"H AM/PM")</f>
        <v>4 AM</v>
      </c>
      <c r="W437" s="59" t="str">
        <f>IF(H437=6,"Saturday",IF(H437=0,"Sunday",IF(H437=1,"Monday",IF(H437=2,"Tuesday",IF(H437=3,"Wednesday",IF(H437=4,"Thursday",IF(H437=5,"Friday")))))))</f>
        <v>Thursday</v>
      </c>
      <c r="X437" s="59" t="str">
        <f>IF(G437=FALSE,"Working day", IF(G437=TRUE,"Holiday"))</f>
        <v>Working day</v>
      </c>
    </row>
    <row r="438" spans="1:24" x14ac:dyDescent="0.25">
      <c r="A438" s="32">
        <v>437</v>
      </c>
      <c r="B438" s="33">
        <v>40563</v>
      </c>
      <c r="C438" s="26">
        <v>1</v>
      </c>
      <c r="D438" s="26">
        <v>0</v>
      </c>
      <c r="E438" s="26">
        <v>1</v>
      </c>
      <c r="F438" s="26">
        <v>5</v>
      </c>
      <c r="G438" s="26" t="b">
        <v>0</v>
      </c>
      <c r="H438" s="26">
        <v>4</v>
      </c>
      <c r="I438" s="26">
        <v>1</v>
      </c>
      <c r="J438" s="26">
        <v>0.24</v>
      </c>
      <c r="K438" s="26">
        <v>0.21210000000000001</v>
      </c>
      <c r="L438" s="26">
        <v>0.6</v>
      </c>
      <c r="M438">
        <v>0.22389999999999999</v>
      </c>
      <c r="N438" s="26">
        <v>0</v>
      </c>
      <c r="O438" s="26">
        <v>6</v>
      </c>
      <c r="P438" s="26">
        <v>6</v>
      </c>
      <c r="Q438" s="34" t="str">
        <f t="shared" si="18"/>
        <v>Clear</v>
      </c>
      <c r="R438" s="41" t="str">
        <f>IF(I438=1,"Normal",IF(I438=2,"Yellow Alert",IF(I438=3,"Orange Alert",IF(I438=4,"Red Alert"))))</f>
        <v>Normal</v>
      </c>
      <c r="S438" s="60">
        <f t="shared" si="19"/>
        <v>20</v>
      </c>
      <c r="T438" s="60">
        <f>MONTH(dataset_1!B:B)</f>
        <v>1</v>
      </c>
      <c r="U438" s="60">
        <f t="shared" si="20"/>
        <v>2011</v>
      </c>
      <c r="V438" s="59" t="str">
        <f>TEXT(F438/24,"H AM/PM")</f>
        <v>5 AM</v>
      </c>
      <c r="W438" s="59" t="str">
        <f>IF(H438=6,"Saturday",IF(H438=0,"Sunday",IF(H438=1,"Monday",IF(H438=2,"Tuesday",IF(H438=3,"Wednesday",IF(H438=4,"Thursday",IF(H438=5,"Friday")))))))</f>
        <v>Thursday</v>
      </c>
      <c r="X438" s="59" t="str">
        <f>IF(G438=FALSE,"Working day", IF(G438=TRUE,"Holiday"))</f>
        <v>Working day</v>
      </c>
    </row>
    <row r="439" spans="1:24" x14ac:dyDescent="0.25">
      <c r="A439" s="32">
        <v>438</v>
      </c>
      <c r="B439" s="33">
        <v>40563</v>
      </c>
      <c r="C439" s="26">
        <v>1</v>
      </c>
      <c r="D439" s="26">
        <v>0</v>
      </c>
      <c r="E439" s="26">
        <v>1</v>
      </c>
      <c r="F439" s="26">
        <v>6</v>
      </c>
      <c r="G439" s="26" t="b">
        <v>0</v>
      </c>
      <c r="H439" s="26">
        <v>4</v>
      </c>
      <c r="I439" s="26">
        <v>1</v>
      </c>
      <c r="J439" s="26">
        <v>0.22</v>
      </c>
      <c r="K439" s="26">
        <v>0.21210000000000001</v>
      </c>
      <c r="L439" s="26">
        <v>0.6</v>
      </c>
      <c r="M439">
        <v>0.22389999999999999</v>
      </c>
      <c r="N439" s="26">
        <v>0</v>
      </c>
      <c r="O439" s="26">
        <v>35</v>
      </c>
      <c r="P439" s="26">
        <v>35</v>
      </c>
      <c r="Q439" s="34" t="str">
        <f t="shared" si="18"/>
        <v>Clear</v>
      </c>
      <c r="R439" s="41" t="str">
        <f>IF(I439=1,"Normal",IF(I439=2,"Yellow Alert",IF(I439=3,"Orange Alert",IF(I439=4,"Red Alert"))))</f>
        <v>Normal</v>
      </c>
      <c r="S439" s="60">
        <f t="shared" si="19"/>
        <v>20</v>
      </c>
      <c r="T439" s="60">
        <f>MONTH(dataset_1!B:B)</f>
        <v>1</v>
      </c>
      <c r="U439" s="60">
        <f t="shared" si="20"/>
        <v>2011</v>
      </c>
      <c r="V439" s="59" t="str">
        <f>TEXT(F439/24,"H AM/PM")</f>
        <v>6 AM</v>
      </c>
      <c r="W439" s="59" t="str">
        <f>IF(H439=6,"Saturday",IF(H439=0,"Sunday",IF(H439=1,"Monday",IF(H439=2,"Tuesday",IF(H439=3,"Wednesday",IF(H439=4,"Thursday",IF(H439=5,"Friday")))))))</f>
        <v>Thursday</v>
      </c>
      <c r="X439" s="59" t="str">
        <f>IF(G439=FALSE,"Working day", IF(G439=TRUE,"Holiday"))</f>
        <v>Working day</v>
      </c>
    </row>
    <row r="440" spans="1:24" x14ac:dyDescent="0.25">
      <c r="A440" s="32">
        <v>439</v>
      </c>
      <c r="B440" s="33">
        <v>40563</v>
      </c>
      <c r="C440" s="26">
        <v>1</v>
      </c>
      <c r="D440" s="26">
        <v>0</v>
      </c>
      <c r="E440" s="26">
        <v>1</v>
      </c>
      <c r="F440" s="26">
        <v>7</v>
      </c>
      <c r="G440" s="26" t="b">
        <v>0</v>
      </c>
      <c r="H440" s="26">
        <v>4</v>
      </c>
      <c r="I440" s="26">
        <v>1</v>
      </c>
      <c r="J440" s="26">
        <v>0.22</v>
      </c>
      <c r="K440" s="26">
        <v>0.21210000000000001</v>
      </c>
      <c r="L440" s="26">
        <v>0.55000000000000004</v>
      </c>
      <c r="M440">
        <v>0.22389999999999999</v>
      </c>
      <c r="N440" s="26">
        <v>1</v>
      </c>
      <c r="O440" s="26">
        <v>100</v>
      </c>
      <c r="P440" s="26">
        <v>101</v>
      </c>
      <c r="Q440" s="34" t="str">
        <f t="shared" si="18"/>
        <v>Clear</v>
      </c>
      <c r="R440" s="41" t="str">
        <f>IF(I440=1,"Normal",IF(I440=2,"Yellow Alert",IF(I440=3,"Orange Alert",IF(I440=4,"Red Alert"))))</f>
        <v>Normal</v>
      </c>
      <c r="S440" s="60">
        <f t="shared" si="19"/>
        <v>20</v>
      </c>
      <c r="T440" s="60">
        <f>MONTH(dataset_1!B:B)</f>
        <v>1</v>
      </c>
      <c r="U440" s="60">
        <f t="shared" si="20"/>
        <v>2011</v>
      </c>
      <c r="V440" s="59" t="str">
        <f>TEXT(F440/24,"H AM/PM")</f>
        <v>7 AM</v>
      </c>
      <c r="W440" s="59" t="str">
        <f>IF(H440=6,"Saturday",IF(H440=0,"Sunday",IF(H440=1,"Monday",IF(H440=2,"Tuesday",IF(H440=3,"Wednesday",IF(H440=4,"Thursday",IF(H440=5,"Friday")))))))</f>
        <v>Thursday</v>
      </c>
      <c r="X440" s="59" t="str">
        <f>IF(G440=FALSE,"Working day", IF(G440=TRUE,"Holiday"))</f>
        <v>Working day</v>
      </c>
    </row>
    <row r="441" spans="1:24" x14ac:dyDescent="0.25">
      <c r="A441" s="32">
        <v>440</v>
      </c>
      <c r="B441" s="33">
        <v>40563</v>
      </c>
      <c r="C441" s="26">
        <v>1</v>
      </c>
      <c r="D441" s="26">
        <v>0</v>
      </c>
      <c r="E441" s="26">
        <v>1</v>
      </c>
      <c r="F441" s="26">
        <v>8</v>
      </c>
      <c r="G441" s="26" t="b">
        <v>0</v>
      </c>
      <c r="H441" s="26">
        <v>4</v>
      </c>
      <c r="I441" s="26">
        <v>1</v>
      </c>
      <c r="J441" s="26">
        <v>0.22</v>
      </c>
      <c r="K441" s="26">
        <v>0.2273</v>
      </c>
      <c r="L441" s="26">
        <v>0.55000000000000004</v>
      </c>
      <c r="M441">
        <v>0.28360000000000002</v>
      </c>
      <c r="N441" s="26">
        <v>2</v>
      </c>
      <c r="O441" s="26">
        <v>247</v>
      </c>
      <c r="P441" s="26">
        <v>249</v>
      </c>
      <c r="Q441" s="34" t="str">
        <f t="shared" si="18"/>
        <v>Clear</v>
      </c>
      <c r="R441" s="41" t="str">
        <f>IF(I441=1,"Normal",IF(I441=2,"Yellow Alert",IF(I441=3,"Orange Alert",IF(I441=4,"Red Alert"))))</f>
        <v>Normal</v>
      </c>
      <c r="S441" s="60">
        <f t="shared" si="19"/>
        <v>20</v>
      </c>
      <c r="T441" s="60">
        <f>MONTH(dataset_1!B:B)</f>
        <v>1</v>
      </c>
      <c r="U441" s="60">
        <f t="shared" si="20"/>
        <v>2011</v>
      </c>
      <c r="V441" s="59" t="str">
        <f>TEXT(F441/24,"H AM/PM")</f>
        <v>8 AM</v>
      </c>
      <c r="W441" s="59" t="str">
        <f>IF(H441=6,"Saturday",IF(H441=0,"Sunday",IF(H441=1,"Monday",IF(H441=2,"Tuesday",IF(H441=3,"Wednesday",IF(H441=4,"Thursday",IF(H441=5,"Friday")))))))</f>
        <v>Thursday</v>
      </c>
      <c r="X441" s="59" t="str">
        <f>IF(G441=FALSE,"Working day", IF(G441=TRUE,"Holiday"))</f>
        <v>Working day</v>
      </c>
    </row>
    <row r="442" spans="1:24" x14ac:dyDescent="0.25">
      <c r="A442" s="32">
        <v>441</v>
      </c>
      <c r="B442" s="33">
        <v>40563</v>
      </c>
      <c r="C442" s="26">
        <v>1</v>
      </c>
      <c r="D442" s="26">
        <v>0</v>
      </c>
      <c r="E442" s="26">
        <v>1</v>
      </c>
      <c r="F442" s="26">
        <v>9</v>
      </c>
      <c r="G442" s="26" t="b">
        <v>0</v>
      </c>
      <c r="H442" s="26">
        <v>4</v>
      </c>
      <c r="I442" s="26">
        <v>2</v>
      </c>
      <c r="J442" s="26">
        <v>0.24</v>
      </c>
      <c r="K442" s="26">
        <v>0.2273</v>
      </c>
      <c r="L442" s="26">
        <v>0.52</v>
      </c>
      <c r="M442">
        <v>0.22389999999999999</v>
      </c>
      <c r="N442" s="26">
        <v>3</v>
      </c>
      <c r="O442" s="26">
        <v>140</v>
      </c>
      <c r="P442" s="26">
        <v>143</v>
      </c>
      <c r="Q442" s="34" t="str">
        <f t="shared" si="18"/>
        <v>Cloudy</v>
      </c>
      <c r="R442" s="41" t="str">
        <f>IF(I442=1,"Normal",IF(I442=2,"Yellow Alert",IF(I442=3,"Orange Alert",IF(I442=4,"Red Alert"))))</f>
        <v>Yellow Alert</v>
      </c>
      <c r="S442" s="60">
        <f t="shared" si="19"/>
        <v>20</v>
      </c>
      <c r="T442" s="60">
        <f>MONTH(dataset_1!B:B)</f>
        <v>1</v>
      </c>
      <c r="U442" s="60">
        <f t="shared" si="20"/>
        <v>2011</v>
      </c>
      <c r="V442" s="59" t="str">
        <f>TEXT(F442/24,"H AM/PM")</f>
        <v>9 AM</v>
      </c>
      <c r="W442" s="59" t="str">
        <f>IF(H442=6,"Saturday",IF(H442=0,"Sunday",IF(H442=1,"Monday",IF(H442=2,"Tuesday",IF(H442=3,"Wednesday",IF(H442=4,"Thursday",IF(H442=5,"Friday")))))))</f>
        <v>Thursday</v>
      </c>
      <c r="X442" s="59" t="str">
        <f>IF(G442=FALSE,"Working day", IF(G442=TRUE,"Holiday"))</f>
        <v>Working day</v>
      </c>
    </row>
    <row r="443" spans="1:24" x14ac:dyDescent="0.25">
      <c r="A443" s="32">
        <v>442</v>
      </c>
      <c r="B443" s="33">
        <v>40563</v>
      </c>
      <c r="C443" s="26">
        <v>1</v>
      </c>
      <c r="D443" s="26">
        <v>0</v>
      </c>
      <c r="E443" s="26">
        <v>1</v>
      </c>
      <c r="F443" s="26">
        <v>10</v>
      </c>
      <c r="G443" s="26" t="b">
        <v>0</v>
      </c>
      <c r="H443" s="26">
        <v>4</v>
      </c>
      <c r="I443" s="26">
        <v>1</v>
      </c>
      <c r="J443" s="26">
        <v>0.26</v>
      </c>
      <c r="K443" s="26">
        <v>0.2727</v>
      </c>
      <c r="L443" s="26">
        <v>0.48</v>
      </c>
      <c r="M443">
        <v>0.29849999999999999</v>
      </c>
      <c r="N443" s="26">
        <v>1</v>
      </c>
      <c r="O443" s="26">
        <v>56</v>
      </c>
      <c r="P443" s="26">
        <v>57</v>
      </c>
      <c r="Q443" s="34" t="str">
        <f t="shared" si="18"/>
        <v>Clear</v>
      </c>
      <c r="R443" s="41" t="str">
        <f>IF(I443=1,"Normal",IF(I443=2,"Yellow Alert",IF(I443=3,"Orange Alert",IF(I443=4,"Red Alert"))))</f>
        <v>Normal</v>
      </c>
      <c r="S443" s="60">
        <f t="shared" si="19"/>
        <v>20</v>
      </c>
      <c r="T443" s="60">
        <f>MONTH(dataset_1!B:B)</f>
        <v>1</v>
      </c>
      <c r="U443" s="60">
        <f t="shared" si="20"/>
        <v>2011</v>
      </c>
      <c r="V443" s="59" t="str">
        <f>TEXT(F443/24,"H AM/PM")</f>
        <v>10 AM</v>
      </c>
      <c r="W443" s="59" t="str">
        <f>IF(H443=6,"Saturday",IF(H443=0,"Sunday",IF(H443=1,"Monday",IF(H443=2,"Tuesday",IF(H443=3,"Wednesday",IF(H443=4,"Thursday",IF(H443=5,"Friday")))))))</f>
        <v>Thursday</v>
      </c>
      <c r="X443" s="59" t="str">
        <f>IF(G443=FALSE,"Working day", IF(G443=TRUE,"Holiday"))</f>
        <v>Working day</v>
      </c>
    </row>
    <row r="444" spans="1:24" x14ac:dyDescent="0.25">
      <c r="A444" s="32">
        <v>443</v>
      </c>
      <c r="B444" s="33">
        <v>40563</v>
      </c>
      <c r="C444" s="26">
        <v>1</v>
      </c>
      <c r="D444" s="26">
        <v>0</v>
      </c>
      <c r="E444" s="26">
        <v>1</v>
      </c>
      <c r="F444" s="26">
        <v>11</v>
      </c>
      <c r="G444" s="26" t="b">
        <v>0</v>
      </c>
      <c r="H444" s="26">
        <v>4</v>
      </c>
      <c r="I444" s="26">
        <v>2</v>
      </c>
      <c r="J444" s="26">
        <v>0.28000000000000003</v>
      </c>
      <c r="K444" s="26">
        <v>0.33329999999999999</v>
      </c>
      <c r="L444" s="26">
        <v>0.45</v>
      </c>
      <c r="M444">
        <v>0.16420000000000001</v>
      </c>
      <c r="N444" s="26">
        <v>5</v>
      </c>
      <c r="O444" s="26">
        <v>63</v>
      </c>
      <c r="P444" s="26">
        <v>68</v>
      </c>
      <c r="Q444" s="34" t="str">
        <f t="shared" si="18"/>
        <v>Cloudy</v>
      </c>
      <c r="R444" s="41" t="str">
        <f>IF(I444=1,"Normal",IF(I444=2,"Yellow Alert",IF(I444=3,"Orange Alert",IF(I444=4,"Red Alert"))))</f>
        <v>Yellow Alert</v>
      </c>
      <c r="S444" s="60">
        <f t="shared" si="19"/>
        <v>20</v>
      </c>
      <c r="T444" s="60">
        <f>MONTH(dataset_1!B:B)</f>
        <v>1</v>
      </c>
      <c r="U444" s="60">
        <f t="shared" si="20"/>
        <v>2011</v>
      </c>
      <c r="V444" s="59" t="str">
        <f>TEXT(F444/24,"H AM/PM")</f>
        <v>11 AM</v>
      </c>
      <c r="W444" s="59" t="str">
        <f>IF(H444=6,"Saturday",IF(H444=0,"Sunday",IF(H444=1,"Monday",IF(H444=2,"Tuesday",IF(H444=3,"Wednesday",IF(H444=4,"Thursday",IF(H444=5,"Friday")))))))</f>
        <v>Thursday</v>
      </c>
      <c r="X444" s="59" t="str">
        <f>IF(G444=FALSE,"Working day", IF(G444=TRUE,"Holiday"))</f>
        <v>Working day</v>
      </c>
    </row>
    <row r="445" spans="1:24" x14ac:dyDescent="0.25">
      <c r="A445" s="32">
        <v>444</v>
      </c>
      <c r="B445" s="33">
        <v>40563</v>
      </c>
      <c r="C445" s="26">
        <v>1</v>
      </c>
      <c r="D445" s="26">
        <v>0</v>
      </c>
      <c r="E445" s="26">
        <v>1</v>
      </c>
      <c r="F445" s="26">
        <v>12</v>
      </c>
      <c r="G445" s="26" t="b">
        <v>0</v>
      </c>
      <c r="H445" s="26">
        <v>4</v>
      </c>
      <c r="I445" s="26">
        <v>2</v>
      </c>
      <c r="J445" s="26">
        <v>0.3</v>
      </c>
      <c r="K445" s="26">
        <v>0.28789999999999999</v>
      </c>
      <c r="L445" s="26">
        <v>0.42</v>
      </c>
      <c r="M445">
        <v>0</v>
      </c>
      <c r="N445" s="26">
        <v>7</v>
      </c>
      <c r="O445" s="26">
        <v>77</v>
      </c>
      <c r="P445" s="26">
        <v>84</v>
      </c>
      <c r="Q445" s="34" t="str">
        <f t="shared" si="18"/>
        <v>Cloudy</v>
      </c>
      <c r="R445" s="41" t="str">
        <f>IF(I445=1,"Normal",IF(I445=2,"Yellow Alert",IF(I445=3,"Orange Alert",IF(I445=4,"Red Alert"))))</f>
        <v>Yellow Alert</v>
      </c>
      <c r="S445" s="60">
        <f t="shared" si="19"/>
        <v>20</v>
      </c>
      <c r="T445" s="60">
        <f>MONTH(dataset_1!B:B)</f>
        <v>1</v>
      </c>
      <c r="U445" s="60">
        <f t="shared" si="20"/>
        <v>2011</v>
      </c>
      <c r="V445" s="59" t="str">
        <f>TEXT(F445/24,"H AM/PM")</f>
        <v>12 PM</v>
      </c>
      <c r="W445" s="59" t="str">
        <f>IF(H445=6,"Saturday",IF(H445=0,"Sunday",IF(H445=1,"Monday",IF(H445=2,"Tuesday",IF(H445=3,"Wednesday",IF(H445=4,"Thursday",IF(H445=5,"Friday")))))))</f>
        <v>Thursday</v>
      </c>
      <c r="X445" s="59" t="str">
        <f>IF(G445=FALSE,"Working day", IF(G445=TRUE,"Holiday"))</f>
        <v>Working day</v>
      </c>
    </row>
    <row r="446" spans="1:24" x14ac:dyDescent="0.25">
      <c r="A446" s="32">
        <v>445</v>
      </c>
      <c r="B446" s="33">
        <v>40563</v>
      </c>
      <c r="C446" s="26">
        <v>1</v>
      </c>
      <c r="D446" s="26">
        <v>0</v>
      </c>
      <c r="E446" s="26">
        <v>1</v>
      </c>
      <c r="F446" s="26">
        <v>13</v>
      </c>
      <c r="G446" s="26" t="b">
        <v>0</v>
      </c>
      <c r="H446" s="26">
        <v>4</v>
      </c>
      <c r="I446" s="26">
        <v>2</v>
      </c>
      <c r="J446" s="26">
        <v>0.28000000000000003</v>
      </c>
      <c r="K446" s="26">
        <v>0.30299999999999999</v>
      </c>
      <c r="L446" s="26">
        <v>0.45</v>
      </c>
      <c r="M446">
        <v>0.1045</v>
      </c>
      <c r="N446" s="26">
        <v>12</v>
      </c>
      <c r="O446" s="26">
        <v>86</v>
      </c>
      <c r="P446" s="26">
        <v>98</v>
      </c>
      <c r="Q446" s="34" t="str">
        <f t="shared" si="18"/>
        <v>Cloudy</v>
      </c>
      <c r="R446" s="41" t="str">
        <f>IF(I446=1,"Normal",IF(I446=2,"Yellow Alert",IF(I446=3,"Orange Alert",IF(I446=4,"Red Alert"))))</f>
        <v>Yellow Alert</v>
      </c>
      <c r="S446" s="60">
        <f t="shared" si="19"/>
        <v>20</v>
      </c>
      <c r="T446" s="60">
        <f>MONTH(dataset_1!B:B)</f>
        <v>1</v>
      </c>
      <c r="U446" s="60">
        <f t="shared" si="20"/>
        <v>2011</v>
      </c>
      <c r="V446" s="59" t="str">
        <f>TEXT(F446/24,"H AM/PM")</f>
        <v>1 PM</v>
      </c>
      <c r="W446" s="59" t="str">
        <f>IF(H446=6,"Saturday",IF(H446=0,"Sunday",IF(H446=1,"Monday",IF(H446=2,"Tuesday",IF(H446=3,"Wednesday",IF(H446=4,"Thursday",IF(H446=5,"Friday")))))))</f>
        <v>Thursday</v>
      </c>
      <c r="X446" s="59" t="str">
        <f>IF(G446=FALSE,"Working day", IF(G446=TRUE,"Holiday"))</f>
        <v>Working day</v>
      </c>
    </row>
    <row r="447" spans="1:24" x14ac:dyDescent="0.25">
      <c r="A447" s="32">
        <v>446</v>
      </c>
      <c r="B447" s="33">
        <v>40563</v>
      </c>
      <c r="C447" s="26">
        <v>1</v>
      </c>
      <c r="D447" s="26">
        <v>0</v>
      </c>
      <c r="E447" s="26">
        <v>1</v>
      </c>
      <c r="F447" s="26">
        <v>14</v>
      </c>
      <c r="G447" s="26" t="b">
        <v>0</v>
      </c>
      <c r="H447" s="26">
        <v>4</v>
      </c>
      <c r="I447" s="26">
        <v>2</v>
      </c>
      <c r="J447" s="26">
        <v>0.3</v>
      </c>
      <c r="K447" s="26">
        <v>0.31819999999999998</v>
      </c>
      <c r="L447" s="26">
        <v>0.45</v>
      </c>
      <c r="M447">
        <v>0.1343</v>
      </c>
      <c r="N447" s="26">
        <v>6</v>
      </c>
      <c r="O447" s="26">
        <v>75</v>
      </c>
      <c r="P447" s="26">
        <v>81</v>
      </c>
      <c r="Q447" s="34" t="str">
        <f t="shared" si="18"/>
        <v>Cloudy</v>
      </c>
      <c r="R447" s="41" t="str">
        <f>IF(I447=1,"Normal",IF(I447=2,"Yellow Alert",IF(I447=3,"Orange Alert",IF(I447=4,"Red Alert"))))</f>
        <v>Yellow Alert</v>
      </c>
      <c r="S447" s="60">
        <f t="shared" si="19"/>
        <v>20</v>
      </c>
      <c r="T447" s="60">
        <f>MONTH(dataset_1!B:B)</f>
        <v>1</v>
      </c>
      <c r="U447" s="60">
        <f t="shared" si="20"/>
        <v>2011</v>
      </c>
      <c r="V447" s="59" t="str">
        <f>TEXT(F447/24,"H AM/PM")</f>
        <v>2 PM</v>
      </c>
      <c r="W447" s="59" t="str">
        <f>IF(H447=6,"Saturday",IF(H447=0,"Sunday",IF(H447=1,"Monday",IF(H447=2,"Tuesday",IF(H447=3,"Wednesday",IF(H447=4,"Thursday",IF(H447=5,"Friday")))))))</f>
        <v>Thursday</v>
      </c>
      <c r="X447" s="59" t="str">
        <f>IF(G447=FALSE,"Working day", IF(G447=TRUE,"Holiday"))</f>
        <v>Working day</v>
      </c>
    </row>
    <row r="448" spans="1:24" x14ac:dyDescent="0.25">
      <c r="A448" s="32">
        <v>447</v>
      </c>
      <c r="B448" s="33">
        <v>40563</v>
      </c>
      <c r="C448" s="26">
        <v>1</v>
      </c>
      <c r="D448" s="26">
        <v>0</v>
      </c>
      <c r="E448" s="26">
        <v>1</v>
      </c>
      <c r="F448" s="26">
        <v>15</v>
      </c>
      <c r="G448" s="26" t="b">
        <v>0</v>
      </c>
      <c r="H448" s="26">
        <v>4</v>
      </c>
      <c r="I448" s="26">
        <v>2</v>
      </c>
      <c r="J448" s="26">
        <v>0.32</v>
      </c>
      <c r="K448" s="26">
        <v>0.30299999999999999</v>
      </c>
      <c r="L448" s="26">
        <v>0.45</v>
      </c>
      <c r="M448">
        <v>0.19400000000000001</v>
      </c>
      <c r="N448" s="26">
        <v>8</v>
      </c>
      <c r="O448" s="26">
        <v>62</v>
      </c>
      <c r="P448" s="26">
        <v>70</v>
      </c>
      <c r="Q448" s="34" t="str">
        <f t="shared" si="18"/>
        <v>Cloudy</v>
      </c>
      <c r="R448" s="41" t="str">
        <f>IF(I448=1,"Normal",IF(I448=2,"Yellow Alert",IF(I448=3,"Orange Alert",IF(I448=4,"Red Alert"))))</f>
        <v>Yellow Alert</v>
      </c>
      <c r="S448" s="60">
        <f t="shared" si="19"/>
        <v>20</v>
      </c>
      <c r="T448" s="60">
        <f>MONTH(dataset_1!B:B)</f>
        <v>1</v>
      </c>
      <c r="U448" s="60">
        <f t="shared" si="20"/>
        <v>2011</v>
      </c>
      <c r="V448" s="59" t="str">
        <f>TEXT(F448/24,"H AM/PM")</f>
        <v>3 PM</v>
      </c>
      <c r="W448" s="59" t="str">
        <f>IF(H448=6,"Saturday",IF(H448=0,"Sunday",IF(H448=1,"Monday",IF(H448=2,"Tuesday",IF(H448=3,"Wednesday",IF(H448=4,"Thursday",IF(H448=5,"Friday")))))))</f>
        <v>Thursday</v>
      </c>
      <c r="X448" s="59" t="str">
        <f>IF(G448=FALSE,"Working day", IF(G448=TRUE,"Holiday"))</f>
        <v>Working day</v>
      </c>
    </row>
    <row r="449" spans="1:24" x14ac:dyDescent="0.25">
      <c r="A449" s="32">
        <v>448</v>
      </c>
      <c r="B449" s="33">
        <v>40563</v>
      </c>
      <c r="C449" s="26">
        <v>1</v>
      </c>
      <c r="D449" s="26">
        <v>0</v>
      </c>
      <c r="E449" s="26">
        <v>1</v>
      </c>
      <c r="F449" s="26">
        <v>16</v>
      </c>
      <c r="G449" s="26" t="b">
        <v>0</v>
      </c>
      <c r="H449" s="26">
        <v>4</v>
      </c>
      <c r="I449" s="26">
        <v>2</v>
      </c>
      <c r="J449" s="26">
        <v>0.3</v>
      </c>
      <c r="K449" s="26">
        <v>0.31819999999999998</v>
      </c>
      <c r="L449" s="26">
        <v>0.49</v>
      </c>
      <c r="M449">
        <v>0.1343</v>
      </c>
      <c r="N449" s="26">
        <v>8</v>
      </c>
      <c r="O449" s="26">
        <v>83</v>
      </c>
      <c r="P449" s="26">
        <v>91</v>
      </c>
      <c r="Q449" s="34" t="str">
        <f t="shared" si="18"/>
        <v>Cloudy</v>
      </c>
      <c r="R449" s="41" t="str">
        <f>IF(I449=1,"Normal",IF(I449=2,"Yellow Alert",IF(I449=3,"Orange Alert",IF(I449=4,"Red Alert"))))</f>
        <v>Yellow Alert</v>
      </c>
      <c r="S449" s="60">
        <f t="shared" si="19"/>
        <v>20</v>
      </c>
      <c r="T449" s="60">
        <f>MONTH(dataset_1!B:B)</f>
        <v>1</v>
      </c>
      <c r="U449" s="60">
        <f t="shared" si="20"/>
        <v>2011</v>
      </c>
      <c r="V449" s="59" t="str">
        <f>TEXT(F449/24,"H AM/PM")</f>
        <v>4 PM</v>
      </c>
      <c r="W449" s="59" t="str">
        <f>IF(H449=6,"Saturday",IF(H449=0,"Sunday",IF(H449=1,"Monday",IF(H449=2,"Tuesday",IF(H449=3,"Wednesday",IF(H449=4,"Thursday",IF(H449=5,"Friday")))))))</f>
        <v>Thursday</v>
      </c>
      <c r="X449" s="59" t="str">
        <f>IF(G449=FALSE,"Working day", IF(G449=TRUE,"Holiday"))</f>
        <v>Working day</v>
      </c>
    </row>
    <row r="450" spans="1:24" x14ac:dyDescent="0.25">
      <c r="A450" s="32">
        <v>449</v>
      </c>
      <c r="B450" s="33">
        <v>40563</v>
      </c>
      <c r="C450" s="26">
        <v>1</v>
      </c>
      <c r="D450" s="26">
        <v>0</v>
      </c>
      <c r="E450" s="26">
        <v>1</v>
      </c>
      <c r="F450" s="26">
        <v>17</v>
      </c>
      <c r="G450" s="26" t="b">
        <v>0</v>
      </c>
      <c r="H450" s="26">
        <v>4</v>
      </c>
      <c r="I450" s="26">
        <v>2</v>
      </c>
      <c r="J450" s="26">
        <v>0.3</v>
      </c>
      <c r="K450" s="26">
        <v>0.2576</v>
      </c>
      <c r="L450" s="26">
        <v>0.49</v>
      </c>
      <c r="M450">
        <v>0.1045</v>
      </c>
      <c r="N450" s="26">
        <v>8</v>
      </c>
      <c r="O450" s="26">
        <v>207</v>
      </c>
      <c r="P450" s="26">
        <v>215</v>
      </c>
      <c r="Q450" s="34" t="str">
        <f t="shared" ref="Q450:Q513" si="21">IF(I450=1,"Clear",IF(I450=2,"Cloudy",IF(I450=3,"Light Rain",IF(I450=4,"Heavy Rain"))))</f>
        <v>Cloudy</v>
      </c>
      <c r="R450" s="41" t="str">
        <f>IF(I450=1,"Normal",IF(I450=2,"Yellow Alert",IF(I450=3,"Orange Alert",IF(I450=4,"Red Alert"))))</f>
        <v>Yellow Alert</v>
      </c>
      <c r="S450" s="60">
        <f t="shared" ref="S450:S513" si="22">DAY(B:B)</f>
        <v>20</v>
      </c>
      <c r="T450" s="60">
        <f>MONTH(dataset_1!B:B)</f>
        <v>1</v>
      </c>
      <c r="U450" s="60">
        <f t="shared" ref="U450:U513" si="23">YEAR(B:B)</f>
        <v>2011</v>
      </c>
      <c r="V450" s="59" t="str">
        <f>TEXT(F450/24,"H AM/PM")</f>
        <v>5 PM</v>
      </c>
      <c r="W450" s="59" t="str">
        <f>IF(H450=6,"Saturday",IF(H450=0,"Sunday",IF(H450=1,"Monday",IF(H450=2,"Tuesday",IF(H450=3,"Wednesday",IF(H450=4,"Thursday",IF(H450=5,"Friday")))))))</f>
        <v>Thursday</v>
      </c>
      <c r="X450" s="59" t="str">
        <f>IF(G450=FALSE,"Working day", IF(G450=TRUE,"Holiday"))</f>
        <v>Working day</v>
      </c>
    </row>
    <row r="451" spans="1:24" x14ac:dyDescent="0.25">
      <c r="A451" s="32">
        <v>450</v>
      </c>
      <c r="B451" s="33">
        <v>40563</v>
      </c>
      <c r="C451" s="26">
        <v>1</v>
      </c>
      <c r="D451" s="26">
        <v>0</v>
      </c>
      <c r="E451" s="26">
        <v>1</v>
      </c>
      <c r="F451" s="26">
        <v>18</v>
      </c>
      <c r="G451" s="26" t="b">
        <v>0</v>
      </c>
      <c r="H451" s="26">
        <v>4</v>
      </c>
      <c r="I451" s="26">
        <v>2</v>
      </c>
      <c r="J451" s="26">
        <v>0.26</v>
      </c>
      <c r="K451" s="26">
        <v>0.2273</v>
      </c>
      <c r="L451" s="26">
        <v>0.56000000000000005</v>
      </c>
      <c r="M451">
        <v>0.19400000000000001</v>
      </c>
      <c r="N451" s="26">
        <v>1</v>
      </c>
      <c r="O451" s="26">
        <v>184</v>
      </c>
      <c r="P451" s="26">
        <v>185</v>
      </c>
      <c r="Q451" s="34" t="str">
        <f t="shared" si="21"/>
        <v>Cloudy</v>
      </c>
      <c r="R451" s="41" t="str">
        <f>IF(I451=1,"Normal",IF(I451=2,"Yellow Alert",IF(I451=3,"Orange Alert",IF(I451=4,"Red Alert"))))</f>
        <v>Yellow Alert</v>
      </c>
      <c r="S451" s="60">
        <f t="shared" si="22"/>
        <v>20</v>
      </c>
      <c r="T451" s="60">
        <f>MONTH(dataset_1!B:B)</f>
        <v>1</v>
      </c>
      <c r="U451" s="60">
        <f t="shared" si="23"/>
        <v>2011</v>
      </c>
      <c r="V451" s="59" t="str">
        <f>TEXT(F451/24,"H AM/PM")</f>
        <v>6 PM</v>
      </c>
      <c r="W451" s="59" t="str">
        <f>IF(H451=6,"Saturday",IF(H451=0,"Sunday",IF(H451=1,"Monday",IF(H451=2,"Tuesday",IF(H451=3,"Wednesday",IF(H451=4,"Thursday",IF(H451=5,"Friday")))))))</f>
        <v>Thursday</v>
      </c>
      <c r="X451" s="59" t="str">
        <f>IF(G451=FALSE,"Working day", IF(G451=TRUE,"Holiday"))</f>
        <v>Working day</v>
      </c>
    </row>
    <row r="452" spans="1:24" x14ac:dyDescent="0.25">
      <c r="A452" s="32">
        <v>451</v>
      </c>
      <c r="B452" s="33">
        <v>40563</v>
      </c>
      <c r="C452" s="26">
        <v>1</v>
      </c>
      <c r="D452" s="26">
        <v>0</v>
      </c>
      <c r="E452" s="26">
        <v>1</v>
      </c>
      <c r="F452" s="26">
        <v>19</v>
      </c>
      <c r="G452" s="26" t="b">
        <v>0</v>
      </c>
      <c r="H452" s="26">
        <v>4</v>
      </c>
      <c r="I452" s="26">
        <v>1</v>
      </c>
      <c r="J452" s="26">
        <v>0.26</v>
      </c>
      <c r="K452" s="26">
        <v>0.2424</v>
      </c>
      <c r="L452" s="26">
        <v>0.56000000000000005</v>
      </c>
      <c r="M452">
        <v>0.32840000000000003</v>
      </c>
      <c r="N452" s="26">
        <v>6</v>
      </c>
      <c r="O452" s="26">
        <v>146</v>
      </c>
      <c r="P452" s="26">
        <v>152</v>
      </c>
      <c r="Q452" s="34" t="str">
        <f t="shared" si="21"/>
        <v>Clear</v>
      </c>
      <c r="R452" s="41" t="str">
        <f>IF(I452=1,"Normal",IF(I452=2,"Yellow Alert",IF(I452=3,"Orange Alert",IF(I452=4,"Red Alert"))))</f>
        <v>Normal</v>
      </c>
      <c r="S452" s="60">
        <f t="shared" si="22"/>
        <v>20</v>
      </c>
      <c r="T452" s="60">
        <f>MONTH(dataset_1!B:B)</f>
        <v>1</v>
      </c>
      <c r="U452" s="60">
        <f t="shared" si="23"/>
        <v>2011</v>
      </c>
      <c r="V452" s="59" t="str">
        <f>TEXT(F452/24,"H AM/PM")</f>
        <v>7 PM</v>
      </c>
      <c r="W452" s="59" t="str">
        <f>IF(H452=6,"Saturday",IF(H452=0,"Sunday",IF(H452=1,"Monday",IF(H452=2,"Tuesday",IF(H452=3,"Wednesday",IF(H452=4,"Thursday",IF(H452=5,"Friday")))))))</f>
        <v>Thursday</v>
      </c>
      <c r="X452" s="59" t="str">
        <f>IF(G452=FALSE,"Working day", IF(G452=TRUE,"Holiday"))</f>
        <v>Working day</v>
      </c>
    </row>
    <row r="453" spans="1:24" x14ac:dyDescent="0.25">
      <c r="A453" s="32">
        <v>452</v>
      </c>
      <c r="B453" s="33">
        <v>40563</v>
      </c>
      <c r="C453" s="26">
        <v>1</v>
      </c>
      <c r="D453" s="26">
        <v>0</v>
      </c>
      <c r="E453" s="26">
        <v>1</v>
      </c>
      <c r="F453" s="26">
        <v>20</v>
      </c>
      <c r="G453" s="26" t="b">
        <v>0</v>
      </c>
      <c r="H453" s="26">
        <v>4</v>
      </c>
      <c r="I453" s="26">
        <v>2</v>
      </c>
      <c r="J453" s="26">
        <v>0.26</v>
      </c>
      <c r="K453" s="26">
        <v>0.2273</v>
      </c>
      <c r="L453" s="26">
        <v>0.6</v>
      </c>
      <c r="M453">
        <v>0.28360000000000002</v>
      </c>
      <c r="N453" s="26">
        <v>2</v>
      </c>
      <c r="O453" s="26">
        <v>124</v>
      </c>
      <c r="P453" s="26">
        <v>126</v>
      </c>
      <c r="Q453" s="34" t="str">
        <f t="shared" si="21"/>
        <v>Cloudy</v>
      </c>
      <c r="R453" s="41" t="str">
        <f>IF(I453=1,"Normal",IF(I453=2,"Yellow Alert",IF(I453=3,"Orange Alert",IF(I453=4,"Red Alert"))))</f>
        <v>Yellow Alert</v>
      </c>
      <c r="S453" s="60">
        <f t="shared" si="22"/>
        <v>20</v>
      </c>
      <c r="T453" s="60">
        <f>MONTH(dataset_1!B:B)</f>
        <v>1</v>
      </c>
      <c r="U453" s="60">
        <f t="shared" si="23"/>
        <v>2011</v>
      </c>
      <c r="V453" s="59" t="str">
        <f>TEXT(F453/24,"H AM/PM")</f>
        <v>8 PM</v>
      </c>
      <c r="W453" s="59" t="str">
        <f>IF(H453=6,"Saturday",IF(H453=0,"Sunday",IF(H453=1,"Monday",IF(H453=2,"Tuesday",IF(H453=3,"Wednesday",IF(H453=4,"Thursday",IF(H453=5,"Friday")))))))</f>
        <v>Thursday</v>
      </c>
      <c r="X453" s="59" t="str">
        <f>IF(G453=FALSE,"Working day", IF(G453=TRUE,"Holiday"))</f>
        <v>Working day</v>
      </c>
    </row>
    <row r="454" spans="1:24" x14ac:dyDescent="0.25">
      <c r="A454" s="32">
        <v>453</v>
      </c>
      <c r="B454" s="33">
        <v>40563</v>
      </c>
      <c r="C454" s="26">
        <v>1</v>
      </c>
      <c r="D454" s="26">
        <v>0</v>
      </c>
      <c r="E454" s="26">
        <v>1</v>
      </c>
      <c r="F454" s="26">
        <v>21</v>
      </c>
      <c r="G454" s="26" t="b">
        <v>0</v>
      </c>
      <c r="H454" s="26">
        <v>4</v>
      </c>
      <c r="I454" s="26">
        <v>2</v>
      </c>
      <c r="J454" s="26">
        <v>0.24</v>
      </c>
      <c r="K454" s="26">
        <v>0.21210000000000001</v>
      </c>
      <c r="L454" s="26">
        <v>0.6</v>
      </c>
      <c r="M454">
        <v>0.25369999999999998</v>
      </c>
      <c r="N454" s="26">
        <v>3</v>
      </c>
      <c r="O454" s="26">
        <v>54</v>
      </c>
      <c r="P454" s="26">
        <v>57</v>
      </c>
      <c r="Q454" s="34" t="str">
        <f t="shared" si="21"/>
        <v>Cloudy</v>
      </c>
      <c r="R454" s="41" t="str">
        <f>IF(I454=1,"Normal",IF(I454=2,"Yellow Alert",IF(I454=3,"Orange Alert",IF(I454=4,"Red Alert"))))</f>
        <v>Yellow Alert</v>
      </c>
      <c r="S454" s="60">
        <f t="shared" si="22"/>
        <v>20</v>
      </c>
      <c r="T454" s="60">
        <f>MONTH(dataset_1!B:B)</f>
        <v>1</v>
      </c>
      <c r="U454" s="60">
        <f t="shared" si="23"/>
        <v>2011</v>
      </c>
      <c r="V454" s="59" t="str">
        <f>TEXT(F454/24,"H AM/PM")</f>
        <v>9 PM</v>
      </c>
      <c r="W454" s="59" t="str">
        <f>IF(H454=6,"Saturday",IF(H454=0,"Sunday",IF(H454=1,"Monday",IF(H454=2,"Tuesday",IF(H454=3,"Wednesday",IF(H454=4,"Thursday",IF(H454=5,"Friday")))))))</f>
        <v>Thursday</v>
      </c>
      <c r="X454" s="59" t="str">
        <f>IF(G454=FALSE,"Working day", IF(G454=TRUE,"Holiday"))</f>
        <v>Working day</v>
      </c>
    </row>
    <row r="455" spans="1:24" x14ac:dyDescent="0.25">
      <c r="A455" s="32">
        <v>454</v>
      </c>
      <c r="B455" s="33">
        <v>40563</v>
      </c>
      <c r="C455" s="26">
        <v>1</v>
      </c>
      <c r="D455" s="26">
        <v>0</v>
      </c>
      <c r="E455" s="26">
        <v>1</v>
      </c>
      <c r="F455" s="26">
        <v>22</v>
      </c>
      <c r="G455" s="26" t="b">
        <v>0</v>
      </c>
      <c r="H455" s="26">
        <v>4</v>
      </c>
      <c r="I455" s="26">
        <v>2</v>
      </c>
      <c r="J455" s="26">
        <v>0.24</v>
      </c>
      <c r="K455" s="26">
        <v>0.21210000000000001</v>
      </c>
      <c r="L455" s="26">
        <v>0.65</v>
      </c>
      <c r="M455">
        <v>0.28360000000000002</v>
      </c>
      <c r="N455" s="26">
        <v>0</v>
      </c>
      <c r="O455" s="26">
        <v>56</v>
      </c>
      <c r="P455" s="26">
        <v>56</v>
      </c>
      <c r="Q455" s="34" t="str">
        <f t="shared" si="21"/>
        <v>Cloudy</v>
      </c>
      <c r="R455" s="41" t="str">
        <f>IF(I455=1,"Normal",IF(I455=2,"Yellow Alert",IF(I455=3,"Orange Alert",IF(I455=4,"Red Alert"))))</f>
        <v>Yellow Alert</v>
      </c>
      <c r="S455" s="60">
        <f t="shared" si="22"/>
        <v>20</v>
      </c>
      <c r="T455" s="60">
        <f>MONTH(dataset_1!B:B)</f>
        <v>1</v>
      </c>
      <c r="U455" s="60">
        <f t="shared" si="23"/>
        <v>2011</v>
      </c>
      <c r="V455" s="59" t="str">
        <f>TEXT(F455/24,"H AM/PM")</f>
        <v>10 PM</v>
      </c>
      <c r="W455" s="59" t="str">
        <f>IF(H455=6,"Saturday",IF(H455=0,"Sunday",IF(H455=1,"Monday",IF(H455=2,"Tuesday",IF(H455=3,"Wednesday",IF(H455=4,"Thursday",IF(H455=5,"Friday")))))))</f>
        <v>Thursday</v>
      </c>
      <c r="X455" s="59" t="str">
        <f>IF(G455=FALSE,"Working day", IF(G455=TRUE,"Holiday"))</f>
        <v>Working day</v>
      </c>
    </row>
    <row r="456" spans="1:24" x14ac:dyDescent="0.25">
      <c r="A456" s="32">
        <v>455</v>
      </c>
      <c r="B456" s="33">
        <v>40563</v>
      </c>
      <c r="C456" s="26">
        <v>1</v>
      </c>
      <c r="D456" s="26">
        <v>0</v>
      </c>
      <c r="E456" s="26">
        <v>1</v>
      </c>
      <c r="F456" s="26">
        <v>23</v>
      </c>
      <c r="G456" s="26" t="b">
        <v>0</v>
      </c>
      <c r="H456" s="26">
        <v>4</v>
      </c>
      <c r="I456" s="26">
        <v>2</v>
      </c>
      <c r="J456" s="26">
        <v>0.24</v>
      </c>
      <c r="K456" s="26">
        <v>0.2273</v>
      </c>
      <c r="L456" s="26">
        <v>0.65</v>
      </c>
      <c r="M456">
        <v>0.32840000000000003</v>
      </c>
      <c r="N456" s="26">
        <v>3</v>
      </c>
      <c r="O456" s="26">
        <v>28</v>
      </c>
      <c r="P456" s="26">
        <v>31</v>
      </c>
      <c r="Q456" s="34" t="str">
        <f t="shared" si="21"/>
        <v>Cloudy</v>
      </c>
      <c r="R456" s="41" t="str">
        <f>IF(I456=1,"Normal",IF(I456=2,"Yellow Alert",IF(I456=3,"Orange Alert",IF(I456=4,"Red Alert"))))</f>
        <v>Yellow Alert</v>
      </c>
      <c r="S456" s="60">
        <f t="shared" si="22"/>
        <v>20</v>
      </c>
      <c r="T456" s="60">
        <f>MONTH(dataset_1!B:B)</f>
        <v>1</v>
      </c>
      <c r="U456" s="60">
        <f t="shared" si="23"/>
        <v>2011</v>
      </c>
      <c r="V456" s="59" t="str">
        <f>TEXT(F456/24,"H AM/PM")</f>
        <v>11 PM</v>
      </c>
      <c r="W456" s="59" t="str">
        <f>IF(H456=6,"Saturday",IF(H456=0,"Sunday",IF(H456=1,"Monday",IF(H456=2,"Tuesday",IF(H456=3,"Wednesday",IF(H456=4,"Thursday",IF(H456=5,"Friday")))))))</f>
        <v>Thursday</v>
      </c>
      <c r="X456" s="59" t="str">
        <f>IF(G456=FALSE,"Working day", IF(G456=TRUE,"Holiday"))</f>
        <v>Working day</v>
      </c>
    </row>
    <row r="457" spans="1:24" x14ac:dyDescent="0.25">
      <c r="A457" s="32">
        <v>456</v>
      </c>
      <c r="B457" s="33">
        <v>40564</v>
      </c>
      <c r="C457" s="26">
        <v>1</v>
      </c>
      <c r="D457" s="26">
        <v>0</v>
      </c>
      <c r="E457" s="26">
        <v>1</v>
      </c>
      <c r="F457" s="26">
        <v>0</v>
      </c>
      <c r="G457" s="26" t="b">
        <v>0</v>
      </c>
      <c r="H457" s="26">
        <v>5</v>
      </c>
      <c r="I457" s="26">
        <v>2</v>
      </c>
      <c r="J457" s="26">
        <v>0.24</v>
      </c>
      <c r="K457" s="26">
        <v>0.2273</v>
      </c>
      <c r="L457" s="26">
        <v>0.7</v>
      </c>
      <c r="M457">
        <v>0.25369999999999998</v>
      </c>
      <c r="N457" s="26">
        <v>1</v>
      </c>
      <c r="O457" s="26">
        <v>20</v>
      </c>
      <c r="P457" s="26">
        <v>21</v>
      </c>
      <c r="Q457" s="34" t="str">
        <f t="shared" si="21"/>
        <v>Cloudy</v>
      </c>
      <c r="R457" s="41" t="str">
        <f>IF(I457=1,"Normal",IF(I457=2,"Yellow Alert",IF(I457=3,"Orange Alert",IF(I457=4,"Red Alert"))))</f>
        <v>Yellow Alert</v>
      </c>
      <c r="S457" s="60">
        <f t="shared" si="22"/>
        <v>21</v>
      </c>
      <c r="T457" s="60">
        <f>MONTH(dataset_1!B:B)</f>
        <v>1</v>
      </c>
      <c r="U457" s="60">
        <f t="shared" si="23"/>
        <v>2011</v>
      </c>
      <c r="V457" s="59" t="str">
        <f>TEXT(F457/24,"H AM/PM")</f>
        <v>12 AM</v>
      </c>
      <c r="W457" s="59" t="str">
        <f>IF(H457=6,"Saturday",IF(H457=0,"Sunday",IF(H457=1,"Monday",IF(H457=2,"Tuesday",IF(H457=3,"Wednesday",IF(H457=4,"Thursday",IF(H457=5,"Friday")))))))</f>
        <v>Friday</v>
      </c>
      <c r="X457" s="59" t="str">
        <f>IF(G457=FALSE,"Working day", IF(G457=TRUE,"Holiday"))</f>
        <v>Working day</v>
      </c>
    </row>
    <row r="458" spans="1:24" x14ac:dyDescent="0.25">
      <c r="A458" s="32">
        <v>457</v>
      </c>
      <c r="B458" s="33">
        <v>40564</v>
      </c>
      <c r="C458" s="26">
        <v>1</v>
      </c>
      <c r="D458" s="26">
        <v>0</v>
      </c>
      <c r="E458" s="26">
        <v>1</v>
      </c>
      <c r="F458" s="26">
        <v>1</v>
      </c>
      <c r="G458" s="26" t="b">
        <v>0</v>
      </c>
      <c r="H458" s="26">
        <v>5</v>
      </c>
      <c r="I458" s="26">
        <v>2</v>
      </c>
      <c r="J458" s="26">
        <v>0.24</v>
      </c>
      <c r="K458" s="26">
        <v>0.2424</v>
      </c>
      <c r="L458" s="26">
        <v>0.7</v>
      </c>
      <c r="M458">
        <v>0.25369999999999998</v>
      </c>
      <c r="N458" s="26">
        <v>0</v>
      </c>
      <c r="O458" s="26">
        <v>6</v>
      </c>
      <c r="P458" s="26">
        <v>6</v>
      </c>
      <c r="Q458" s="34" t="str">
        <f t="shared" si="21"/>
        <v>Cloudy</v>
      </c>
      <c r="R458" s="41" t="str">
        <f>IF(I458=1,"Normal",IF(I458=2,"Yellow Alert",IF(I458=3,"Orange Alert",IF(I458=4,"Red Alert"))))</f>
        <v>Yellow Alert</v>
      </c>
      <c r="S458" s="60">
        <f t="shared" si="22"/>
        <v>21</v>
      </c>
      <c r="T458" s="60">
        <f>MONTH(dataset_1!B:B)</f>
        <v>1</v>
      </c>
      <c r="U458" s="60">
        <f t="shared" si="23"/>
        <v>2011</v>
      </c>
      <c r="V458" s="59" t="str">
        <f>TEXT(F458/24,"H AM/PM")</f>
        <v>1 AM</v>
      </c>
      <c r="W458" s="59" t="str">
        <f>IF(H458=6,"Saturday",IF(H458=0,"Sunday",IF(H458=1,"Monday",IF(H458=2,"Tuesday",IF(H458=3,"Wednesday",IF(H458=4,"Thursday",IF(H458=5,"Friday")))))))</f>
        <v>Friday</v>
      </c>
      <c r="X458" s="59" t="str">
        <f>IF(G458=FALSE,"Working day", IF(G458=TRUE,"Holiday"))</f>
        <v>Working day</v>
      </c>
    </row>
    <row r="459" spans="1:24" x14ac:dyDescent="0.25">
      <c r="A459" s="32">
        <v>458</v>
      </c>
      <c r="B459" s="33">
        <v>40564</v>
      </c>
      <c r="C459" s="26">
        <v>1</v>
      </c>
      <c r="D459" s="26">
        <v>0</v>
      </c>
      <c r="E459" s="26">
        <v>1</v>
      </c>
      <c r="F459" s="26">
        <v>2</v>
      </c>
      <c r="G459" s="26" t="b">
        <v>0</v>
      </c>
      <c r="H459" s="26">
        <v>5</v>
      </c>
      <c r="I459" s="26">
        <v>3</v>
      </c>
      <c r="J459" s="26">
        <v>0.24</v>
      </c>
      <c r="K459" s="26">
        <v>0.21210000000000001</v>
      </c>
      <c r="L459" s="26">
        <v>0.75</v>
      </c>
      <c r="M459">
        <v>0.16420000000000001</v>
      </c>
      <c r="N459" s="26">
        <v>0</v>
      </c>
      <c r="O459" s="26">
        <v>2</v>
      </c>
      <c r="P459" s="26">
        <v>2</v>
      </c>
      <c r="Q459" s="34" t="str">
        <f t="shared" si="21"/>
        <v>Light Rain</v>
      </c>
      <c r="R459" s="41" t="str">
        <f>IF(I459=1,"Normal",IF(I459=2,"Yellow Alert",IF(I459=3,"Orange Alert",IF(I459=4,"Red Alert"))))</f>
        <v>Orange Alert</v>
      </c>
      <c r="S459" s="60">
        <f t="shared" si="22"/>
        <v>21</v>
      </c>
      <c r="T459" s="60">
        <f>MONTH(dataset_1!B:B)</f>
        <v>1</v>
      </c>
      <c r="U459" s="60">
        <f t="shared" si="23"/>
        <v>2011</v>
      </c>
      <c r="V459" s="59" t="str">
        <f>TEXT(F459/24,"H AM/PM")</f>
        <v>2 AM</v>
      </c>
      <c r="W459" s="59" t="str">
        <f>IF(H459=6,"Saturday",IF(H459=0,"Sunday",IF(H459=1,"Monday",IF(H459=2,"Tuesday",IF(H459=3,"Wednesday",IF(H459=4,"Thursday",IF(H459=5,"Friday")))))))</f>
        <v>Friday</v>
      </c>
      <c r="X459" s="59" t="str">
        <f>IF(G459=FALSE,"Working day", IF(G459=TRUE,"Holiday"))</f>
        <v>Working day</v>
      </c>
    </row>
    <row r="460" spans="1:24" x14ac:dyDescent="0.25">
      <c r="A460" s="32">
        <v>459</v>
      </c>
      <c r="B460" s="33">
        <v>40564</v>
      </c>
      <c r="C460" s="26">
        <v>1</v>
      </c>
      <c r="D460" s="26">
        <v>0</v>
      </c>
      <c r="E460" s="26">
        <v>1</v>
      </c>
      <c r="F460" s="26">
        <v>3</v>
      </c>
      <c r="G460" s="26" t="b">
        <v>0</v>
      </c>
      <c r="H460" s="26">
        <v>5</v>
      </c>
      <c r="I460" s="26">
        <v>3</v>
      </c>
      <c r="J460" s="26">
        <v>0.22</v>
      </c>
      <c r="K460" s="26">
        <v>0.2576</v>
      </c>
      <c r="L460" s="26">
        <v>0.8</v>
      </c>
      <c r="M460">
        <v>0.29849999999999999</v>
      </c>
      <c r="N460" s="26">
        <v>0</v>
      </c>
      <c r="O460" s="26">
        <v>1</v>
      </c>
      <c r="P460" s="26">
        <v>1</v>
      </c>
      <c r="Q460" s="34" t="str">
        <f t="shared" si="21"/>
        <v>Light Rain</v>
      </c>
      <c r="R460" s="41" t="str">
        <f>IF(I460=1,"Normal",IF(I460=2,"Yellow Alert",IF(I460=3,"Orange Alert",IF(I460=4,"Red Alert"))))</f>
        <v>Orange Alert</v>
      </c>
      <c r="S460" s="60">
        <f t="shared" si="22"/>
        <v>21</v>
      </c>
      <c r="T460" s="60">
        <f>MONTH(dataset_1!B:B)</f>
        <v>1</v>
      </c>
      <c r="U460" s="60">
        <f t="shared" si="23"/>
        <v>2011</v>
      </c>
      <c r="V460" s="59" t="str">
        <f>TEXT(F460/24,"H AM/PM")</f>
        <v>3 AM</v>
      </c>
      <c r="W460" s="59" t="str">
        <f>IF(H460=6,"Saturday",IF(H460=0,"Sunday",IF(H460=1,"Monday",IF(H460=2,"Tuesday",IF(H460=3,"Wednesday",IF(H460=4,"Thursday",IF(H460=5,"Friday")))))))</f>
        <v>Friday</v>
      </c>
      <c r="X460" s="59" t="str">
        <f>IF(G460=FALSE,"Working day", IF(G460=TRUE,"Holiday"))</f>
        <v>Working day</v>
      </c>
    </row>
    <row r="461" spans="1:24" x14ac:dyDescent="0.25">
      <c r="A461" s="32">
        <v>460</v>
      </c>
      <c r="B461" s="33">
        <v>40564</v>
      </c>
      <c r="C461" s="26">
        <v>1</v>
      </c>
      <c r="D461" s="26">
        <v>0</v>
      </c>
      <c r="E461" s="26">
        <v>1</v>
      </c>
      <c r="F461" s="26">
        <v>4</v>
      </c>
      <c r="G461" s="26" t="b">
        <v>0</v>
      </c>
      <c r="H461" s="26">
        <v>5</v>
      </c>
      <c r="I461" s="26">
        <v>2</v>
      </c>
      <c r="J461" s="26">
        <v>0.22</v>
      </c>
      <c r="K461" s="26">
        <v>0.19700000000000001</v>
      </c>
      <c r="L461" s="26">
        <v>0.87</v>
      </c>
      <c r="M461">
        <v>8.9599999999999999E-2</v>
      </c>
      <c r="N461" s="26">
        <v>0</v>
      </c>
      <c r="O461" s="26">
        <v>1</v>
      </c>
      <c r="P461" s="26">
        <v>1</v>
      </c>
      <c r="Q461" s="34" t="str">
        <f t="shared" si="21"/>
        <v>Cloudy</v>
      </c>
      <c r="R461" s="41" t="str">
        <f>IF(I461=1,"Normal",IF(I461=2,"Yellow Alert",IF(I461=3,"Orange Alert",IF(I461=4,"Red Alert"))))</f>
        <v>Yellow Alert</v>
      </c>
      <c r="S461" s="60">
        <f t="shared" si="22"/>
        <v>21</v>
      </c>
      <c r="T461" s="60">
        <f>MONTH(dataset_1!B:B)</f>
        <v>1</v>
      </c>
      <c r="U461" s="60">
        <f t="shared" si="23"/>
        <v>2011</v>
      </c>
      <c r="V461" s="59" t="str">
        <f>TEXT(F461/24,"H AM/PM")</f>
        <v>4 AM</v>
      </c>
      <c r="W461" s="59" t="str">
        <f>IF(H461=6,"Saturday",IF(H461=0,"Sunday",IF(H461=1,"Monday",IF(H461=2,"Tuesday",IF(H461=3,"Wednesday",IF(H461=4,"Thursday",IF(H461=5,"Friday")))))))</f>
        <v>Friday</v>
      </c>
      <c r="X461" s="59" t="str">
        <f>IF(G461=FALSE,"Working day", IF(G461=TRUE,"Holiday"))</f>
        <v>Working day</v>
      </c>
    </row>
    <row r="462" spans="1:24" x14ac:dyDescent="0.25">
      <c r="A462" s="32">
        <v>461</v>
      </c>
      <c r="B462" s="33">
        <v>40564</v>
      </c>
      <c r="C462" s="26">
        <v>1</v>
      </c>
      <c r="D462" s="26">
        <v>0</v>
      </c>
      <c r="E462" s="26">
        <v>1</v>
      </c>
      <c r="F462" s="26">
        <v>5</v>
      </c>
      <c r="G462" s="26" t="b">
        <v>0</v>
      </c>
      <c r="H462" s="26">
        <v>5</v>
      </c>
      <c r="I462" s="26">
        <v>1</v>
      </c>
      <c r="J462" s="26">
        <v>0.24</v>
      </c>
      <c r="K462" s="26">
        <v>0.21210000000000001</v>
      </c>
      <c r="L462" s="26">
        <v>0.6</v>
      </c>
      <c r="M462">
        <v>0.41789999999999999</v>
      </c>
      <c r="N462" s="26">
        <v>1</v>
      </c>
      <c r="O462" s="26">
        <v>4</v>
      </c>
      <c r="P462" s="26">
        <v>5</v>
      </c>
      <c r="Q462" s="34" t="str">
        <f t="shared" si="21"/>
        <v>Clear</v>
      </c>
      <c r="R462" s="41" t="str">
        <f>IF(I462=1,"Normal",IF(I462=2,"Yellow Alert",IF(I462=3,"Orange Alert",IF(I462=4,"Red Alert"))))</f>
        <v>Normal</v>
      </c>
      <c r="S462" s="60">
        <f t="shared" si="22"/>
        <v>21</v>
      </c>
      <c r="T462" s="60">
        <f>MONTH(dataset_1!B:B)</f>
        <v>1</v>
      </c>
      <c r="U462" s="60">
        <f t="shared" si="23"/>
        <v>2011</v>
      </c>
      <c r="V462" s="59" t="str">
        <f>TEXT(F462/24,"H AM/PM")</f>
        <v>5 AM</v>
      </c>
      <c r="W462" s="59" t="str">
        <f>IF(H462=6,"Saturday",IF(H462=0,"Sunday",IF(H462=1,"Monday",IF(H462=2,"Tuesday",IF(H462=3,"Wednesday",IF(H462=4,"Thursday",IF(H462=5,"Friday")))))))</f>
        <v>Friday</v>
      </c>
      <c r="X462" s="59" t="str">
        <f>IF(G462=FALSE,"Working day", IF(G462=TRUE,"Holiday"))</f>
        <v>Working day</v>
      </c>
    </row>
    <row r="463" spans="1:24" x14ac:dyDescent="0.25">
      <c r="A463" s="32">
        <v>462</v>
      </c>
      <c r="B463" s="33">
        <v>40564</v>
      </c>
      <c r="C463" s="26">
        <v>1</v>
      </c>
      <c r="D463" s="26">
        <v>0</v>
      </c>
      <c r="E463" s="26">
        <v>1</v>
      </c>
      <c r="F463" s="26">
        <v>6</v>
      </c>
      <c r="G463" s="26" t="b">
        <v>0</v>
      </c>
      <c r="H463" s="26">
        <v>5</v>
      </c>
      <c r="I463" s="26">
        <v>1</v>
      </c>
      <c r="J463" s="26">
        <v>0.22</v>
      </c>
      <c r="K463" s="26">
        <v>0.18179999999999999</v>
      </c>
      <c r="L463" s="26">
        <v>0.55000000000000004</v>
      </c>
      <c r="M463">
        <v>0.25369999999999998</v>
      </c>
      <c r="N463" s="26">
        <v>0</v>
      </c>
      <c r="O463" s="26">
        <v>27</v>
      </c>
      <c r="P463" s="26">
        <v>27</v>
      </c>
      <c r="Q463" s="34" t="str">
        <f t="shared" si="21"/>
        <v>Clear</v>
      </c>
      <c r="R463" s="41" t="str">
        <f>IF(I463=1,"Normal",IF(I463=2,"Yellow Alert",IF(I463=3,"Orange Alert",IF(I463=4,"Red Alert"))))</f>
        <v>Normal</v>
      </c>
      <c r="S463" s="60">
        <f t="shared" si="22"/>
        <v>21</v>
      </c>
      <c r="T463" s="60">
        <f>MONTH(dataset_1!B:B)</f>
        <v>1</v>
      </c>
      <c r="U463" s="60">
        <f t="shared" si="23"/>
        <v>2011</v>
      </c>
      <c r="V463" s="59" t="str">
        <f>TEXT(F463/24,"H AM/PM")</f>
        <v>6 AM</v>
      </c>
      <c r="W463" s="59" t="str">
        <f>IF(H463=6,"Saturday",IF(H463=0,"Sunday",IF(H463=1,"Monday",IF(H463=2,"Tuesday",IF(H463=3,"Wednesday",IF(H463=4,"Thursday",IF(H463=5,"Friday")))))))</f>
        <v>Friday</v>
      </c>
      <c r="X463" s="59" t="str">
        <f>IF(G463=FALSE,"Working day", IF(G463=TRUE,"Holiday"))</f>
        <v>Working day</v>
      </c>
    </row>
    <row r="464" spans="1:24" x14ac:dyDescent="0.25">
      <c r="A464" s="32">
        <v>463</v>
      </c>
      <c r="B464" s="33">
        <v>40564</v>
      </c>
      <c r="C464" s="26">
        <v>1</v>
      </c>
      <c r="D464" s="26">
        <v>0</v>
      </c>
      <c r="E464" s="26">
        <v>1</v>
      </c>
      <c r="F464" s="26">
        <v>7</v>
      </c>
      <c r="G464" s="26" t="b">
        <v>0</v>
      </c>
      <c r="H464" s="26">
        <v>5</v>
      </c>
      <c r="I464" s="26">
        <v>1</v>
      </c>
      <c r="J464" s="26">
        <v>0.2</v>
      </c>
      <c r="K464" s="26">
        <v>0.18179999999999999</v>
      </c>
      <c r="L464" s="26">
        <v>0.51</v>
      </c>
      <c r="M464">
        <v>0.28360000000000002</v>
      </c>
      <c r="N464" s="26">
        <v>2</v>
      </c>
      <c r="O464" s="26">
        <v>66</v>
      </c>
      <c r="P464" s="26">
        <v>68</v>
      </c>
      <c r="Q464" s="34" t="str">
        <f t="shared" si="21"/>
        <v>Clear</v>
      </c>
      <c r="R464" s="41" t="str">
        <f>IF(I464=1,"Normal",IF(I464=2,"Yellow Alert",IF(I464=3,"Orange Alert",IF(I464=4,"Red Alert"))))</f>
        <v>Normal</v>
      </c>
      <c r="S464" s="60">
        <f t="shared" si="22"/>
        <v>21</v>
      </c>
      <c r="T464" s="60">
        <f>MONTH(dataset_1!B:B)</f>
        <v>1</v>
      </c>
      <c r="U464" s="60">
        <f t="shared" si="23"/>
        <v>2011</v>
      </c>
      <c r="V464" s="59" t="str">
        <f>TEXT(F464/24,"H AM/PM")</f>
        <v>7 AM</v>
      </c>
      <c r="W464" s="59" t="str">
        <f>IF(H464=6,"Saturday",IF(H464=0,"Sunday",IF(H464=1,"Monday",IF(H464=2,"Tuesday",IF(H464=3,"Wednesday",IF(H464=4,"Thursday",IF(H464=5,"Friday")))))))</f>
        <v>Friday</v>
      </c>
      <c r="X464" s="59" t="str">
        <f>IF(G464=FALSE,"Working day", IF(G464=TRUE,"Holiday"))</f>
        <v>Working day</v>
      </c>
    </row>
    <row r="465" spans="1:24" x14ac:dyDescent="0.25">
      <c r="A465" s="32">
        <v>464</v>
      </c>
      <c r="B465" s="33">
        <v>40564</v>
      </c>
      <c r="C465" s="26">
        <v>1</v>
      </c>
      <c r="D465" s="26">
        <v>0</v>
      </c>
      <c r="E465" s="26">
        <v>1</v>
      </c>
      <c r="F465" s="26">
        <v>8</v>
      </c>
      <c r="G465" s="26" t="b">
        <v>0</v>
      </c>
      <c r="H465" s="26">
        <v>5</v>
      </c>
      <c r="I465" s="26">
        <v>1</v>
      </c>
      <c r="J465" s="26">
        <v>0.2</v>
      </c>
      <c r="K465" s="26">
        <v>0.18179999999999999</v>
      </c>
      <c r="L465" s="26">
        <v>0.47</v>
      </c>
      <c r="M465">
        <v>0.32840000000000003</v>
      </c>
      <c r="N465" s="26">
        <v>7</v>
      </c>
      <c r="O465" s="26">
        <v>210</v>
      </c>
      <c r="P465" s="26">
        <v>217</v>
      </c>
      <c r="Q465" s="34" t="str">
        <f t="shared" si="21"/>
        <v>Clear</v>
      </c>
      <c r="R465" s="41" t="str">
        <f>IF(I465=1,"Normal",IF(I465=2,"Yellow Alert",IF(I465=3,"Orange Alert",IF(I465=4,"Red Alert"))))</f>
        <v>Normal</v>
      </c>
      <c r="S465" s="60">
        <f t="shared" si="22"/>
        <v>21</v>
      </c>
      <c r="T465" s="60">
        <f>MONTH(dataset_1!B:B)</f>
        <v>1</v>
      </c>
      <c r="U465" s="60">
        <f t="shared" si="23"/>
        <v>2011</v>
      </c>
      <c r="V465" s="59" t="str">
        <f>TEXT(F465/24,"H AM/PM")</f>
        <v>8 AM</v>
      </c>
      <c r="W465" s="59" t="str">
        <f>IF(H465=6,"Saturday",IF(H465=0,"Sunday",IF(H465=1,"Monday",IF(H465=2,"Tuesday",IF(H465=3,"Wednesday",IF(H465=4,"Thursday",IF(H465=5,"Friday")))))))</f>
        <v>Friday</v>
      </c>
      <c r="X465" s="59" t="str">
        <f>IF(G465=FALSE,"Working day", IF(G465=TRUE,"Holiday"))</f>
        <v>Working day</v>
      </c>
    </row>
    <row r="466" spans="1:24" x14ac:dyDescent="0.25">
      <c r="A466" s="32">
        <v>465</v>
      </c>
      <c r="B466" s="33">
        <v>40564</v>
      </c>
      <c r="C466" s="26">
        <v>1</v>
      </c>
      <c r="D466" s="26">
        <v>0</v>
      </c>
      <c r="E466" s="26">
        <v>1</v>
      </c>
      <c r="F466" s="26">
        <v>9</v>
      </c>
      <c r="G466" s="26" t="b">
        <v>0</v>
      </c>
      <c r="H466" s="26">
        <v>5</v>
      </c>
      <c r="I466" s="26">
        <v>1</v>
      </c>
      <c r="J466" s="26">
        <v>0.2</v>
      </c>
      <c r="K466" s="26">
        <v>0.16669999999999999</v>
      </c>
      <c r="L466" s="26">
        <v>0.51</v>
      </c>
      <c r="M466">
        <v>0.35820000000000002</v>
      </c>
      <c r="N466" s="26">
        <v>7</v>
      </c>
      <c r="O466" s="26">
        <v>159</v>
      </c>
      <c r="P466" s="26">
        <v>166</v>
      </c>
      <c r="Q466" s="34" t="str">
        <f t="shared" si="21"/>
        <v>Clear</v>
      </c>
      <c r="R466" s="41" t="str">
        <f>IF(I466=1,"Normal",IF(I466=2,"Yellow Alert",IF(I466=3,"Orange Alert",IF(I466=4,"Red Alert"))))</f>
        <v>Normal</v>
      </c>
      <c r="S466" s="60">
        <f t="shared" si="22"/>
        <v>21</v>
      </c>
      <c r="T466" s="60">
        <f>MONTH(dataset_1!B:B)</f>
        <v>1</v>
      </c>
      <c r="U466" s="60">
        <f t="shared" si="23"/>
        <v>2011</v>
      </c>
      <c r="V466" s="59" t="str">
        <f>TEXT(F466/24,"H AM/PM")</f>
        <v>9 AM</v>
      </c>
      <c r="W466" s="59" t="str">
        <f>IF(H466=6,"Saturday",IF(H466=0,"Sunday",IF(H466=1,"Monday",IF(H466=2,"Tuesday",IF(H466=3,"Wednesday",IF(H466=4,"Thursday",IF(H466=5,"Friday")))))))</f>
        <v>Friday</v>
      </c>
      <c r="X466" s="59" t="str">
        <f>IF(G466=FALSE,"Working day", IF(G466=TRUE,"Holiday"))</f>
        <v>Working day</v>
      </c>
    </row>
    <row r="467" spans="1:24" x14ac:dyDescent="0.25">
      <c r="A467" s="32">
        <v>466</v>
      </c>
      <c r="B467" s="33">
        <v>40564</v>
      </c>
      <c r="C467" s="26">
        <v>1</v>
      </c>
      <c r="D467" s="26">
        <v>0</v>
      </c>
      <c r="E467" s="26">
        <v>1</v>
      </c>
      <c r="F467" s="26">
        <v>10</v>
      </c>
      <c r="G467" s="26" t="b">
        <v>0</v>
      </c>
      <c r="H467" s="26">
        <v>5</v>
      </c>
      <c r="I467" s="26">
        <v>1</v>
      </c>
      <c r="J467" s="26">
        <v>0.2</v>
      </c>
      <c r="K467" s="26">
        <v>0.18179999999999999</v>
      </c>
      <c r="L467" s="26">
        <v>0.47</v>
      </c>
      <c r="M467">
        <v>0.4627</v>
      </c>
      <c r="N467" s="26">
        <v>6</v>
      </c>
      <c r="O467" s="26">
        <v>57</v>
      </c>
      <c r="P467" s="26">
        <v>63</v>
      </c>
      <c r="Q467" s="34" t="str">
        <f t="shared" si="21"/>
        <v>Clear</v>
      </c>
      <c r="R467" s="41" t="str">
        <f>IF(I467=1,"Normal",IF(I467=2,"Yellow Alert",IF(I467=3,"Orange Alert",IF(I467=4,"Red Alert"))))</f>
        <v>Normal</v>
      </c>
      <c r="S467" s="60">
        <f t="shared" si="22"/>
        <v>21</v>
      </c>
      <c r="T467" s="60">
        <f>MONTH(dataset_1!B:B)</f>
        <v>1</v>
      </c>
      <c r="U467" s="60">
        <f t="shared" si="23"/>
        <v>2011</v>
      </c>
      <c r="V467" s="59" t="str">
        <f>TEXT(F467/24,"H AM/PM")</f>
        <v>10 AM</v>
      </c>
      <c r="W467" s="59" t="str">
        <f>IF(H467=6,"Saturday",IF(H467=0,"Sunday",IF(H467=1,"Monday",IF(H467=2,"Tuesday",IF(H467=3,"Wednesday",IF(H467=4,"Thursday",IF(H467=5,"Friday")))))))</f>
        <v>Friday</v>
      </c>
      <c r="X467" s="59" t="str">
        <f>IF(G467=FALSE,"Working day", IF(G467=TRUE,"Holiday"))</f>
        <v>Working day</v>
      </c>
    </row>
    <row r="468" spans="1:24" x14ac:dyDescent="0.25">
      <c r="A468" s="32">
        <v>467</v>
      </c>
      <c r="B468" s="33">
        <v>40564</v>
      </c>
      <c r="C468" s="26">
        <v>1</v>
      </c>
      <c r="D468" s="26">
        <v>0</v>
      </c>
      <c r="E468" s="26">
        <v>1</v>
      </c>
      <c r="F468" s="26">
        <v>11</v>
      </c>
      <c r="G468" s="26" t="b">
        <v>0</v>
      </c>
      <c r="H468" s="26">
        <v>5</v>
      </c>
      <c r="I468" s="26">
        <v>1</v>
      </c>
      <c r="J468" s="26">
        <v>0.22</v>
      </c>
      <c r="K468" s="26">
        <v>0.18179999999999999</v>
      </c>
      <c r="L468" s="26">
        <v>0.41</v>
      </c>
      <c r="M468">
        <v>0.4627</v>
      </c>
      <c r="N468" s="26">
        <v>6</v>
      </c>
      <c r="O468" s="26">
        <v>53</v>
      </c>
      <c r="P468" s="26">
        <v>59</v>
      </c>
      <c r="Q468" s="34" t="str">
        <f t="shared" si="21"/>
        <v>Clear</v>
      </c>
      <c r="R468" s="41" t="str">
        <f>IF(I468=1,"Normal",IF(I468=2,"Yellow Alert",IF(I468=3,"Orange Alert",IF(I468=4,"Red Alert"))))</f>
        <v>Normal</v>
      </c>
      <c r="S468" s="60">
        <f t="shared" si="22"/>
        <v>21</v>
      </c>
      <c r="T468" s="60">
        <f>MONTH(dataset_1!B:B)</f>
        <v>1</v>
      </c>
      <c r="U468" s="60">
        <f t="shared" si="23"/>
        <v>2011</v>
      </c>
      <c r="V468" s="59" t="str">
        <f>TEXT(F468/24,"H AM/PM")</f>
        <v>11 AM</v>
      </c>
      <c r="W468" s="59" t="str">
        <f>IF(H468=6,"Saturday",IF(H468=0,"Sunday",IF(H468=1,"Monday",IF(H468=2,"Tuesday",IF(H468=3,"Wednesday",IF(H468=4,"Thursday",IF(H468=5,"Friday")))))))</f>
        <v>Friday</v>
      </c>
      <c r="X468" s="59" t="str">
        <f>IF(G468=FALSE,"Working day", IF(G468=TRUE,"Holiday"))</f>
        <v>Working day</v>
      </c>
    </row>
    <row r="469" spans="1:24" x14ac:dyDescent="0.25">
      <c r="A469" s="32">
        <v>468</v>
      </c>
      <c r="B469" s="33">
        <v>40564</v>
      </c>
      <c r="C469" s="26">
        <v>1</v>
      </c>
      <c r="D469" s="26">
        <v>0</v>
      </c>
      <c r="E469" s="26">
        <v>1</v>
      </c>
      <c r="F469" s="26">
        <v>12</v>
      </c>
      <c r="G469" s="26" t="b">
        <v>0</v>
      </c>
      <c r="H469" s="26">
        <v>5</v>
      </c>
      <c r="I469" s="26">
        <v>1</v>
      </c>
      <c r="J469" s="26">
        <v>0.22</v>
      </c>
      <c r="K469" s="26">
        <v>0.1515</v>
      </c>
      <c r="L469" s="26">
        <v>0.27</v>
      </c>
      <c r="M469">
        <v>0.58209999999999995</v>
      </c>
      <c r="N469" s="26">
        <v>11</v>
      </c>
      <c r="O469" s="26">
        <v>67</v>
      </c>
      <c r="P469" s="26">
        <v>78</v>
      </c>
      <c r="Q469" s="34" t="str">
        <f t="shared" si="21"/>
        <v>Clear</v>
      </c>
      <c r="R469" s="41" t="str">
        <f>IF(I469=1,"Normal",IF(I469=2,"Yellow Alert",IF(I469=3,"Orange Alert",IF(I469=4,"Red Alert"))))</f>
        <v>Normal</v>
      </c>
      <c r="S469" s="60">
        <f t="shared" si="22"/>
        <v>21</v>
      </c>
      <c r="T469" s="60">
        <f>MONTH(dataset_1!B:B)</f>
        <v>1</v>
      </c>
      <c r="U469" s="60">
        <f t="shared" si="23"/>
        <v>2011</v>
      </c>
      <c r="V469" s="59" t="str">
        <f>TEXT(F469/24,"H AM/PM")</f>
        <v>12 PM</v>
      </c>
      <c r="W469" s="59" t="str">
        <f>IF(H469=6,"Saturday",IF(H469=0,"Sunday",IF(H469=1,"Monday",IF(H469=2,"Tuesday",IF(H469=3,"Wednesday",IF(H469=4,"Thursday",IF(H469=5,"Friday")))))))</f>
        <v>Friday</v>
      </c>
      <c r="X469" s="59" t="str">
        <f>IF(G469=FALSE,"Working day", IF(G469=TRUE,"Holiday"))</f>
        <v>Working day</v>
      </c>
    </row>
    <row r="470" spans="1:24" x14ac:dyDescent="0.25">
      <c r="A470" s="32">
        <v>469</v>
      </c>
      <c r="B470" s="33">
        <v>40564</v>
      </c>
      <c r="C470" s="26">
        <v>1</v>
      </c>
      <c r="D470" s="26">
        <v>0</v>
      </c>
      <c r="E470" s="26">
        <v>1</v>
      </c>
      <c r="F470" s="26">
        <v>13</v>
      </c>
      <c r="G470" s="26" t="b">
        <v>0</v>
      </c>
      <c r="H470" s="26">
        <v>5</v>
      </c>
      <c r="I470" s="26">
        <v>1</v>
      </c>
      <c r="J470" s="26">
        <v>0.2</v>
      </c>
      <c r="K470" s="26">
        <v>0.1515</v>
      </c>
      <c r="L470" s="26">
        <v>0.21</v>
      </c>
      <c r="M470">
        <v>0.58209999999999995</v>
      </c>
      <c r="N470" s="26">
        <v>8</v>
      </c>
      <c r="O470" s="26">
        <v>65</v>
      </c>
      <c r="P470" s="26">
        <v>73</v>
      </c>
      <c r="Q470" s="34" t="str">
        <f t="shared" si="21"/>
        <v>Clear</v>
      </c>
      <c r="R470" s="41" t="str">
        <f>IF(I470=1,"Normal",IF(I470=2,"Yellow Alert",IF(I470=3,"Orange Alert",IF(I470=4,"Red Alert"))))</f>
        <v>Normal</v>
      </c>
      <c r="S470" s="60">
        <f t="shared" si="22"/>
        <v>21</v>
      </c>
      <c r="T470" s="60">
        <f>MONTH(dataset_1!B:B)</f>
        <v>1</v>
      </c>
      <c r="U470" s="60">
        <f t="shared" si="23"/>
        <v>2011</v>
      </c>
      <c r="V470" s="59" t="str">
        <f>TEXT(F470/24,"H AM/PM")</f>
        <v>1 PM</v>
      </c>
      <c r="W470" s="59" t="str">
        <f>IF(H470=6,"Saturday",IF(H470=0,"Sunday",IF(H470=1,"Monday",IF(H470=2,"Tuesday",IF(H470=3,"Wednesday",IF(H470=4,"Thursday",IF(H470=5,"Friday")))))))</f>
        <v>Friday</v>
      </c>
      <c r="X470" s="59" t="str">
        <f>IF(G470=FALSE,"Working day", IF(G470=TRUE,"Holiday"))</f>
        <v>Working day</v>
      </c>
    </row>
    <row r="471" spans="1:24" x14ac:dyDescent="0.25">
      <c r="A471" s="32">
        <v>470</v>
      </c>
      <c r="B471" s="33">
        <v>40564</v>
      </c>
      <c r="C471" s="26">
        <v>1</v>
      </c>
      <c r="D471" s="26">
        <v>0</v>
      </c>
      <c r="E471" s="26">
        <v>1</v>
      </c>
      <c r="F471" s="26">
        <v>14</v>
      </c>
      <c r="G471" s="26" t="b">
        <v>0</v>
      </c>
      <c r="H471" s="26">
        <v>5</v>
      </c>
      <c r="I471" s="26">
        <v>1</v>
      </c>
      <c r="J471" s="26">
        <v>0.2</v>
      </c>
      <c r="K471" s="26">
        <v>0.1212</v>
      </c>
      <c r="L471" s="26">
        <v>0.25</v>
      </c>
      <c r="M471">
        <v>0.52239999999999998</v>
      </c>
      <c r="N471" s="26">
        <v>6</v>
      </c>
      <c r="O471" s="26">
        <v>56</v>
      </c>
      <c r="P471" s="26">
        <v>62</v>
      </c>
      <c r="Q471" s="34" t="str">
        <f t="shared" si="21"/>
        <v>Clear</v>
      </c>
      <c r="R471" s="41" t="str">
        <f>IF(I471=1,"Normal",IF(I471=2,"Yellow Alert",IF(I471=3,"Orange Alert",IF(I471=4,"Red Alert"))))</f>
        <v>Normal</v>
      </c>
      <c r="S471" s="60">
        <f t="shared" si="22"/>
        <v>21</v>
      </c>
      <c r="T471" s="60">
        <f>MONTH(dataset_1!B:B)</f>
        <v>1</v>
      </c>
      <c r="U471" s="60">
        <f t="shared" si="23"/>
        <v>2011</v>
      </c>
      <c r="V471" s="59" t="str">
        <f>TEXT(F471/24,"H AM/PM")</f>
        <v>2 PM</v>
      </c>
      <c r="W471" s="59" t="str">
        <f>IF(H471=6,"Saturday",IF(H471=0,"Sunday",IF(H471=1,"Monday",IF(H471=2,"Tuesday",IF(H471=3,"Wednesday",IF(H471=4,"Thursday",IF(H471=5,"Friday")))))))</f>
        <v>Friday</v>
      </c>
      <c r="X471" s="59" t="str">
        <f>IF(G471=FALSE,"Working day", IF(G471=TRUE,"Holiday"))</f>
        <v>Working day</v>
      </c>
    </row>
    <row r="472" spans="1:24" x14ac:dyDescent="0.25">
      <c r="A472" s="32">
        <v>471</v>
      </c>
      <c r="B472" s="33">
        <v>40564</v>
      </c>
      <c r="C472" s="26">
        <v>1</v>
      </c>
      <c r="D472" s="26">
        <v>0</v>
      </c>
      <c r="E472" s="26">
        <v>1</v>
      </c>
      <c r="F472" s="26">
        <v>15</v>
      </c>
      <c r="G472" s="26" t="b">
        <v>0</v>
      </c>
      <c r="H472" s="26">
        <v>5</v>
      </c>
      <c r="I472" s="26">
        <v>1</v>
      </c>
      <c r="J472" s="26">
        <v>0.16</v>
      </c>
      <c r="K472" s="26">
        <v>0.13639999999999999</v>
      </c>
      <c r="L472" s="26">
        <v>0.26</v>
      </c>
      <c r="M472">
        <v>0.44779999999999998</v>
      </c>
      <c r="N472" s="26">
        <v>4</v>
      </c>
      <c r="O472" s="26">
        <v>61</v>
      </c>
      <c r="P472" s="26">
        <v>65</v>
      </c>
      <c r="Q472" s="34" t="str">
        <f t="shared" si="21"/>
        <v>Clear</v>
      </c>
      <c r="R472" s="41" t="str">
        <f>IF(I472=1,"Normal",IF(I472=2,"Yellow Alert",IF(I472=3,"Orange Alert",IF(I472=4,"Red Alert"))))</f>
        <v>Normal</v>
      </c>
      <c r="S472" s="60">
        <f t="shared" si="22"/>
        <v>21</v>
      </c>
      <c r="T472" s="60">
        <f>MONTH(dataset_1!B:B)</f>
        <v>1</v>
      </c>
      <c r="U472" s="60">
        <f t="shared" si="23"/>
        <v>2011</v>
      </c>
      <c r="V472" s="59" t="str">
        <f>TEXT(F472/24,"H AM/PM")</f>
        <v>3 PM</v>
      </c>
      <c r="W472" s="59" t="str">
        <f>IF(H472=6,"Saturday",IF(H472=0,"Sunday",IF(H472=1,"Monday",IF(H472=2,"Tuesday",IF(H472=3,"Wednesday",IF(H472=4,"Thursday",IF(H472=5,"Friday")))))))</f>
        <v>Friday</v>
      </c>
      <c r="X472" s="59" t="str">
        <f>IF(G472=FALSE,"Working day", IF(G472=TRUE,"Holiday"))</f>
        <v>Working day</v>
      </c>
    </row>
    <row r="473" spans="1:24" x14ac:dyDescent="0.25">
      <c r="A473" s="32">
        <v>472</v>
      </c>
      <c r="B473" s="33">
        <v>40564</v>
      </c>
      <c r="C473" s="26">
        <v>1</v>
      </c>
      <c r="D473" s="26">
        <v>0</v>
      </c>
      <c r="E473" s="26">
        <v>1</v>
      </c>
      <c r="F473" s="26">
        <v>16</v>
      </c>
      <c r="G473" s="26" t="b">
        <v>0</v>
      </c>
      <c r="H473" s="26">
        <v>5</v>
      </c>
      <c r="I473" s="26">
        <v>1</v>
      </c>
      <c r="J473" s="26">
        <v>0.16</v>
      </c>
      <c r="K473" s="26">
        <v>0.1212</v>
      </c>
      <c r="L473" s="26">
        <v>0.26</v>
      </c>
      <c r="M473">
        <v>0.35820000000000002</v>
      </c>
      <c r="N473" s="26">
        <v>0</v>
      </c>
      <c r="O473" s="26">
        <v>97</v>
      </c>
      <c r="P473" s="26">
        <v>97</v>
      </c>
      <c r="Q473" s="34" t="str">
        <f t="shared" si="21"/>
        <v>Clear</v>
      </c>
      <c r="R473" s="41" t="str">
        <f>IF(I473=1,"Normal",IF(I473=2,"Yellow Alert",IF(I473=3,"Orange Alert",IF(I473=4,"Red Alert"))))</f>
        <v>Normal</v>
      </c>
      <c r="S473" s="60">
        <f t="shared" si="22"/>
        <v>21</v>
      </c>
      <c r="T473" s="60">
        <f>MONTH(dataset_1!B:B)</f>
        <v>1</v>
      </c>
      <c r="U473" s="60">
        <f t="shared" si="23"/>
        <v>2011</v>
      </c>
      <c r="V473" s="59" t="str">
        <f>TEXT(F473/24,"H AM/PM")</f>
        <v>4 PM</v>
      </c>
      <c r="W473" s="59" t="str">
        <f>IF(H473=6,"Saturday",IF(H473=0,"Sunday",IF(H473=1,"Monday",IF(H473=2,"Tuesday",IF(H473=3,"Wednesday",IF(H473=4,"Thursday",IF(H473=5,"Friday")))))))</f>
        <v>Friday</v>
      </c>
      <c r="X473" s="59" t="str">
        <f>IF(G473=FALSE,"Working day", IF(G473=TRUE,"Holiday"))</f>
        <v>Working day</v>
      </c>
    </row>
    <row r="474" spans="1:24" x14ac:dyDescent="0.25">
      <c r="A474" s="32">
        <v>473</v>
      </c>
      <c r="B474" s="33">
        <v>40564</v>
      </c>
      <c r="C474" s="26">
        <v>1</v>
      </c>
      <c r="D474" s="26">
        <v>0</v>
      </c>
      <c r="E474" s="26">
        <v>1</v>
      </c>
      <c r="F474" s="26">
        <v>17</v>
      </c>
      <c r="G474" s="26" t="b">
        <v>0</v>
      </c>
      <c r="H474" s="26">
        <v>5</v>
      </c>
      <c r="I474" s="26">
        <v>1</v>
      </c>
      <c r="J474" s="26">
        <v>0.14000000000000001</v>
      </c>
      <c r="K474" s="26">
        <v>0.1212</v>
      </c>
      <c r="L474" s="26">
        <v>0.28000000000000003</v>
      </c>
      <c r="M474">
        <v>0.35820000000000002</v>
      </c>
      <c r="N474" s="26">
        <v>10</v>
      </c>
      <c r="O474" s="26">
        <v>151</v>
      </c>
      <c r="P474" s="26">
        <v>161</v>
      </c>
      <c r="Q474" s="34" t="str">
        <f t="shared" si="21"/>
        <v>Clear</v>
      </c>
      <c r="R474" s="41" t="str">
        <f>IF(I474=1,"Normal",IF(I474=2,"Yellow Alert",IF(I474=3,"Orange Alert",IF(I474=4,"Red Alert"))))</f>
        <v>Normal</v>
      </c>
      <c r="S474" s="60">
        <f t="shared" si="22"/>
        <v>21</v>
      </c>
      <c r="T474" s="60">
        <f>MONTH(dataset_1!B:B)</f>
        <v>1</v>
      </c>
      <c r="U474" s="60">
        <f t="shared" si="23"/>
        <v>2011</v>
      </c>
      <c r="V474" s="59" t="str">
        <f>TEXT(F474/24,"H AM/PM")</f>
        <v>5 PM</v>
      </c>
      <c r="W474" s="59" t="str">
        <f>IF(H474=6,"Saturday",IF(H474=0,"Sunday",IF(H474=1,"Monday",IF(H474=2,"Tuesday",IF(H474=3,"Wednesday",IF(H474=4,"Thursday",IF(H474=5,"Friday")))))))</f>
        <v>Friday</v>
      </c>
      <c r="X474" s="59" t="str">
        <f>IF(G474=FALSE,"Working day", IF(G474=TRUE,"Holiday"))</f>
        <v>Working day</v>
      </c>
    </row>
    <row r="475" spans="1:24" x14ac:dyDescent="0.25">
      <c r="A475" s="32">
        <v>474</v>
      </c>
      <c r="B475" s="33">
        <v>40564</v>
      </c>
      <c r="C475" s="26">
        <v>1</v>
      </c>
      <c r="D475" s="26">
        <v>0</v>
      </c>
      <c r="E475" s="26">
        <v>1</v>
      </c>
      <c r="F475" s="26">
        <v>18</v>
      </c>
      <c r="G475" s="26" t="b">
        <v>0</v>
      </c>
      <c r="H475" s="26">
        <v>5</v>
      </c>
      <c r="I475" s="26">
        <v>1</v>
      </c>
      <c r="J475" s="26">
        <v>0.12</v>
      </c>
      <c r="K475" s="26">
        <v>0.1061</v>
      </c>
      <c r="L475" s="26">
        <v>0.3</v>
      </c>
      <c r="M475">
        <v>0.25369999999999998</v>
      </c>
      <c r="N475" s="26">
        <v>1</v>
      </c>
      <c r="O475" s="26">
        <v>119</v>
      </c>
      <c r="P475" s="26">
        <v>120</v>
      </c>
      <c r="Q475" s="34" t="str">
        <f t="shared" si="21"/>
        <v>Clear</v>
      </c>
      <c r="R475" s="41" t="str">
        <f>IF(I475=1,"Normal",IF(I475=2,"Yellow Alert",IF(I475=3,"Orange Alert",IF(I475=4,"Red Alert"))))</f>
        <v>Normal</v>
      </c>
      <c r="S475" s="60">
        <f t="shared" si="22"/>
        <v>21</v>
      </c>
      <c r="T475" s="60">
        <f>MONTH(dataset_1!B:B)</f>
        <v>1</v>
      </c>
      <c r="U475" s="60">
        <f t="shared" si="23"/>
        <v>2011</v>
      </c>
      <c r="V475" s="59" t="str">
        <f>TEXT(F475/24,"H AM/PM")</f>
        <v>6 PM</v>
      </c>
      <c r="W475" s="59" t="str">
        <f>IF(H475=6,"Saturday",IF(H475=0,"Sunday",IF(H475=1,"Monday",IF(H475=2,"Tuesday",IF(H475=3,"Wednesday",IF(H475=4,"Thursday",IF(H475=5,"Friday")))))))</f>
        <v>Friday</v>
      </c>
      <c r="X475" s="59" t="str">
        <f>IF(G475=FALSE,"Working day", IF(G475=TRUE,"Holiday"))</f>
        <v>Working day</v>
      </c>
    </row>
    <row r="476" spans="1:24" x14ac:dyDescent="0.25">
      <c r="A476" s="32">
        <v>475</v>
      </c>
      <c r="B476" s="33">
        <v>40564</v>
      </c>
      <c r="C476" s="26">
        <v>1</v>
      </c>
      <c r="D476" s="26">
        <v>0</v>
      </c>
      <c r="E476" s="26">
        <v>1</v>
      </c>
      <c r="F476" s="26">
        <v>19</v>
      </c>
      <c r="G476" s="26" t="b">
        <v>0</v>
      </c>
      <c r="H476" s="26">
        <v>5</v>
      </c>
      <c r="I476" s="26">
        <v>1</v>
      </c>
      <c r="J476" s="26">
        <v>0.12</v>
      </c>
      <c r="K476" s="26">
        <v>7.5800000000000006E-2</v>
      </c>
      <c r="L476" s="26">
        <v>0.3</v>
      </c>
      <c r="M476">
        <v>0.32840000000000003</v>
      </c>
      <c r="N476" s="26">
        <v>3</v>
      </c>
      <c r="O476" s="26">
        <v>93</v>
      </c>
      <c r="P476" s="26">
        <v>96</v>
      </c>
      <c r="Q476" s="34" t="str">
        <f t="shared" si="21"/>
        <v>Clear</v>
      </c>
      <c r="R476" s="41" t="str">
        <f>IF(I476=1,"Normal",IF(I476=2,"Yellow Alert",IF(I476=3,"Orange Alert",IF(I476=4,"Red Alert"))))</f>
        <v>Normal</v>
      </c>
      <c r="S476" s="60">
        <f t="shared" si="22"/>
        <v>21</v>
      </c>
      <c r="T476" s="60">
        <f>MONTH(dataset_1!B:B)</f>
        <v>1</v>
      </c>
      <c r="U476" s="60">
        <f t="shared" si="23"/>
        <v>2011</v>
      </c>
      <c r="V476" s="59" t="str">
        <f>TEXT(F476/24,"H AM/PM")</f>
        <v>7 PM</v>
      </c>
      <c r="W476" s="59" t="str">
        <f>IF(H476=6,"Saturday",IF(H476=0,"Sunday",IF(H476=1,"Monday",IF(H476=2,"Tuesday",IF(H476=3,"Wednesday",IF(H476=4,"Thursday",IF(H476=5,"Friday")))))))</f>
        <v>Friday</v>
      </c>
      <c r="X476" s="59" t="str">
        <f>IF(G476=FALSE,"Working day", IF(G476=TRUE,"Holiday"))</f>
        <v>Working day</v>
      </c>
    </row>
    <row r="477" spans="1:24" x14ac:dyDescent="0.25">
      <c r="A477" s="32">
        <v>476</v>
      </c>
      <c r="B477" s="33">
        <v>40564</v>
      </c>
      <c r="C477" s="26">
        <v>1</v>
      </c>
      <c r="D477" s="26">
        <v>0</v>
      </c>
      <c r="E477" s="26">
        <v>1</v>
      </c>
      <c r="F477" s="26">
        <v>20</v>
      </c>
      <c r="G477" s="26" t="b">
        <v>0</v>
      </c>
      <c r="H477" s="26">
        <v>5</v>
      </c>
      <c r="I477" s="26">
        <v>1</v>
      </c>
      <c r="J477" s="26">
        <v>0.1</v>
      </c>
      <c r="K477" s="26">
        <v>7.5800000000000006E-2</v>
      </c>
      <c r="L477" s="26">
        <v>0.33</v>
      </c>
      <c r="M477">
        <v>0.41789999999999999</v>
      </c>
      <c r="N477" s="26">
        <v>1</v>
      </c>
      <c r="O477" s="26">
        <v>52</v>
      </c>
      <c r="P477" s="26">
        <v>53</v>
      </c>
      <c r="Q477" s="34" t="str">
        <f t="shared" si="21"/>
        <v>Clear</v>
      </c>
      <c r="R477" s="41" t="str">
        <f>IF(I477=1,"Normal",IF(I477=2,"Yellow Alert",IF(I477=3,"Orange Alert",IF(I477=4,"Red Alert"))))</f>
        <v>Normal</v>
      </c>
      <c r="S477" s="60">
        <f t="shared" si="22"/>
        <v>21</v>
      </c>
      <c r="T477" s="60">
        <f>MONTH(dataset_1!B:B)</f>
        <v>1</v>
      </c>
      <c r="U477" s="60">
        <f t="shared" si="23"/>
        <v>2011</v>
      </c>
      <c r="V477" s="59" t="str">
        <f>TEXT(F477/24,"H AM/PM")</f>
        <v>8 PM</v>
      </c>
      <c r="W477" s="59" t="str">
        <f>IF(H477=6,"Saturday",IF(H477=0,"Sunday",IF(H477=1,"Monday",IF(H477=2,"Tuesday",IF(H477=3,"Wednesday",IF(H477=4,"Thursday",IF(H477=5,"Friday")))))))</f>
        <v>Friday</v>
      </c>
      <c r="X477" s="59" t="str">
        <f>IF(G477=FALSE,"Working day", IF(G477=TRUE,"Holiday"))</f>
        <v>Working day</v>
      </c>
    </row>
    <row r="478" spans="1:24" x14ac:dyDescent="0.25">
      <c r="A478" s="32">
        <v>477</v>
      </c>
      <c r="B478" s="33">
        <v>40564</v>
      </c>
      <c r="C478" s="26">
        <v>1</v>
      </c>
      <c r="D478" s="26">
        <v>0</v>
      </c>
      <c r="E478" s="26">
        <v>1</v>
      </c>
      <c r="F478" s="26">
        <v>21</v>
      </c>
      <c r="G478" s="26" t="b">
        <v>0</v>
      </c>
      <c r="H478" s="26">
        <v>5</v>
      </c>
      <c r="I478" s="26">
        <v>1</v>
      </c>
      <c r="J478" s="26">
        <v>0.08</v>
      </c>
      <c r="K478" s="26">
        <v>3.0300000000000001E-2</v>
      </c>
      <c r="L478" s="26">
        <v>0.38</v>
      </c>
      <c r="M478">
        <v>0.28360000000000002</v>
      </c>
      <c r="N478" s="26">
        <v>0</v>
      </c>
      <c r="O478" s="26">
        <v>41</v>
      </c>
      <c r="P478" s="26">
        <v>41</v>
      </c>
      <c r="Q478" s="34" t="str">
        <f t="shared" si="21"/>
        <v>Clear</v>
      </c>
      <c r="R478" s="41" t="str">
        <f>IF(I478=1,"Normal",IF(I478=2,"Yellow Alert",IF(I478=3,"Orange Alert",IF(I478=4,"Red Alert"))))</f>
        <v>Normal</v>
      </c>
      <c r="S478" s="60">
        <f t="shared" si="22"/>
        <v>21</v>
      </c>
      <c r="T478" s="60">
        <f>MONTH(dataset_1!B:B)</f>
        <v>1</v>
      </c>
      <c r="U478" s="60">
        <f t="shared" si="23"/>
        <v>2011</v>
      </c>
      <c r="V478" s="59" t="str">
        <f>TEXT(F478/24,"H AM/PM")</f>
        <v>9 PM</v>
      </c>
      <c r="W478" s="59" t="str">
        <f>IF(H478=6,"Saturday",IF(H478=0,"Sunday",IF(H478=1,"Monday",IF(H478=2,"Tuesday",IF(H478=3,"Wednesday",IF(H478=4,"Thursday",IF(H478=5,"Friday")))))))</f>
        <v>Friday</v>
      </c>
      <c r="X478" s="59" t="str">
        <f>IF(G478=FALSE,"Working day", IF(G478=TRUE,"Holiday"))</f>
        <v>Working day</v>
      </c>
    </row>
    <row r="479" spans="1:24" x14ac:dyDescent="0.25">
      <c r="A479" s="32">
        <v>478</v>
      </c>
      <c r="B479" s="33">
        <v>40564</v>
      </c>
      <c r="C479" s="26">
        <v>1</v>
      </c>
      <c r="D479" s="26">
        <v>0</v>
      </c>
      <c r="E479" s="26">
        <v>1</v>
      </c>
      <c r="F479" s="26">
        <v>22</v>
      </c>
      <c r="G479" s="26" t="b">
        <v>0</v>
      </c>
      <c r="H479" s="26">
        <v>5</v>
      </c>
      <c r="I479" s="26">
        <v>1</v>
      </c>
      <c r="J479" s="26">
        <v>0.06</v>
      </c>
      <c r="K479" s="26">
        <v>4.5499999999999999E-2</v>
      </c>
      <c r="L479" s="26">
        <v>0.41</v>
      </c>
      <c r="M479">
        <v>0.3881</v>
      </c>
      <c r="N479" s="26">
        <v>1</v>
      </c>
      <c r="O479" s="26">
        <v>33</v>
      </c>
      <c r="P479" s="26">
        <v>34</v>
      </c>
      <c r="Q479" s="34" t="str">
        <f t="shared" si="21"/>
        <v>Clear</v>
      </c>
      <c r="R479" s="41" t="str">
        <f>IF(I479=1,"Normal",IF(I479=2,"Yellow Alert",IF(I479=3,"Orange Alert",IF(I479=4,"Red Alert"))))</f>
        <v>Normal</v>
      </c>
      <c r="S479" s="60">
        <f t="shared" si="22"/>
        <v>21</v>
      </c>
      <c r="T479" s="60">
        <f>MONTH(dataset_1!B:B)</f>
        <v>1</v>
      </c>
      <c r="U479" s="60">
        <f t="shared" si="23"/>
        <v>2011</v>
      </c>
      <c r="V479" s="59" t="str">
        <f>TEXT(F479/24,"H AM/PM")</f>
        <v>10 PM</v>
      </c>
      <c r="W479" s="59" t="str">
        <f>IF(H479=6,"Saturday",IF(H479=0,"Sunday",IF(H479=1,"Monday",IF(H479=2,"Tuesday",IF(H479=3,"Wednesday",IF(H479=4,"Thursday",IF(H479=5,"Friday")))))))</f>
        <v>Friday</v>
      </c>
      <c r="X479" s="59" t="str">
        <f>IF(G479=FALSE,"Working day", IF(G479=TRUE,"Holiday"))</f>
        <v>Working day</v>
      </c>
    </row>
    <row r="480" spans="1:24" x14ac:dyDescent="0.25">
      <c r="A480" s="32">
        <v>479</v>
      </c>
      <c r="B480" s="33">
        <v>40564</v>
      </c>
      <c r="C480" s="26">
        <v>1</v>
      </c>
      <c r="D480" s="26">
        <v>0</v>
      </c>
      <c r="E480" s="26">
        <v>1</v>
      </c>
      <c r="F480" s="26">
        <v>23</v>
      </c>
      <c r="G480" s="26" t="b">
        <v>0</v>
      </c>
      <c r="H480" s="26">
        <v>5</v>
      </c>
      <c r="I480" s="26">
        <v>1</v>
      </c>
      <c r="J480" s="26">
        <v>0.06</v>
      </c>
      <c r="K480" s="26">
        <v>3.0300000000000001E-2</v>
      </c>
      <c r="L480" s="26">
        <v>0.38</v>
      </c>
      <c r="M480">
        <v>0.32840000000000003</v>
      </c>
      <c r="N480" s="26">
        <v>0</v>
      </c>
      <c r="O480" s="26">
        <v>27</v>
      </c>
      <c r="P480" s="26">
        <v>27</v>
      </c>
      <c r="Q480" s="34" t="str">
        <f t="shared" si="21"/>
        <v>Clear</v>
      </c>
      <c r="R480" s="41" t="str">
        <f>IF(I480=1,"Normal",IF(I480=2,"Yellow Alert",IF(I480=3,"Orange Alert",IF(I480=4,"Red Alert"))))</f>
        <v>Normal</v>
      </c>
      <c r="S480" s="60">
        <f t="shared" si="22"/>
        <v>21</v>
      </c>
      <c r="T480" s="60">
        <f>MONTH(dataset_1!B:B)</f>
        <v>1</v>
      </c>
      <c r="U480" s="60">
        <f t="shared" si="23"/>
        <v>2011</v>
      </c>
      <c r="V480" s="59" t="str">
        <f>TEXT(F480/24,"H AM/PM")</f>
        <v>11 PM</v>
      </c>
      <c r="W480" s="59" t="str">
        <f>IF(H480=6,"Saturday",IF(H480=0,"Sunday",IF(H480=1,"Monday",IF(H480=2,"Tuesday",IF(H480=3,"Wednesday",IF(H480=4,"Thursday",IF(H480=5,"Friday")))))))</f>
        <v>Friday</v>
      </c>
      <c r="X480" s="59" t="str">
        <f>IF(G480=FALSE,"Working day", IF(G480=TRUE,"Holiday"))</f>
        <v>Working day</v>
      </c>
    </row>
    <row r="481" spans="1:24" x14ac:dyDescent="0.25">
      <c r="A481" s="32">
        <v>480</v>
      </c>
      <c r="B481" s="33">
        <v>40565</v>
      </c>
      <c r="C481" s="26">
        <v>1</v>
      </c>
      <c r="D481" s="26">
        <v>0</v>
      </c>
      <c r="E481" s="26">
        <v>1</v>
      </c>
      <c r="F481" s="26">
        <v>0</v>
      </c>
      <c r="G481" s="26" t="b">
        <v>0</v>
      </c>
      <c r="H481" s="26">
        <v>6</v>
      </c>
      <c r="I481" s="26">
        <v>1</v>
      </c>
      <c r="J481" s="26">
        <v>0.04</v>
      </c>
      <c r="K481" s="26">
        <v>0</v>
      </c>
      <c r="L481" s="26">
        <v>0.45</v>
      </c>
      <c r="M481">
        <v>0.25369999999999998</v>
      </c>
      <c r="N481" s="26">
        <v>0</v>
      </c>
      <c r="O481" s="26">
        <v>13</v>
      </c>
      <c r="P481" s="26">
        <v>13</v>
      </c>
      <c r="Q481" s="34" t="str">
        <f t="shared" si="21"/>
        <v>Clear</v>
      </c>
      <c r="R481" s="41" t="str">
        <f>IF(I481=1,"Normal",IF(I481=2,"Yellow Alert",IF(I481=3,"Orange Alert",IF(I481=4,"Red Alert"))))</f>
        <v>Normal</v>
      </c>
      <c r="S481" s="60">
        <f t="shared" si="22"/>
        <v>22</v>
      </c>
      <c r="T481" s="60">
        <f>MONTH(dataset_1!B:B)</f>
        <v>1</v>
      </c>
      <c r="U481" s="60">
        <f t="shared" si="23"/>
        <v>2011</v>
      </c>
      <c r="V481" s="59" t="str">
        <f>TEXT(F481/24,"H AM/PM")</f>
        <v>12 AM</v>
      </c>
      <c r="W481" s="59" t="str">
        <f>IF(H481=6,"Saturday",IF(H481=0,"Sunday",IF(H481=1,"Monday",IF(H481=2,"Tuesday",IF(H481=3,"Wednesday",IF(H481=4,"Thursday",IF(H481=5,"Friday")))))))</f>
        <v>Saturday</v>
      </c>
      <c r="X481" s="59" t="str">
        <f>IF(G481=FALSE,"Working day", IF(G481=TRUE,"Holiday"))</f>
        <v>Working day</v>
      </c>
    </row>
    <row r="482" spans="1:24" x14ac:dyDescent="0.25">
      <c r="A482" s="32">
        <v>481</v>
      </c>
      <c r="B482" s="33">
        <v>40565</v>
      </c>
      <c r="C482" s="26">
        <v>1</v>
      </c>
      <c r="D482" s="26">
        <v>0</v>
      </c>
      <c r="E482" s="26">
        <v>1</v>
      </c>
      <c r="F482" s="26">
        <v>1</v>
      </c>
      <c r="G482" s="26" t="b">
        <v>0</v>
      </c>
      <c r="H482" s="26">
        <v>6</v>
      </c>
      <c r="I482" s="26">
        <v>2</v>
      </c>
      <c r="J482" s="26">
        <v>0.04</v>
      </c>
      <c r="K482" s="26">
        <v>3.0300000000000001E-2</v>
      </c>
      <c r="L482" s="26">
        <v>0.41</v>
      </c>
      <c r="M482">
        <v>0.3881</v>
      </c>
      <c r="N482" s="26">
        <v>3</v>
      </c>
      <c r="O482" s="26">
        <v>9</v>
      </c>
      <c r="P482" s="26">
        <v>12</v>
      </c>
      <c r="Q482" s="34" t="str">
        <f t="shared" si="21"/>
        <v>Cloudy</v>
      </c>
      <c r="R482" s="41" t="str">
        <f>IF(I482=1,"Normal",IF(I482=2,"Yellow Alert",IF(I482=3,"Orange Alert",IF(I482=4,"Red Alert"))))</f>
        <v>Yellow Alert</v>
      </c>
      <c r="S482" s="60">
        <f t="shared" si="22"/>
        <v>22</v>
      </c>
      <c r="T482" s="60">
        <f>MONTH(dataset_1!B:B)</f>
        <v>1</v>
      </c>
      <c r="U482" s="60">
        <f t="shared" si="23"/>
        <v>2011</v>
      </c>
      <c r="V482" s="59" t="str">
        <f>TEXT(F482/24,"H AM/PM")</f>
        <v>1 AM</v>
      </c>
      <c r="W482" s="59" t="str">
        <f>IF(H482=6,"Saturday",IF(H482=0,"Sunday",IF(H482=1,"Monday",IF(H482=2,"Tuesday",IF(H482=3,"Wednesday",IF(H482=4,"Thursday",IF(H482=5,"Friday")))))))</f>
        <v>Saturday</v>
      </c>
      <c r="X482" s="59" t="str">
        <f>IF(G482=FALSE,"Working day", IF(G482=TRUE,"Holiday"))</f>
        <v>Working day</v>
      </c>
    </row>
    <row r="483" spans="1:24" x14ac:dyDescent="0.25">
      <c r="A483" s="32">
        <v>482</v>
      </c>
      <c r="B483" s="33">
        <v>40565</v>
      </c>
      <c r="C483" s="26">
        <v>1</v>
      </c>
      <c r="D483" s="26">
        <v>0</v>
      </c>
      <c r="E483" s="26">
        <v>1</v>
      </c>
      <c r="F483" s="26">
        <v>2</v>
      </c>
      <c r="G483" s="26" t="b">
        <v>0</v>
      </c>
      <c r="H483" s="26">
        <v>6</v>
      </c>
      <c r="I483" s="26">
        <v>2</v>
      </c>
      <c r="J483" s="26">
        <v>0.04</v>
      </c>
      <c r="K483" s="26">
        <v>3.0300000000000001E-2</v>
      </c>
      <c r="L483" s="26">
        <v>0.41</v>
      </c>
      <c r="M483">
        <v>0.25369999999999998</v>
      </c>
      <c r="N483" s="26">
        <v>0</v>
      </c>
      <c r="O483" s="26">
        <v>11</v>
      </c>
      <c r="P483" s="26">
        <v>11</v>
      </c>
      <c r="Q483" s="34" t="str">
        <f t="shared" si="21"/>
        <v>Cloudy</v>
      </c>
      <c r="R483" s="41" t="str">
        <f>IF(I483=1,"Normal",IF(I483=2,"Yellow Alert",IF(I483=3,"Orange Alert",IF(I483=4,"Red Alert"))))</f>
        <v>Yellow Alert</v>
      </c>
      <c r="S483" s="60">
        <f t="shared" si="22"/>
        <v>22</v>
      </c>
      <c r="T483" s="60">
        <f>MONTH(dataset_1!B:B)</f>
        <v>1</v>
      </c>
      <c r="U483" s="60">
        <f t="shared" si="23"/>
        <v>2011</v>
      </c>
      <c r="V483" s="59" t="str">
        <f>TEXT(F483/24,"H AM/PM")</f>
        <v>2 AM</v>
      </c>
      <c r="W483" s="59" t="str">
        <f>IF(H483=6,"Saturday",IF(H483=0,"Sunday",IF(H483=1,"Monday",IF(H483=2,"Tuesday",IF(H483=3,"Wednesday",IF(H483=4,"Thursday",IF(H483=5,"Friday")))))))</f>
        <v>Saturday</v>
      </c>
      <c r="X483" s="59" t="str">
        <f>IF(G483=FALSE,"Working day", IF(G483=TRUE,"Holiday"))</f>
        <v>Working day</v>
      </c>
    </row>
    <row r="484" spans="1:24" x14ac:dyDescent="0.25">
      <c r="A484" s="32">
        <v>483</v>
      </c>
      <c r="B484" s="33">
        <v>40565</v>
      </c>
      <c r="C484" s="26">
        <v>1</v>
      </c>
      <c r="D484" s="26">
        <v>0</v>
      </c>
      <c r="E484" s="26">
        <v>1</v>
      </c>
      <c r="F484" s="26">
        <v>3</v>
      </c>
      <c r="G484" s="26" t="b">
        <v>0</v>
      </c>
      <c r="H484" s="26">
        <v>6</v>
      </c>
      <c r="I484" s="26">
        <v>2</v>
      </c>
      <c r="J484" s="26">
        <v>0.04</v>
      </c>
      <c r="K484" s="26">
        <v>1.52E-2</v>
      </c>
      <c r="L484" s="26">
        <v>0.41</v>
      </c>
      <c r="M484">
        <v>0.28360000000000002</v>
      </c>
      <c r="N484" s="26">
        <v>1</v>
      </c>
      <c r="O484" s="26">
        <v>6</v>
      </c>
      <c r="P484" s="26">
        <v>7</v>
      </c>
      <c r="Q484" s="34" t="str">
        <f t="shared" si="21"/>
        <v>Cloudy</v>
      </c>
      <c r="R484" s="41" t="str">
        <f>IF(I484=1,"Normal",IF(I484=2,"Yellow Alert",IF(I484=3,"Orange Alert",IF(I484=4,"Red Alert"))))</f>
        <v>Yellow Alert</v>
      </c>
      <c r="S484" s="60">
        <f t="shared" si="22"/>
        <v>22</v>
      </c>
      <c r="T484" s="60">
        <f>MONTH(dataset_1!B:B)</f>
        <v>1</v>
      </c>
      <c r="U484" s="60">
        <f t="shared" si="23"/>
        <v>2011</v>
      </c>
      <c r="V484" s="59" t="str">
        <f>TEXT(F484/24,"H AM/PM")</f>
        <v>3 AM</v>
      </c>
      <c r="W484" s="59" t="str">
        <f>IF(H484=6,"Saturday",IF(H484=0,"Sunday",IF(H484=1,"Monday",IF(H484=2,"Tuesday",IF(H484=3,"Wednesday",IF(H484=4,"Thursday",IF(H484=5,"Friday")))))))</f>
        <v>Saturday</v>
      </c>
      <c r="X484" s="59" t="str">
        <f>IF(G484=FALSE,"Working day", IF(G484=TRUE,"Holiday"))</f>
        <v>Working day</v>
      </c>
    </row>
    <row r="485" spans="1:24" x14ac:dyDescent="0.25">
      <c r="A485" s="32">
        <v>484</v>
      </c>
      <c r="B485" s="33">
        <v>40565</v>
      </c>
      <c r="C485" s="26">
        <v>1</v>
      </c>
      <c r="D485" s="26">
        <v>0</v>
      </c>
      <c r="E485" s="26">
        <v>1</v>
      </c>
      <c r="F485" s="26">
        <v>4</v>
      </c>
      <c r="G485" s="26" t="b">
        <v>0</v>
      </c>
      <c r="H485" s="26">
        <v>6</v>
      </c>
      <c r="I485" s="26">
        <v>2</v>
      </c>
      <c r="J485" s="26">
        <v>0.02</v>
      </c>
      <c r="K485" s="26">
        <v>3.0300000000000001E-2</v>
      </c>
      <c r="L485" s="26">
        <v>0.48</v>
      </c>
      <c r="M485">
        <v>0.29849999999999999</v>
      </c>
      <c r="N485" s="26">
        <v>0</v>
      </c>
      <c r="O485" s="26">
        <v>3</v>
      </c>
      <c r="P485" s="26">
        <v>3</v>
      </c>
      <c r="Q485" s="34" t="str">
        <f t="shared" si="21"/>
        <v>Cloudy</v>
      </c>
      <c r="R485" s="41" t="str">
        <f>IF(I485=1,"Normal",IF(I485=2,"Yellow Alert",IF(I485=3,"Orange Alert",IF(I485=4,"Red Alert"))))</f>
        <v>Yellow Alert</v>
      </c>
      <c r="S485" s="60">
        <f t="shared" si="22"/>
        <v>22</v>
      </c>
      <c r="T485" s="60">
        <f>MONTH(dataset_1!B:B)</f>
        <v>1</v>
      </c>
      <c r="U485" s="60">
        <f t="shared" si="23"/>
        <v>2011</v>
      </c>
      <c r="V485" s="59" t="str">
        <f>TEXT(F485/24,"H AM/PM")</f>
        <v>4 AM</v>
      </c>
      <c r="W485" s="59" t="str">
        <f>IF(H485=6,"Saturday",IF(H485=0,"Sunday",IF(H485=1,"Monday",IF(H485=2,"Tuesday",IF(H485=3,"Wednesday",IF(H485=4,"Thursday",IF(H485=5,"Friday")))))))</f>
        <v>Saturday</v>
      </c>
      <c r="X485" s="59" t="str">
        <f>IF(G485=FALSE,"Working day", IF(G485=TRUE,"Holiday"))</f>
        <v>Working day</v>
      </c>
    </row>
    <row r="486" spans="1:24" x14ac:dyDescent="0.25">
      <c r="A486" s="32">
        <v>485</v>
      </c>
      <c r="B486" s="33">
        <v>40565</v>
      </c>
      <c r="C486" s="26">
        <v>1</v>
      </c>
      <c r="D486" s="26">
        <v>0</v>
      </c>
      <c r="E486" s="26">
        <v>1</v>
      </c>
      <c r="F486" s="26">
        <v>6</v>
      </c>
      <c r="G486" s="26" t="b">
        <v>0</v>
      </c>
      <c r="H486" s="26">
        <v>6</v>
      </c>
      <c r="I486" s="26">
        <v>2</v>
      </c>
      <c r="J486" s="26">
        <v>0.02</v>
      </c>
      <c r="K486" s="26">
        <v>1.52E-2</v>
      </c>
      <c r="L486" s="26">
        <v>0.44</v>
      </c>
      <c r="M486">
        <v>0.22389999999999999</v>
      </c>
      <c r="N486" s="26">
        <v>0</v>
      </c>
      <c r="O486" s="26">
        <v>2</v>
      </c>
      <c r="P486" s="26">
        <v>2</v>
      </c>
      <c r="Q486" s="34" t="str">
        <f t="shared" si="21"/>
        <v>Cloudy</v>
      </c>
      <c r="R486" s="41" t="str">
        <f>IF(I486=1,"Normal",IF(I486=2,"Yellow Alert",IF(I486=3,"Orange Alert",IF(I486=4,"Red Alert"))))</f>
        <v>Yellow Alert</v>
      </c>
      <c r="S486" s="60">
        <f t="shared" si="22"/>
        <v>22</v>
      </c>
      <c r="T486" s="60">
        <f>MONTH(dataset_1!B:B)</f>
        <v>1</v>
      </c>
      <c r="U486" s="60">
        <f t="shared" si="23"/>
        <v>2011</v>
      </c>
      <c r="V486" s="59" t="str">
        <f>TEXT(F486/24,"H AM/PM")</f>
        <v>6 AM</v>
      </c>
      <c r="W486" s="59" t="str">
        <f>IF(H486=6,"Saturday",IF(H486=0,"Sunday",IF(H486=1,"Monday",IF(H486=2,"Tuesday",IF(H486=3,"Wednesday",IF(H486=4,"Thursday",IF(H486=5,"Friday")))))))</f>
        <v>Saturday</v>
      </c>
      <c r="X486" s="59" t="str">
        <f>IF(G486=FALSE,"Working day", IF(G486=TRUE,"Holiday"))</f>
        <v>Working day</v>
      </c>
    </row>
    <row r="487" spans="1:24" x14ac:dyDescent="0.25">
      <c r="A487" s="32">
        <v>486</v>
      </c>
      <c r="B487" s="33">
        <v>40565</v>
      </c>
      <c r="C487" s="26">
        <v>1</v>
      </c>
      <c r="D487" s="26">
        <v>0</v>
      </c>
      <c r="E487" s="26">
        <v>1</v>
      </c>
      <c r="F487" s="26">
        <v>7</v>
      </c>
      <c r="G487" s="26" t="b">
        <v>0</v>
      </c>
      <c r="H487" s="26">
        <v>6</v>
      </c>
      <c r="I487" s="26">
        <v>1</v>
      </c>
      <c r="J487" s="26">
        <v>0.02</v>
      </c>
      <c r="K487" s="26">
        <v>0</v>
      </c>
      <c r="L487" s="26">
        <v>0.44</v>
      </c>
      <c r="M487">
        <v>0.28360000000000002</v>
      </c>
      <c r="N487" s="26">
        <v>0</v>
      </c>
      <c r="O487" s="26">
        <v>8</v>
      </c>
      <c r="P487" s="26">
        <v>8</v>
      </c>
      <c r="Q487" s="34" t="str">
        <f t="shared" si="21"/>
        <v>Clear</v>
      </c>
      <c r="R487" s="41" t="str">
        <f>IF(I487=1,"Normal",IF(I487=2,"Yellow Alert",IF(I487=3,"Orange Alert",IF(I487=4,"Red Alert"))))</f>
        <v>Normal</v>
      </c>
      <c r="S487" s="60">
        <f t="shared" si="22"/>
        <v>22</v>
      </c>
      <c r="T487" s="60">
        <f>MONTH(dataset_1!B:B)</f>
        <v>1</v>
      </c>
      <c r="U487" s="60">
        <f t="shared" si="23"/>
        <v>2011</v>
      </c>
      <c r="V487" s="59" t="str">
        <f>TEXT(F487/24,"H AM/PM")</f>
        <v>7 AM</v>
      </c>
      <c r="W487" s="59" t="str">
        <f>IF(H487=6,"Saturday",IF(H487=0,"Sunday",IF(H487=1,"Monday",IF(H487=2,"Tuesday",IF(H487=3,"Wednesday",IF(H487=4,"Thursday",IF(H487=5,"Friday")))))))</f>
        <v>Saturday</v>
      </c>
      <c r="X487" s="59" t="str">
        <f>IF(G487=FALSE,"Working day", IF(G487=TRUE,"Holiday"))</f>
        <v>Working day</v>
      </c>
    </row>
    <row r="488" spans="1:24" x14ac:dyDescent="0.25">
      <c r="A488" s="32">
        <v>487</v>
      </c>
      <c r="B488" s="33">
        <v>40565</v>
      </c>
      <c r="C488" s="26">
        <v>1</v>
      </c>
      <c r="D488" s="26">
        <v>0</v>
      </c>
      <c r="E488" s="26">
        <v>1</v>
      </c>
      <c r="F488" s="26">
        <v>8</v>
      </c>
      <c r="G488" s="26" t="b">
        <v>0</v>
      </c>
      <c r="H488" s="26">
        <v>6</v>
      </c>
      <c r="I488" s="26">
        <v>1</v>
      </c>
      <c r="J488" s="26">
        <v>0.02</v>
      </c>
      <c r="K488" s="26">
        <v>3.0300000000000001E-2</v>
      </c>
      <c r="L488" s="26">
        <v>0.44</v>
      </c>
      <c r="M488">
        <v>0.32840000000000003</v>
      </c>
      <c r="N488" s="26">
        <v>1</v>
      </c>
      <c r="O488" s="26">
        <v>26</v>
      </c>
      <c r="P488" s="26">
        <v>27</v>
      </c>
      <c r="Q488" s="34" t="str">
        <f t="shared" si="21"/>
        <v>Clear</v>
      </c>
      <c r="R488" s="41" t="str">
        <f>IF(I488=1,"Normal",IF(I488=2,"Yellow Alert",IF(I488=3,"Orange Alert",IF(I488=4,"Red Alert"))))</f>
        <v>Normal</v>
      </c>
      <c r="S488" s="60">
        <f t="shared" si="22"/>
        <v>22</v>
      </c>
      <c r="T488" s="60">
        <f>MONTH(dataset_1!B:B)</f>
        <v>1</v>
      </c>
      <c r="U488" s="60">
        <f t="shared" si="23"/>
        <v>2011</v>
      </c>
      <c r="V488" s="59" t="str">
        <f>TEXT(F488/24,"H AM/PM")</f>
        <v>8 AM</v>
      </c>
      <c r="W488" s="59" t="str">
        <f>IF(H488=6,"Saturday",IF(H488=0,"Sunday",IF(H488=1,"Monday",IF(H488=2,"Tuesday",IF(H488=3,"Wednesday",IF(H488=4,"Thursday",IF(H488=5,"Friday")))))))</f>
        <v>Saturday</v>
      </c>
      <c r="X488" s="59" t="str">
        <f>IF(G488=FALSE,"Working day", IF(G488=TRUE,"Holiday"))</f>
        <v>Working day</v>
      </c>
    </row>
    <row r="489" spans="1:24" x14ac:dyDescent="0.25">
      <c r="A489" s="32">
        <v>488</v>
      </c>
      <c r="B489" s="33">
        <v>40565</v>
      </c>
      <c r="C489" s="26">
        <v>1</v>
      </c>
      <c r="D489" s="26">
        <v>0</v>
      </c>
      <c r="E489" s="26">
        <v>1</v>
      </c>
      <c r="F489" s="26">
        <v>9</v>
      </c>
      <c r="G489" s="26" t="b">
        <v>0</v>
      </c>
      <c r="H489" s="26">
        <v>6</v>
      </c>
      <c r="I489" s="26">
        <v>1</v>
      </c>
      <c r="J489" s="26">
        <v>0.04</v>
      </c>
      <c r="K489" s="26">
        <v>6.0600000000000001E-2</v>
      </c>
      <c r="L489" s="26">
        <v>0.41</v>
      </c>
      <c r="M489">
        <v>0.25369999999999998</v>
      </c>
      <c r="N489" s="26">
        <v>3</v>
      </c>
      <c r="O489" s="26">
        <v>37</v>
      </c>
      <c r="P489" s="26">
        <v>40</v>
      </c>
      <c r="Q489" s="34" t="str">
        <f t="shared" si="21"/>
        <v>Clear</v>
      </c>
      <c r="R489" s="41" t="str">
        <f>IF(I489=1,"Normal",IF(I489=2,"Yellow Alert",IF(I489=3,"Orange Alert",IF(I489=4,"Red Alert"))))</f>
        <v>Normal</v>
      </c>
      <c r="S489" s="60">
        <f t="shared" si="22"/>
        <v>22</v>
      </c>
      <c r="T489" s="60">
        <f>MONTH(dataset_1!B:B)</f>
        <v>1</v>
      </c>
      <c r="U489" s="60">
        <f t="shared" si="23"/>
        <v>2011</v>
      </c>
      <c r="V489" s="59" t="str">
        <f>TEXT(F489/24,"H AM/PM")</f>
        <v>9 AM</v>
      </c>
      <c r="W489" s="59" t="str">
        <f>IF(H489=6,"Saturday",IF(H489=0,"Sunday",IF(H489=1,"Monday",IF(H489=2,"Tuesday",IF(H489=3,"Wednesday",IF(H489=4,"Thursday",IF(H489=5,"Friday")))))))</f>
        <v>Saturday</v>
      </c>
      <c r="X489" s="59" t="str">
        <f>IF(G489=FALSE,"Working day", IF(G489=TRUE,"Holiday"))</f>
        <v>Working day</v>
      </c>
    </row>
    <row r="490" spans="1:24" x14ac:dyDescent="0.25">
      <c r="A490" s="32">
        <v>489</v>
      </c>
      <c r="B490" s="33">
        <v>40565</v>
      </c>
      <c r="C490" s="26">
        <v>1</v>
      </c>
      <c r="D490" s="26">
        <v>0</v>
      </c>
      <c r="E490" s="26">
        <v>1</v>
      </c>
      <c r="F490" s="26">
        <v>10</v>
      </c>
      <c r="G490" s="26" t="b">
        <v>0</v>
      </c>
      <c r="H490" s="26">
        <v>6</v>
      </c>
      <c r="I490" s="26">
        <v>2</v>
      </c>
      <c r="J490" s="26">
        <v>0.04</v>
      </c>
      <c r="K490" s="26">
        <v>7.5800000000000006E-2</v>
      </c>
      <c r="L490" s="26">
        <v>0.41</v>
      </c>
      <c r="M490">
        <v>0.16420000000000001</v>
      </c>
      <c r="N490" s="26">
        <v>3</v>
      </c>
      <c r="O490" s="26">
        <v>50</v>
      </c>
      <c r="P490" s="26">
        <v>53</v>
      </c>
      <c r="Q490" s="34" t="str">
        <f t="shared" si="21"/>
        <v>Cloudy</v>
      </c>
      <c r="R490" s="41" t="str">
        <f>IF(I490=1,"Normal",IF(I490=2,"Yellow Alert",IF(I490=3,"Orange Alert",IF(I490=4,"Red Alert"))))</f>
        <v>Yellow Alert</v>
      </c>
      <c r="S490" s="60">
        <f t="shared" si="22"/>
        <v>22</v>
      </c>
      <c r="T490" s="60">
        <f>MONTH(dataset_1!B:B)</f>
        <v>1</v>
      </c>
      <c r="U490" s="60">
        <f t="shared" si="23"/>
        <v>2011</v>
      </c>
      <c r="V490" s="59" t="str">
        <f>TEXT(F490/24,"H AM/PM")</f>
        <v>10 AM</v>
      </c>
      <c r="W490" s="59" t="str">
        <f>IF(H490=6,"Saturday",IF(H490=0,"Sunday",IF(H490=1,"Monday",IF(H490=2,"Tuesday",IF(H490=3,"Wednesday",IF(H490=4,"Thursday",IF(H490=5,"Friday")))))))</f>
        <v>Saturday</v>
      </c>
      <c r="X490" s="59" t="str">
        <f>IF(G490=FALSE,"Working day", IF(G490=TRUE,"Holiday"))</f>
        <v>Working day</v>
      </c>
    </row>
    <row r="491" spans="1:24" x14ac:dyDescent="0.25">
      <c r="A491" s="32">
        <v>490</v>
      </c>
      <c r="B491" s="33">
        <v>40565</v>
      </c>
      <c r="C491" s="26">
        <v>1</v>
      </c>
      <c r="D491" s="26">
        <v>0</v>
      </c>
      <c r="E491" s="26">
        <v>1</v>
      </c>
      <c r="F491" s="26">
        <v>11</v>
      </c>
      <c r="G491" s="26" t="b">
        <v>0</v>
      </c>
      <c r="H491" s="26">
        <v>6</v>
      </c>
      <c r="I491" s="26">
        <v>2</v>
      </c>
      <c r="J491" s="26">
        <v>0.06</v>
      </c>
      <c r="K491" s="26">
        <v>0.1061</v>
      </c>
      <c r="L491" s="26">
        <v>0.38</v>
      </c>
      <c r="M491">
        <v>0.1343</v>
      </c>
      <c r="N491" s="26">
        <v>4</v>
      </c>
      <c r="O491" s="26">
        <v>59</v>
      </c>
      <c r="P491" s="26">
        <v>63</v>
      </c>
      <c r="Q491" s="34" t="str">
        <f t="shared" si="21"/>
        <v>Cloudy</v>
      </c>
      <c r="R491" s="41" t="str">
        <f>IF(I491=1,"Normal",IF(I491=2,"Yellow Alert",IF(I491=3,"Orange Alert",IF(I491=4,"Red Alert"))))</f>
        <v>Yellow Alert</v>
      </c>
      <c r="S491" s="60">
        <f t="shared" si="22"/>
        <v>22</v>
      </c>
      <c r="T491" s="60">
        <f>MONTH(dataset_1!B:B)</f>
        <v>1</v>
      </c>
      <c r="U491" s="60">
        <f t="shared" si="23"/>
        <v>2011</v>
      </c>
      <c r="V491" s="59" t="str">
        <f>TEXT(F491/24,"H AM/PM")</f>
        <v>11 AM</v>
      </c>
      <c r="W491" s="59" t="str">
        <f>IF(H491=6,"Saturday",IF(H491=0,"Sunday",IF(H491=1,"Monday",IF(H491=2,"Tuesday",IF(H491=3,"Wednesday",IF(H491=4,"Thursday",IF(H491=5,"Friday")))))))</f>
        <v>Saturday</v>
      </c>
      <c r="X491" s="59" t="str">
        <f>IF(G491=FALSE,"Working day", IF(G491=TRUE,"Holiday"))</f>
        <v>Working day</v>
      </c>
    </row>
    <row r="492" spans="1:24" x14ac:dyDescent="0.25">
      <c r="A492" s="32">
        <v>491</v>
      </c>
      <c r="B492" s="33">
        <v>40565</v>
      </c>
      <c r="C492" s="26">
        <v>1</v>
      </c>
      <c r="D492" s="26">
        <v>0</v>
      </c>
      <c r="E492" s="26">
        <v>1</v>
      </c>
      <c r="F492" s="26">
        <v>12</v>
      </c>
      <c r="G492" s="26" t="b">
        <v>0</v>
      </c>
      <c r="H492" s="26">
        <v>6</v>
      </c>
      <c r="I492" s="26">
        <v>2</v>
      </c>
      <c r="J492" s="26">
        <v>0.06</v>
      </c>
      <c r="K492" s="26">
        <v>0.16669999999999999</v>
      </c>
      <c r="L492" s="26">
        <v>0.38</v>
      </c>
      <c r="M492">
        <v>0.1045</v>
      </c>
      <c r="N492" s="26">
        <v>10</v>
      </c>
      <c r="O492" s="26">
        <v>60</v>
      </c>
      <c r="P492" s="26">
        <v>70</v>
      </c>
      <c r="Q492" s="34" t="str">
        <f t="shared" si="21"/>
        <v>Cloudy</v>
      </c>
      <c r="R492" s="41" t="str">
        <f>IF(I492=1,"Normal",IF(I492=2,"Yellow Alert",IF(I492=3,"Orange Alert",IF(I492=4,"Red Alert"))))</f>
        <v>Yellow Alert</v>
      </c>
      <c r="S492" s="60">
        <f t="shared" si="22"/>
        <v>22</v>
      </c>
      <c r="T492" s="60">
        <f>MONTH(dataset_1!B:B)</f>
        <v>1</v>
      </c>
      <c r="U492" s="60">
        <f t="shared" si="23"/>
        <v>2011</v>
      </c>
      <c r="V492" s="59" t="str">
        <f>TEXT(F492/24,"H AM/PM")</f>
        <v>12 PM</v>
      </c>
      <c r="W492" s="59" t="str">
        <f>IF(H492=6,"Saturday",IF(H492=0,"Sunday",IF(H492=1,"Monday",IF(H492=2,"Tuesday",IF(H492=3,"Wednesday",IF(H492=4,"Thursday",IF(H492=5,"Friday")))))))</f>
        <v>Saturday</v>
      </c>
      <c r="X492" s="59" t="str">
        <f>IF(G492=FALSE,"Working day", IF(G492=TRUE,"Holiday"))</f>
        <v>Working day</v>
      </c>
    </row>
    <row r="493" spans="1:24" x14ac:dyDescent="0.25">
      <c r="A493" s="32">
        <v>492</v>
      </c>
      <c r="B493" s="33">
        <v>40565</v>
      </c>
      <c r="C493" s="26">
        <v>1</v>
      </c>
      <c r="D493" s="26">
        <v>0</v>
      </c>
      <c r="E493" s="26">
        <v>1</v>
      </c>
      <c r="F493" s="26">
        <v>13</v>
      </c>
      <c r="G493" s="26" t="b">
        <v>0</v>
      </c>
      <c r="H493" s="26">
        <v>6</v>
      </c>
      <c r="I493" s="26">
        <v>1</v>
      </c>
      <c r="J493" s="26">
        <v>0.08</v>
      </c>
      <c r="K493" s="26">
        <v>0.13639999999999999</v>
      </c>
      <c r="L493" s="26">
        <v>0.35</v>
      </c>
      <c r="M493">
        <v>0</v>
      </c>
      <c r="N493" s="26">
        <v>12</v>
      </c>
      <c r="O493" s="26">
        <v>72</v>
      </c>
      <c r="P493" s="26">
        <v>84</v>
      </c>
      <c r="Q493" s="34" t="str">
        <f t="shared" si="21"/>
        <v>Clear</v>
      </c>
      <c r="R493" s="41" t="str">
        <f>IF(I493=1,"Normal",IF(I493=2,"Yellow Alert",IF(I493=3,"Orange Alert",IF(I493=4,"Red Alert"))))</f>
        <v>Normal</v>
      </c>
      <c r="S493" s="60">
        <f t="shared" si="22"/>
        <v>22</v>
      </c>
      <c r="T493" s="60">
        <f>MONTH(dataset_1!B:B)</f>
        <v>1</v>
      </c>
      <c r="U493" s="60">
        <f t="shared" si="23"/>
        <v>2011</v>
      </c>
      <c r="V493" s="59" t="str">
        <f>TEXT(F493/24,"H AM/PM")</f>
        <v>1 PM</v>
      </c>
      <c r="W493" s="59" t="str">
        <f>IF(H493=6,"Saturday",IF(H493=0,"Sunday",IF(H493=1,"Monday",IF(H493=2,"Tuesday",IF(H493=3,"Wednesday",IF(H493=4,"Thursday",IF(H493=5,"Friday")))))))</f>
        <v>Saturday</v>
      </c>
      <c r="X493" s="59" t="str">
        <f>IF(G493=FALSE,"Working day", IF(G493=TRUE,"Holiday"))</f>
        <v>Working day</v>
      </c>
    </row>
    <row r="494" spans="1:24" x14ac:dyDescent="0.25">
      <c r="A494" s="32">
        <v>493</v>
      </c>
      <c r="B494" s="33">
        <v>40565</v>
      </c>
      <c r="C494" s="26">
        <v>1</v>
      </c>
      <c r="D494" s="26">
        <v>0</v>
      </c>
      <c r="E494" s="26">
        <v>1</v>
      </c>
      <c r="F494" s="26">
        <v>14</v>
      </c>
      <c r="G494" s="26" t="b">
        <v>0</v>
      </c>
      <c r="H494" s="26">
        <v>6</v>
      </c>
      <c r="I494" s="26">
        <v>1</v>
      </c>
      <c r="J494" s="26">
        <v>0.1</v>
      </c>
      <c r="K494" s="26">
        <v>0.1515</v>
      </c>
      <c r="L494" s="26">
        <v>0.33</v>
      </c>
      <c r="M494">
        <v>0.1045</v>
      </c>
      <c r="N494" s="26">
        <v>11</v>
      </c>
      <c r="O494" s="26">
        <v>64</v>
      </c>
      <c r="P494" s="26">
        <v>75</v>
      </c>
      <c r="Q494" s="34" t="str">
        <f t="shared" si="21"/>
        <v>Clear</v>
      </c>
      <c r="R494" s="41" t="str">
        <f>IF(I494=1,"Normal",IF(I494=2,"Yellow Alert",IF(I494=3,"Orange Alert",IF(I494=4,"Red Alert"))))</f>
        <v>Normal</v>
      </c>
      <c r="S494" s="60">
        <f t="shared" si="22"/>
        <v>22</v>
      </c>
      <c r="T494" s="60">
        <f>MONTH(dataset_1!B:B)</f>
        <v>1</v>
      </c>
      <c r="U494" s="60">
        <f t="shared" si="23"/>
        <v>2011</v>
      </c>
      <c r="V494" s="59" t="str">
        <f>TEXT(F494/24,"H AM/PM")</f>
        <v>2 PM</v>
      </c>
      <c r="W494" s="59" t="str">
        <f>IF(H494=6,"Saturday",IF(H494=0,"Sunday",IF(H494=1,"Monday",IF(H494=2,"Tuesday",IF(H494=3,"Wednesday",IF(H494=4,"Thursday",IF(H494=5,"Friday")))))))</f>
        <v>Saturday</v>
      </c>
      <c r="X494" s="59" t="str">
        <f>IF(G494=FALSE,"Working day", IF(G494=TRUE,"Holiday"))</f>
        <v>Working day</v>
      </c>
    </row>
    <row r="495" spans="1:24" x14ac:dyDescent="0.25">
      <c r="A495" s="32">
        <v>494</v>
      </c>
      <c r="B495" s="33">
        <v>40565</v>
      </c>
      <c r="C495" s="26">
        <v>1</v>
      </c>
      <c r="D495" s="26">
        <v>0</v>
      </c>
      <c r="E495" s="26">
        <v>1</v>
      </c>
      <c r="F495" s="26">
        <v>15</v>
      </c>
      <c r="G495" s="26" t="b">
        <v>0</v>
      </c>
      <c r="H495" s="26">
        <v>6</v>
      </c>
      <c r="I495" s="26">
        <v>1</v>
      </c>
      <c r="J495" s="26">
        <v>0.12</v>
      </c>
      <c r="K495" s="26">
        <v>0.13639999999999999</v>
      </c>
      <c r="L495" s="26">
        <v>0.28000000000000003</v>
      </c>
      <c r="M495">
        <v>0</v>
      </c>
      <c r="N495" s="26">
        <v>10</v>
      </c>
      <c r="O495" s="26">
        <v>93</v>
      </c>
      <c r="P495" s="26">
        <v>103</v>
      </c>
      <c r="Q495" s="34" t="str">
        <f t="shared" si="21"/>
        <v>Clear</v>
      </c>
      <c r="R495" s="41" t="str">
        <f>IF(I495=1,"Normal",IF(I495=2,"Yellow Alert",IF(I495=3,"Orange Alert",IF(I495=4,"Red Alert"))))</f>
        <v>Normal</v>
      </c>
      <c r="S495" s="60">
        <f t="shared" si="22"/>
        <v>22</v>
      </c>
      <c r="T495" s="60">
        <f>MONTH(dataset_1!B:B)</f>
        <v>1</v>
      </c>
      <c r="U495" s="60">
        <f t="shared" si="23"/>
        <v>2011</v>
      </c>
      <c r="V495" s="59" t="str">
        <f>TEXT(F495/24,"H AM/PM")</f>
        <v>3 PM</v>
      </c>
      <c r="W495" s="59" t="str">
        <f>IF(H495=6,"Saturday",IF(H495=0,"Sunday",IF(H495=1,"Monday",IF(H495=2,"Tuesday",IF(H495=3,"Wednesday",IF(H495=4,"Thursday",IF(H495=5,"Friday")))))))</f>
        <v>Saturday</v>
      </c>
      <c r="X495" s="59" t="str">
        <f>IF(G495=FALSE,"Working day", IF(G495=TRUE,"Holiday"))</f>
        <v>Working day</v>
      </c>
    </row>
    <row r="496" spans="1:24" x14ac:dyDescent="0.25">
      <c r="A496" s="32">
        <v>495</v>
      </c>
      <c r="B496" s="33">
        <v>40565</v>
      </c>
      <c r="C496" s="26">
        <v>1</v>
      </c>
      <c r="D496" s="26">
        <v>0</v>
      </c>
      <c r="E496" s="26">
        <v>1</v>
      </c>
      <c r="F496" s="26">
        <v>16</v>
      </c>
      <c r="G496" s="26" t="b">
        <v>0</v>
      </c>
      <c r="H496" s="26">
        <v>6</v>
      </c>
      <c r="I496" s="26">
        <v>1</v>
      </c>
      <c r="J496" s="26">
        <v>0.12</v>
      </c>
      <c r="K496" s="26">
        <v>0.19700000000000001</v>
      </c>
      <c r="L496" s="26">
        <v>0.28000000000000003</v>
      </c>
      <c r="M496">
        <v>0.19400000000000001</v>
      </c>
      <c r="N496" s="26">
        <v>11</v>
      </c>
      <c r="O496" s="26">
        <v>72</v>
      </c>
      <c r="P496" s="26">
        <v>83</v>
      </c>
      <c r="Q496" s="34" t="str">
        <f t="shared" si="21"/>
        <v>Clear</v>
      </c>
      <c r="R496" s="41" t="str">
        <f>IF(I496=1,"Normal",IF(I496=2,"Yellow Alert",IF(I496=3,"Orange Alert",IF(I496=4,"Red Alert"))))</f>
        <v>Normal</v>
      </c>
      <c r="S496" s="60">
        <f t="shared" si="22"/>
        <v>22</v>
      </c>
      <c r="T496" s="60">
        <f>MONTH(dataset_1!B:B)</f>
        <v>1</v>
      </c>
      <c r="U496" s="60">
        <f t="shared" si="23"/>
        <v>2011</v>
      </c>
      <c r="V496" s="59" t="str">
        <f>TEXT(F496/24,"H AM/PM")</f>
        <v>4 PM</v>
      </c>
      <c r="W496" s="59" t="str">
        <f>IF(H496=6,"Saturday",IF(H496=0,"Sunday",IF(H496=1,"Monday",IF(H496=2,"Tuesday",IF(H496=3,"Wednesday",IF(H496=4,"Thursday",IF(H496=5,"Friday")))))))</f>
        <v>Saturday</v>
      </c>
      <c r="X496" s="59" t="str">
        <f>IF(G496=FALSE,"Working day", IF(G496=TRUE,"Holiday"))</f>
        <v>Working day</v>
      </c>
    </row>
    <row r="497" spans="1:24" x14ac:dyDescent="0.25">
      <c r="A497" s="32">
        <v>496</v>
      </c>
      <c r="B497" s="33">
        <v>40565</v>
      </c>
      <c r="C497" s="26">
        <v>1</v>
      </c>
      <c r="D497" s="26">
        <v>0</v>
      </c>
      <c r="E497" s="26">
        <v>1</v>
      </c>
      <c r="F497" s="26">
        <v>17</v>
      </c>
      <c r="G497" s="26" t="b">
        <v>0</v>
      </c>
      <c r="H497" s="26">
        <v>6</v>
      </c>
      <c r="I497" s="26">
        <v>1</v>
      </c>
      <c r="J497" s="26">
        <v>0.12</v>
      </c>
      <c r="K497" s="26">
        <v>9.0899999999999995E-2</v>
      </c>
      <c r="L497" s="26">
        <v>0.28000000000000003</v>
      </c>
      <c r="M497">
        <v>0</v>
      </c>
      <c r="N497" s="26">
        <v>8</v>
      </c>
      <c r="O497" s="26">
        <v>59</v>
      </c>
      <c r="P497" s="26">
        <v>67</v>
      </c>
      <c r="Q497" s="34" t="str">
        <f t="shared" si="21"/>
        <v>Clear</v>
      </c>
      <c r="R497" s="41" t="str">
        <f>IF(I497=1,"Normal",IF(I497=2,"Yellow Alert",IF(I497=3,"Orange Alert",IF(I497=4,"Red Alert"))))</f>
        <v>Normal</v>
      </c>
      <c r="S497" s="60">
        <f t="shared" si="22"/>
        <v>22</v>
      </c>
      <c r="T497" s="60">
        <f>MONTH(dataset_1!B:B)</f>
        <v>1</v>
      </c>
      <c r="U497" s="60">
        <f t="shared" si="23"/>
        <v>2011</v>
      </c>
      <c r="V497" s="59" t="str">
        <f>TEXT(F497/24,"H AM/PM")</f>
        <v>5 PM</v>
      </c>
      <c r="W497" s="59" t="str">
        <f>IF(H497=6,"Saturday",IF(H497=0,"Sunday",IF(H497=1,"Monday",IF(H497=2,"Tuesday",IF(H497=3,"Wednesday",IF(H497=4,"Thursday",IF(H497=5,"Friday")))))))</f>
        <v>Saturday</v>
      </c>
      <c r="X497" s="59" t="str">
        <f>IF(G497=FALSE,"Working day", IF(G497=TRUE,"Holiday"))</f>
        <v>Working day</v>
      </c>
    </row>
    <row r="498" spans="1:24" x14ac:dyDescent="0.25">
      <c r="A498" s="32">
        <v>497</v>
      </c>
      <c r="B498" s="33">
        <v>40565</v>
      </c>
      <c r="C498" s="26">
        <v>1</v>
      </c>
      <c r="D498" s="26">
        <v>0</v>
      </c>
      <c r="E498" s="26">
        <v>1</v>
      </c>
      <c r="F498" s="26">
        <v>18</v>
      </c>
      <c r="G498" s="26" t="b">
        <v>0</v>
      </c>
      <c r="H498" s="26">
        <v>6</v>
      </c>
      <c r="I498" s="26">
        <v>1</v>
      </c>
      <c r="J498" s="26">
        <v>0.08</v>
      </c>
      <c r="K498" s="26">
        <v>0.1061</v>
      </c>
      <c r="L498" s="26">
        <v>0.35</v>
      </c>
      <c r="M498">
        <v>0.19400000000000001</v>
      </c>
      <c r="N498" s="26">
        <v>0</v>
      </c>
      <c r="O498" s="26">
        <v>54</v>
      </c>
      <c r="P498" s="26">
        <v>54</v>
      </c>
      <c r="Q498" s="34" t="str">
        <f t="shared" si="21"/>
        <v>Clear</v>
      </c>
      <c r="R498" s="41" t="str">
        <f>IF(I498=1,"Normal",IF(I498=2,"Yellow Alert",IF(I498=3,"Orange Alert",IF(I498=4,"Red Alert"))))</f>
        <v>Normal</v>
      </c>
      <c r="S498" s="60">
        <f t="shared" si="22"/>
        <v>22</v>
      </c>
      <c r="T498" s="60">
        <f>MONTH(dataset_1!B:B)</f>
        <v>1</v>
      </c>
      <c r="U498" s="60">
        <f t="shared" si="23"/>
        <v>2011</v>
      </c>
      <c r="V498" s="59" t="str">
        <f>TEXT(F498/24,"H AM/PM")</f>
        <v>6 PM</v>
      </c>
      <c r="W498" s="59" t="str">
        <f>IF(H498=6,"Saturday",IF(H498=0,"Sunday",IF(H498=1,"Monday",IF(H498=2,"Tuesday",IF(H498=3,"Wednesday",IF(H498=4,"Thursday",IF(H498=5,"Friday")))))))</f>
        <v>Saturday</v>
      </c>
      <c r="X498" s="59" t="str">
        <f>IF(G498=FALSE,"Working day", IF(G498=TRUE,"Holiday"))</f>
        <v>Working day</v>
      </c>
    </row>
    <row r="499" spans="1:24" x14ac:dyDescent="0.25">
      <c r="A499" s="32">
        <v>498</v>
      </c>
      <c r="B499" s="33">
        <v>40565</v>
      </c>
      <c r="C499" s="26">
        <v>1</v>
      </c>
      <c r="D499" s="26">
        <v>0</v>
      </c>
      <c r="E499" s="26">
        <v>1</v>
      </c>
      <c r="F499" s="26">
        <v>19</v>
      </c>
      <c r="G499" s="26" t="b">
        <v>0</v>
      </c>
      <c r="H499" s="26">
        <v>6</v>
      </c>
      <c r="I499" s="26">
        <v>1</v>
      </c>
      <c r="J499" s="26">
        <v>0.08</v>
      </c>
      <c r="K499" s="26">
        <v>7.5800000000000006E-2</v>
      </c>
      <c r="L499" s="26">
        <v>0.35</v>
      </c>
      <c r="M499">
        <v>0.1343</v>
      </c>
      <c r="N499" s="26">
        <v>6</v>
      </c>
      <c r="O499" s="26">
        <v>53</v>
      </c>
      <c r="P499" s="26">
        <v>59</v>
      </c>
      <c r="Q499" s="34" t="str">
        <f t="shared" si="21"/>
        <v>Clear</v>
      </c>
      <c r="R499" s="41" t="str">
        <f>IF(I499=1,"Normal",IF(I499=2,"Yellow Alert",IF(I499=3,"Orange Alert",IF(I499=4,"Red Alert"))))</f>
        <v>Normal</v>
      </c>
      <c r="S499" s="60">
        <f t="shared" si="22"/>
        <v>22</v>
      </c>
      <c r="T499" s="60">
        <f>MONTH(dataset_1!B:B)</f>
        <v>1</v>
      </c>
      <c r="U499" s="60">
        <f t="shared" si="23"/>
        <v>2011</v>
      </c>
      <c r="V499" s="59" t="str">
        <f>TEXT(F499/24,"H AM/PM")</f>
        <v>7 PM</v>
      </c>
      <c r="W499" s="59" t="str">
        <f>IF(H499=6,"Saturday",IF(H499=0,"Sunday",IF(H499=1,"Monday",IF(H499=2,"Tuesday",IF(H499=3,"Wednesday",IF(H499=4,"Thursday",IF(H499=5,"Friday")))))))</f>
        <v>Saturday</v>
      </c>
      <c r="X499" s="59" t="str">
        <f>IF(G499=FALSE,"Working day", IF(G499=TRUE,"Holiday"))</f>
        <v>Working day</v>
      </c>
    </row>
    <row r="500" spans="1:24" x14ac:dyDescent="0.25">
      <c r="A500" s="32">
        <v>499</v>
      </c>
      <c r="B500" s="33">
        <v>40565</v>
      </c>
      <c r="C500" s="26">
        <v>1</v>
      </c>
      <c r="D500" s="26">
        <v>0</v>
      </c>
      <c r="E500" s="26">
        <v>1</v>
      </c>
      <c r="F500" s="26">
        <v>20</v>
      </c>
      <c r="G500" s="26" t="b">
        <v>0</v>
      </c>
      <c r="H500" s="26">
        <v>6</v>
      </c>
      <c r="I500" s="26">
        <v>1</v>
      </c>
      <c r="J500" s="26">
        <v>0.06</v>
      </c>
      <c r="K500" s="26">
        <v>0.1061</v>
      </c>
      <c r="L500" s="26">
        <v>0.45</v>
      </c>
      <c r="M500">
        <v>0.16420000000000001</v>
      </c>
      <c r="N500" s="26">
        <v>1</v>
      </c>
      <c r="O500" s="26">
        <v>44</v>
      </c>
      <c r="P500" s="26">
        <v>45</v>
      </c>
      <c r="Q500" s="34" t="str">
        <f t="shared" si="21"/>
        <v>Clear</v>
      </c>
      <c r="R500" s="41" t="str">
        <f>IF(I500=1,"Normal",IF(I500=2,"Yellow Alert",IF(I500=3,"Orange Alert",IF(I500=4,"Red Alert"))))</f>
        <v>Normal</v>
      </c>
      <c r="S500" s="60">
        <f t="shared" si="22"/>
        <v>22</v>
      </c>
      <c r="T500" s="60">
        <f>MONTH(dataset_1!B:B)</f>
        <v>1</v>
      </c>
      <c r="U500" s="60">
        <f t="shared" si="23"/>
        <v>2011</v>
      </c>
      <c r="V500" s="59" t="str">
        <f>TEXT(F500/24,"H AM/PM")</f>
        <v>8 PM</v>
      </c>
      <c r="W500" s="59" t="str">
        <f>IF(H500=6,"Saturday",IF(H500=0,"Sunday",IF(H500=1,"Monday",IF(H500=2,"Tuesday",IF(H500=3,"Wednesday",IF(H500=4,"Thursday",IF(H500=5,"Friday")))))))</f>
        <v>Saturday</v>
      </c>
      <c r="X500" s="59" t="str">
        <f>IF(G500=FALSE,"Working day", IF(G500=TRUE,"Holiday"))</f>
        <v>Working day</v>
      </c>
    </row>
    <row r="501" spans="1:24" x14ac:dyDescent="0.25">
      <c r="A501" s="32">
        <v>500</v>
      </c>
      <c r="B501" s="33">
        <v>40565</v>
      </c>
      <c r="C501" s="26">
        <v>1</v>
      </c>
      <c r="D501" s="26">
        <v>0</v>
      </c>
      <c r="E501" s="26">
        <v>1</v>
      </c>
      <c r="F501" s="26">
        <v>21</v>
      </c>
      <c r="G501" s="26" t="b">
        <v>0</v>
      </c>
      <c r="H501" s="26">
        <v>6</v>
      </c>
      <c r="I501" s="26">
        <v>1</v>
      </c>
      <c r="J501" s="26">
        <v>0.06</v>
      </c>
      <c r="K501" s="26">
        <v>0.1515</v>
      </c>
      <c r="L501" s="26">
        <v>0.41</v>
      </c>
      <c r="M501">
        <v>8.9599999999999999E-2</v>
      </c>
      <c r="N501" s="26">
        <v>0</v>
      </c>
      <c r="O501" s="26">
        <v>39</v>
      </c>
      <c r="P501" s="26">
        <v>39</v>
      </c>
      <c r="Q501" s="34" t="str">
        <f t="shared" si="21"/>
        <v>Clear</v>
      </c>
      <c r="R501" s="41" t="str">
        <f>IF(I501=1,"Normal",IF(I501=2,"Yellow Alert",IF(I501=3,"Orange Alert",IF(I501=4,"Red Alert"))))</f>
        <v>Normal</v>
      </c>
      <c r="S501" s="60">
        <f t="shared" si="22"/>
        <v>22</v>
      </c>
      <c r="T501" s="60">
        <f>MONTH(dataset_1!B:B)</f>
        <v>1</v>
      </c>
      <c r="U501" s="60">
        <f t="shared" si="23"/>
        <v>2011</v>
      </c>
      <c r="V501" s="59" t="str">
        <f>TEXT(F501/24,"H AM/PM")</f>
        <v>9 PM</v>
      </c>
      <c r="W501" s="59" t="str">
        <f>IF(H501=6,"Saturday",IF(H501=0,"Sunday",IF(H501=1,"Monday",IF(H501=2,"Tuesday",IF(H501=3,"Wednesday",IF(H501=4,"Thursday",IF(H501=5,"Friday")))))))</f>
        <v>Saturday</v>
      </c>
      <c r="X501" s="59" t="str">
        <f>IF(G501=FALSE,"Working day", IF(G501=TRUE,"Holiday"))</f>
        <v>Working day</v>
      </c>
    </row>
    <row r="502" spans="1:24" x14ac:dyDescent="0.25">
      <c r="A502" s="32">
        <v>501</v>
      </c>
      <c r="B502" s="33">
        <v>40565</v>
      </c>
      <c r="C502" s="26">
        <v>1</v>
      </c>
      <c r="D502" s="26">
        <v>0</v>
      </c>
      <c r="E502" s="26">
        <v>1</v>
      </c>
      <c r="F502" s="26">
        <v>22</v>
      </c>
      <c r="G502" s="26" t="b">
        <v>0</v>
      </c>
      <c r="H502" s="26">
        <v>6</v>
      </c>
      <c r="I502" s="26">
        <v>1</v>
      </c>
      <c r="J502" s="26">
        <v>0.06</v>
      </c>
      <c r="K502" s="26">
        <v>7.5800000000000006E-2</v>
      </c>
      <c r="L502" s="26">
        <v>0.49</v>
      </c>
      <c r="M502">
        <v>0</v>
      </c>
      <c r="N502" s="26">
        <v>7</v>
      </c>
      <c r="O502" s="26">
        <v>23</v>
      </c>
      <c r="P502" s="26">
        <v>30</v>
      </c>
      <c r="Q502" s="34" t="str">
        <f t="shared" si="21"/>
        <v>Clear</v>
      </c>
      <c r="R502" s="41" t="str">
        <f>IF(I502=1,"Normal",IF(I502=2,"Yellow Alert",IF(I502=3,"Orange Alert",IF(I502=4,"Red Alert"))))</f>
        <v>Normal</v>
      </c>
      <c r="S502" s="60">
        <f t="shared" si="22"/>
        <v>22</v>
      </c>
      <c r="T502" s="60">
        <f>MONTH(dataset_1!B:B)</f>
        <v>1</v>
      </c>
      <c r="U502" s="60">
        <f t="shared" si="23"/>
        <v>2011</v>
      </c>
      <c r="V502" s="59" t="str">
        <f>TEXT(F502/24,"H AM/PM")</f>
        <v>10 PM</v>
      </c>
      <c r="W502" s="59" t="str">
        <f>IF(H502=6,"Saturday",IF(H502=0,"Sunday",IF(H502=1,"Monday",IF(H502=2,"Tuesday",IF(H502=3,"Wednesday",IF(H502=4,"Thursday",IF(H502=5,"Friday")))))))</f>
        <v>Saturday</v>
      </c>
      <c r="X502" s="59" t="str">
        <f>IF(G502=FALSE,"Working day", IF(G502=TRUE,"Holiday"))</f>
        <v>Working day</v>
      </c>
    </row>
    <row r="503" spans="1:24" x14ac:dyDescent="0.25">
      <c r="A503" s="32">
        <v>502</v>
      </c>
      <c r="B503" s="33">
        <v>40565</v>
      </c>
      <c r="C503" s="26">
        <v>1</v>
      </c>
      <c r="D503" s="26">
        <v>0</v>
      </c>
      <c r="E503" s="26">
        <v>1</v>
      </c>
      <c r="F503" s="26">
        <v>23</v>
      </c>
      <c r="G503" s="26" t="b">
        <v>0</v>
      </c>
      <c r="H503" s="26">
        <v>6</v>
      </c>
      <c r="I503" s="26">
        <v>1</v>
      </c>
      <c r="J503" s="26">
        <v>0.04</v>
      </c>
      <c r="K503" s="26">
        <v>7.5800000000000006E-2</v>
      </c>
      <c r="L503" s="26">
        <v>0.56999999999999995</v>
      </c>
      <c r="M503">
        <v>0.1045</v>
      </c>
      <c r="N503" s="26">
        <v>2</v>
      </c>
      <c r="O503" s="26">
        <v>31</v>
      </c>
      <c r="P503" s="26">
        <v>33</v>
      </c>
      <c r="Q503" s="34" t="str">
        <f t="shared" si="21"/>
        <v>Clear</v>
      </c>
      <c r="R503" s="41" t="str">
        <f>IF(I503=1,"Normal",IF(I503=2,"Yellow Alert",IF(I503=3,"Orange Alert",IF(I503=4,"Red Alert"))))</f>
        <v>Normal</v>
      </c>
      <c r="S503" s="60">
        <f t="shared" si="22"/>
        <v>22</v>
      </c>
      <c r="T503" s="60">
        <f>MONTH(dataset_1!B:B)</f>
        <v>1</v>
      </c>
      <c r="U503" s="60">
        <f t="shared" si="23"/>
        <v>2011</v>
      </c>
      <c r="V503" s="59" t="str">
        <f>TEXT(F503/24,"H AM/PM")</f>
        <v>11 PM</v>
      </c>
      <c r="W503" s="59" t="str">
        <f>IF(H503=6,"Saturday",IF(H503=0,"Sunday",IF(H503=1,"Monday",IF(H503=2,"Tuesday",IF(H503=3,"Wednesday",IF(H503=4,"Thursday",IF(H503=5,"Friday")))))))</f>
        <v>Saturday</v>
      </c>
      <c r="X503" s="59" t="str">
        <f>IF(G503=FALSE,"Working day", IF(G503=TRUE,"Holiday"))</f>
        <v>Working day</v>
      </c>
    </row>
    <row r="504" spans="1:24" x14ac:dyDescent="0.25">
      <c r="A504" s="32">
        <v>503</v>
      </c>
      <c r="B504" s="33">
        <v>40566</v>
      </c>
      <c r="C504" s="26">
        <v>1</v>
      </c>
      <c r="D504" s="26">
        <v>0</v>
      </c>
      <c r="E504" s="26">
        <v>1</v>
      </c>
      <c r="F504" s="26">
        <v>0</v>
      </c>
      <c r="G504" s="26" t="b">
        <v>0</v>
      </c>
      <c r="H504" s="26">
        <v>0</v>
      </c>
      <c r="I504" s="26">
        <v>1</v>
      </c>
      <c r="J504" s="26">
        <v>0.04</v>
      </c>
      <c r="K504" s="26">
        <v>7.5800000000000006E-2</v>
      </c>
      <c r="L504" s="26">
        <v>0.56999999999999995</v>
      </c>
      <c r="M504">
        <v>0.1045</v>
      </c>
      <c r="N504" s="26">
        <v>2</v>
      </c>
      <c r="O504" s="26">
        <v>20</v>
      </c>
      <c r="P504" s="26">
        <v>22</v>
      </c>
      <c r="Q504" s="34" t="str">
        <f t="shared" si="21"/>
        <v>Clear</v>
      </c>
      <c r="R504" s="41" t="str">
        <f>IF(I504=1,"Normal",IF(I504=2,"Yellow Alert",IF(I504=3,"Orange Alert",IF(I504=4,"Red Alert"))))</f>
        <v>Normal</v>
      </c>
      <c r="S504" s="60">
        <f t="shared" si="22"/>
        <v>23</v>
      </c>
      <c r="T504" s="60">
        <f>MONTH(dataset_1!B:B)</f>
        <v>1</v>
      </c>
      <c r="U504" s="60">
        <f t="shared" si="23"/>
        <v>2011</v>
      </c>
      <c r="V504" s="59" t="str">
        <f>TEXT(F504/24,"H AM/PM")</f>
        <v>12 AM</v>
      </c>
      <c r="W504" s="59" t="str">
        <f>IF(H504=6,"Saturday",IF(H504=0,"Sunday",IF(H504=1,"Monday",IF(H504=2,"Tuesday",IF(H504=3,"Wednesday",IF(H504=4,"Thursday",IF(H504=5,"Friday")))))))</f>
        <v>Sunday</v>
      </c>
      <c r="X504" s="59" t="str">
        <f>IF(G504=FALSE,"Working day", IF(G504=TRUE,"Holiday"))</f>
        <v>Working day</v>
      </c>
    </row>
    <row r="505" spans="1:24" x14ac:dyDescent="0.25">
      <c r="A505" s="32">
        <v>504</v>
      </c>
      <c r="B505" s="33">
        <v>40566</v>
      </c>
      <c r="C505" s="26">
        <v>1</v>
      </c>
      <c r="D505" s="26">
        <v>0</v>
      </c>
      <c r="E505" s="26">
        <v>1</v>
      </c>
      <c r="F505" s="26">
        <v>1</v>
      </c>
      <c r="G505" s="26" t="b">
        <v>0</v>
      </c>
      <c r="H505" s="26">
        <v>0</v>
      </c>
      <c r="I505" s="26">
        <v>1</v>
      </c>
      <c r="J505" s="26">
        <v>0.04</v>
      </c>
      <c r="K505" s="26">
        <v>6.0600000000000001E-2</v>
      </c>
      <c r="L505" s="26">
        <v>0.56999999999999995</v>
      </c>
      <c r="M505">
        <v>0.1045</v>
      </c>
      <c r="N505" s="26">
        <v>1</v>
      </c>
      <c r="O505" s="26">
        <v>12</v>
      </c>
      <c r="P505" s="26">
        <v>13</v>
      </c>
      <c r="Q505" s="34" t="str">
        <f t="shared" si="21"/>
        <v>Clear</v>
      </c>
      <c r="R505" s="41" t="str">
        <f>IF(I505=1,"Normal",IF(I505=2,"Yellow Alert",IF(I505=3,"Orange Alert",IF(I505=4,"Red Alert"))))</f>
        <v>Normal</v>
      </c>
      <c r="S505" s="60">
        <f t="shared" si="22"/>
        <v>23</v>
      </c>
      <c r="T505" s="60">
        <f>MONTH(dataset_1!B:B)</f>
        <v>1</v>
      </c>
      <c r="U505" s="60">
        <f t="shared" si="23"/>
        <v>2011</v>
      </c>
      <c r="V505" s="59" t="str">
        <f>TEXT(F505/24,"H AM/PM")</f>
        <v>1 AM</v>
      </c>
      <c r="W505" s="59" t="str">
        <f>IF(H505=6,"Saturday",IF(H505=0,"Sunday",IF(H505=1,"Monday",IF(H505=2,"Tuesday",IF(H505=3,"Wednesday",IF(H505=4,"Thursday",IF(H505=5,"Friday")))))))</f>
        <v>Sunday</v>
      </c>
      <c r="X505" s="59" t="str">
        <f>IF(G505=FALSE,"Working day", IF(G505=TRUE,"Holiday"))</f>
        <v>Working day</v>
      </c>
    </row>
    <row r="506" spans="1:24" x14ac:dyDescent="0.25">
      <c r="A506" s="32">
        <v>505</v>
      </c>
      <c r="B506" s="33">
        <v>40566</v>
      </c>
      <c r="C506" s="26">
        <v>1</v>
      </c>
      <c r="D506" s="26">
        <v>0</v>
      </c>
      <c r="E506" s="26">
        <v>1</v>
      </c>
      <c r="F506" s="26">
        <v>2</v>
      </c>
      <c r="G506" s="26" t="b">
        <v>0</v>
      </c>
      <c r="H506" s="26">
        <v>0</v>
      </c>
      <c r="I506" s="26">
        <v>1</v>
      </c>
      <c r="J506" s="26">
        <v>0.02</v>
      </c>
      <c r="K506" s="26">
        <v>6.0600000000000001E-2</v>
      </c>
      <c r="L506" s="26">
        <v>0.62</v>
      </c>
      <c r="M506">
        <v>0.1343</v>
      </c>
      <c r="N506" s="26">
        <v>3</v>
      </c>
      <c r="O506" s="26">
        <v>15</v>
      </c>
      <c r="P506" s="26">
        <v>18</v>
      </c>
      <c r="Q506" s="34" t="str">
        <f t="shared" si="21"/>
        <v>Clear</v>
      </c>
      <c r="R506" s="41" t="str">
        <f>IF(I506=1,"Normal",IF(I506=2,"Yellow Alert",IF(I506=3,"Orange Alert",IF(I506=4,"Red Alert"))))</f>
        <v>Normal</v>
      </c>
      <c r="S506" s="60">
        <f t="shared" si="22"/>
        <v>23</v>
      </c>
      <c r="T506" s="60">
        <f>MONTH(dataset_1!B:B)</f>
        <v>1</v>
      </c>
      <c r="U506" s="60">
        <f t="shared" si="23"/>
        <v>2011</v>
      </c>
      <c r="V506" s="59" t="str">
        <f>TEXT(F506/24,"H AM/PM")</f>
        <v>2 AM</v>
      </c>
      <c r="W506" s="59" t="str">
        <f>IF(H506=6,"Saturday",IF(H506=0,"Sunday",IF(H506=1,"Monday",IF(H506=2,"Tuesday",IF(H506=3,"Wednesday",IF(H506=4,"Thursday",IF(H506=5,"Friday")))))))</f>
        <v>Sunday</v>
      </c>
      <c r="X506" s="59" t="str">
        <f>IF(G506=FALSE,"Working day", IF(G506=TRUE,"Holiday"))</f>
        <v>Working day</v>
      </c>
    </row>
    <row r="507" spans="1:24" x14ac:dyDescent="0.25">
      <c r="A507" s="32">
        <v>506</v>
      </c>
      <c r="B507" s="33">
        <v>40566</v>
      </c>
      <c r="C507" s="26">
        <v>1</v>
      </c>
      <c r="D507" s="26">
        <v>0</v>
      </c>
      <c r="E507" s="26">
        <v>1</v>
      </c>
      <c r="F507" s="26">
        <v>3</v>
      </c>
      <c r="G507" s="26" t="b">
        <v>0</v>
      </c>
      <c r="H507" s="26">
        <v>0</v>
      </c>
      <c r="I507" s="26">
        <v>1</v>
      </c>
      <c r="J507" s="26">
        <v>0.02</v>
      </c>
      <c r="K507" s="26">
        <v>7.5800000000000006E-2</v>
      </c>
      <c r="L507" s="26">
        <v>0.62</v>
      </c>
      <c r="M507">
        <v>0.1343</v>
      </c>
      <c r="N507" s="26">
        <v>1</v>
      </c>
      <c r="O507" s="26">
        <v>4</v>
      </c>
      <c r="P507" s="26">
        <v>5</v>
      </c>
      <c r="Q507" s="34" t="str">
        <f t="shared" si="21"/>
        <v>Clear</v>
      </c>
      <c r="R507" s="41" t="str">
        <f>IF(I507=1,"Normal",IF(I507=2,"Yellow Alert",IF(I507=3,"Orange Alert",IF(I507=4,"Red Alert"))))</f>
        <v>Normal</v>
      </c>
      <c r="S507" s="60">
        <f t="shared" si="22"/>
        <v>23</v>
      </c>
      <c r="T507" s="60">
        <f>MONTH(dataset_1!B:B)</f>
        <v>1</v>
      </c>
      <c r="U507" s="60">
        <f t="shared" si="23"/>
        <v>2011</v>
      </c>
      <c r="V507" s="59" t="str">
        <f>TEXT(F507/24,"H AM/PM")</f>
        <v>3 AM</v>
      </c>
      <c r="W507" s="59" t="str">
        <f>IF(H507=6,"Saturday",IF(H507=0,"Sunday",IF(H507=1,"Monday",IF(H507=2,"Tuesday",IF(H507=3,"Wednesday",IF(H507=4,"Thursday",IF(H507=5,"Friday")))))))</f>
        <v>Sunday</v>
      </c>
      <c r="X507" s="59" t="str">
        <f>IF(G507=FALSE,"Working day", IF(G507=TRUE,"Holiday"))</f>
        <v>Working day</v>
      </c>
    </row>
    <row r="508" spans="1:24" x14ac:dyDescent="0.25">
      <c r="A508" s="32">
        <v>507</v>
      </c>
      <c r="B508" s="33">
        <v>40566</v>
      </c>
      <c r="C508" s="26">
        <v>1</v>
      </c>
      <c r="D508" s="26">
        <v>0</v>
      </c>
      <c r="E508" s="26">
        <v>1</v>
      </c>
      <c r="F508" s="26">
        <v>5</v>
      </c>
      <c r="G508" s="26" t="b">
        <v>0</v>
      </c>
      <c r="H508" s="26">
        <v>0</v>
      </c>
      <c r="I508" s="26">
        <v>2</v>
      </c>
      <c r="J508" s="26">
        <v>0.04</v>
      </c>
      <c r="K508" s="26">
        <v>7.5800000000000006E-2</v>
      </c>
      <c r="L508" s="26">
        <v>0.56999999999999995</v>
      </c>
      <c r="M508">
        <v>0.1045</v>
      </c>
      <c r="N508" s="26">
        <v>0</v>
      </c>
      <c r="O508" s="26">
        <v>3</v>
      </c>
      <c r="P508" s="26">
        <v>3</v>
      </c>
      <c r="Q508" s="34" t="str">
        <f t="shared" si="21"/>
        <v>Cloudy</v>
      </c>
      <c r="R508" s="41" t="str">
        <f>IF(I508=1,"Normal",IF(I508=2,"Yellow Alert",IF(I508=3,"Orange Alert",IF(I508=4,"Red Alert"))))</f>
        <v>Yellow Alert</v>
      </c>
      <c r="S508" s="60">
        <f t="shared" si="22"/>
        <v>23</v>
      </c>
      <c r="T508" s="60">
        <f>MONTH(dataset_1!B:B)</f>
        <v>1</v>
      </c>
      <c r="U508" s="60">
        <f t="shared" si="23"/>
        <v>2011</v>
      </c>
      <c r="V508" s="59" t="str">
        <f>TEXT(F508/24,"H AM/PM")</f>
        <v>5 AM</v>
      </c>
      <c r="W508" s="59" t="str">
        <f>IF(H508=6,"Saturday",IF(H508=0,"Sunday",IF(H508=1,"Monday",IF(H508=2,"Tuesday",IF(H508=3,"Wednesday",IF(H508=4,"Thursday",IF(H508=5,"Friday")))))))</f>
        <v>Sunday</v>
      </c>
      <c r="X508" s="59" t="str">
        <f>IF(G508=FALSE,"Working day", IF(G508=TRUE,"Holiday"))</f>
        <v>Working day</v>
      </c>
    </row>
    <row r="509" spans="1:24" x14ac:dyDescent="0.25">
      <c r="A509" s="32">
        <v>508</v>
      </c>
      <c r="B509" s="33">
        <v>40566</v>
      </c>
      <c r="C509" s="26">
        <v>1</v>
      </c>
      <c r="D509" s="26">
        <v>0</v>
      </c>
      <c r="E509" s="26">
        <v>1</v>
      </c>
      <c r="F509" s="26">
        <v>6</v>
      </c>
      <c r="G509" s="26" t="b">
        <v>0</v>
      </c>
      <c r="H509" s="26">
        <v>0</v>
      </c>
      <c r="I509" s="26">
        <v>2</v>
      </c>
      <c r="J509" s="26">
        <v>0.04</v>
      </c>
      <c r="K509" s="26">
        <v>0.1061</v>
      </c>
      <c r="L509" s="26">
        <v>0.56999999999999995</v>
      </c>
      <c r="M509">
        <v>0.1045</v>
      </c>
      <c r="N509" s="26">
        <v>0</v>
      </c>
      <c r="O509" s="26">
        <v>1</v>
      </c>
      <c r="P509" s="26">
        <v>1</v>
      </c>
      <c r="Q509" s="34" t="str">
        <f t="shared" si="21"/>
        <v>Cloudy</v>
      </c>
      <c r="R509" s="41" t="str">
        <f>IF(I509=1,"Normal",IF(I509=2,"Yellow Alert",IF(I509=3,"Orange Alert",IF(I509=4,"Red Alert"))))</f>
        <v>Yellow Alert</v>
      </c>
      <c r="S509" s="60">
        <f t="shared" si="22"/>
        <v>23</v>
      </c>
      <c r="T509" s="60">
        <f>MONTH(dataset_1!B:B)</f>
        <v>1</v>
      </c>
      <c r="U509" s="60">
        <f t="shared" si="23"/>
        <v>2011</v>
      </c>
      <c r="V509" s="59" t="str">
        <f>TEXT(F509/24,"H AM/PM")</f>
        <v>6 AM</v>
      </c>
      <c r="W509" s="59" t="str">
        <f>IF(H509=6,"Saturday",IF(H509=0,"Sunday",IF(H509=1,"Monday",IF(H509=2,"Tuesday",IF(H509=3,"Wednesday",IF(H509=4,"Thursday",IF(H509=5,"Friday")))))))</f>
        <v>Sunday</v>
      </c>
      <c r="X509" s="59" t="str">
        <f>IF(G509=FALSE,"Working day", IF(G509=TRUE,"Holiday"))</f>
        <v>Working day</v>
      </c>
    </row>
    <row r="510" spans="1:24" x14ac:dyDescent="0.25">
      <c r="A510" s="32">
        <v>509</v>
      </c>
      <c r="B510" s="33">
        <v>40566</v>
      </c>
      <c r="C510" s="26">
        <v>1</v>
      </c>
      <c r="D510" s="26">
        <v>0</v>
      </c>
      <c r="E510" s="26">
        <v>1</v>
      </c>
      <c r="F510" s="26">
        <v>7</v>
      </c>
      <c r="G510" s="26" t="b">
        <v>0</v>
      </c>
      <c r="H510" s="26">
        <v>0</v>
      </c>
      <c r="I510" s="26">
        <v>1</v>
      </c>
      <c r="J510" s="26">
        <v>0.08</v>
      </c>
      <c r="K510" s="26">
        <v>7.5800000000000006E-2</v>
      </c>
      <c r="L510" s="26">
        <v>0.57999999999999996</v>
      </c>
      <c r="M510">
        <v>0.16420000000000001</v>
      </c>
      <c r="N510" s="26">
        <v>1</v>
      </c>
      <c r="O510" s="26">
        <v>1</v>
      </c>
      <c r="P510" s="26">
        <v>2</v>
      </c>
      <c r="Q510" s="34" t="str">
        <f t="shared" si="21"/>
        <v>Clear</v>
      </c>
      <c r="R510" s="41" t="str">
        <f>IF(I510=1,"Normal",IF(I510=2,"Yellow Alert",IF(I510=3,"Orange Alert",IF(I510=4,"Red Alert"))))</f>
        <v>Normal</v>
      </c>
      <c r="S510" s="60">
        <f t="shared" si="22"/>
        <v>23</v>
      </c>
      <c r="T510" s="60">
        <f>MONTH(dataset_1!B:B)</f>
        <v>1</v>
      </c>
      <c r="U510" s="60">
        <f t="shared" si="23"/>
        <v>2011</v>
      </c>
      <c r="V510" s="59" t="str">
        <f>TEXT(F510/24,"H AM/PM")</f>
        <v>7 AM</v>
      </c>
      <c r="W510" s="59" t="str">
        <f>IF(H510=6,"Saturday",IF(H510=0,"Sunday",IF(H510=1,"Monday",IF(H510=2,"Tuesday",IF(H510=3,"Wednesday",IF(H510=4,"Thursday",IF(H510=5,"Friday")))))))</f>
        <v>Sunday</v>
      </c>
      <c r="X510" s="59" t="str">
        <f>IF(G510=FALSE,"Working day", IF(G510=TRUE,"Holiday"))</f>
        <v>Working day</v>
      </c>
    </row>
    <row r="511" spans="1:24" x14ac:dyDescent="0.25">
      <c r="A511" s="32">
        <v>510</v>
      </c>
      <c r="B511" s="33">
        <v>40566</v>
      </c>
      <c r="C511" s="26">
        <v>1</v>
      </c>
      <c r="D511" s="26">
        <v>0</v>
      </c>
      <c r="E511" s="26">
        <v>1</v>
      </c>
      <c r="F511" s="26">
        <v>8</v>
      </c>
      <c r="G511" s="26" t="b">
        <v>0</v>
      </c>
      <c r="H511" s="26">
        <v>0</v>
      </c>
      <c r="I511" s="26">
        <v>1</v>
      </c>
      <c r="J511" s="26">
        <v>0.06</v>
      </c>
      <c r="K511" s="26">
        <v>7.5800000000000006E-2</v>
      </c>
      <c r="L511" s="26">
        <v>0.62</v>
      </c>
      <c r="M511">
        <v>0.16420000000000001</v>
      </c>
      <c r="N511" s="26">
        <v>2</v>
      </c>
      <c r="O511" s="26">
        <v>17</v>
      </c>
      <c r="P511" s="26">
        <v>19</v>
      </c>
      <c r="Q511" s="34" t="str">
        <f t="shared" si="21"/>
        <v>Clear</v>
      </c>
      <c r="R511" s="41" t="str">
        <f>IF(I511=1,"Normal",IF(I511=2,"Yellow Alert",IF(I511=3,"Orange Alert",IF(I511=4,"Red Alert"))))</f>
        <v>Normal</v>
      </c>
      <c r="S511" s="60">
        <f t="shared" si="22"/>
        <v>23</v>
      </c>
      <c r="T511" s="60">
        <f>MONTH(dataset_1!B:B)</f>
        <v>1</v>
      </c>
      <c r="U511" s="60">
        <f t="shared" si="23"/>
        <v>2011</v>
      </c>
      <c r="V511" s="59" t="str">
        <f>TEXT(F511/24,"H AM/PM")</f>
        <v>8 AM</v>
      </c>
      <c r="W511" s="59" t="str">
        <f>IF(H511=6,"Saturday",IF(H511=0,"Sunday",IF(H511=1,"Monday",IF(H511=2,"Tuesday",IF(H511=3,"Wednesday",IF(H511=4,"Thursday",IF(H511=5,"Friday")))))))</f>
        <v>Sunday</v>
      </c>
      <c r="X511" s="59" t="str">
        <f>IF(G511=FALSE,"Working day", IF(G511=TRUE,"Holiday"))</f>
        <v>Working day</v>
      </c>
    </row>
    <row r="512" spans="1:24" x14ac:dyDescent="0.25">
      <c r="A512" s="32">
        <v>511</v>
      </c>
      <c r="B512" s="33">
        <v>40566</v>
      </c>
      <c r="C512" s="26">
        <v>1</v>
      </c>
      <c r="D512" s="26">
        <v>0</v>
      </c>
      <c r="E512" s="26">
        <v>1</v>
      </c>
      <c r="F512" s="26">
        <v>9</v>
      </c>
      <c r="G512" s="26" t="b">
        <v>0</v>
      </c>
      <c r="H512" s="26">
        <v>0</v>
      </c>
      <c r="I512" s="26">
        <v>1</v>
      </c>
      <c r="J512" s="26">
        <v>0.1</v>
      </c>
      <c r="K512" s="26">
        <v>0.1061</v>
      </c>
      <c r="L512" s="26">
        <v>0.54</v>
      </c>
      <c r="M512">
        <v>0.35820000000000002</v>
      </c>
      <c r="N512" s="26">
        <v>3</v>
      </c>
      <c r="O512" s="26">
        <v>25</v>
      </c>
      <c r="P512" s="26">
        <v>28</v>
      </c>
      <c r="Q512" s="34" t="str">
        <f t="shared" si="21"/>
        <v>Clear</v>
      </c>
      <c r="R512" s="41" t="str">
        <f>IF(I512=1,"Normal",IF(I512=2,"Yellow Alert",IF(I512=3,"Orange Alert",IF(I512=4,"Red Alert"))))</f>
        <v>Normal</v>
      </c>
      <c r="S512" s="60">
        <f t="shared" si="22"/>
        <v>23</v>
      </c>
      <c r="T512" s="60">
        <f>MONTH(dataset_1!B:B)</f>
        <v>1</v>
      </c>
      <c r="U512" s="60">
        <f t="shared" si="23"/>
        <v>2011</v>
      </c>
      <c r="V512" s="59" t="str">
        <f>TEXT(F512/24,"H AM/PM")</f>
        <v>9 AM</v>
      </c>
      <c r="W512" s="59" t="str">
        <f>IF(H512=6,"Saturday",IF(H512=0,"Sunday",IF(H512=1,"Monday",IF(H512=2,"Tuesday",IF(H512=3,"Wednesday",IF(H512=4,"Thursday",IF(H512=5,"Friday")))))))</f>
        <v>Sunday</v>
      </c>
      <c r="X512" s="59" t="str">
        <f>IF(G512=FALSE,"Working day", IF(G512=TRUE,"Holiday"))</f>
        <v>Working day</v>
      </c>
    </row>
    <row r="513" spans="1:24" x14ac:dyDescent="0.25">
      <c r="A513" s="32">
        <v>512</v>
      </c>
      <c r="B513" s="33">
        <v>40566</v>
      </c>
      <c r="C513" s="26">
        <v>1</v>
      </c>
      <c r="D513" s="26">
        <v>0</v>
      </c>
      <c r="E513" s="26">
        <v>1</v>
      </c>
      <c r="F513" s="26">
        <v>10</v>
      </c>
      <c r="G513" s="26" t="b">
        <v>0</v>
      </c>
      <c r="H513" s="26">
        <v>0</v>
      </c>
      <c r="I513" s="26">
        <v>1</v>
      </c>
      <c r="J513" s="26">
        <v>0.14000000000000001</v>
      </c>
      <c r="K513" s="26">
        <v>0.13639999999999999</v>
      </c>
      <c r="L513" s="26">
        <v>0.46</v>
      </c>
      <c r="M513">
        <v>0.3881</v>
      </c>
      <c r="N513" s="26">
        <v>7</v>
      </c>
      <c r="O513" s="26">
        <v>51</v>
      </c>
      <c r="P513" s="26">
        <v>58</v>
      </c>
      <c r="Q513" s="34" t="str">
        <f t="shared" si="21"/>
        <v>Clear</v>
      </c>
      <c r="R513" s="41" t="str">
        <f>IF(I513=1,"Normal",IF(I513=2,"Yellow Alert",IF(I513=3,"Orange Alert",IF(I513=4,"Red Alert"))))</f>
        <v>Normal</v>
      </c>
      <c r="S513" s="60">
        <f t="shared" si="22"/>
        <v>23</v>
      </c>
      <c r="T513" s="60">
        <f>MONTH(dataset_1!B:B)</f>
        <v>1</v>
      </c>
      <c r="U513" s="60">
        <f t="shared" si="23"/>
        <v>2011</v>
      </c>
      <c r="V513" s="59" t="str">
        <f>TEXT(F513/24,"H AM/PM")</f>
        <v>10 AM</v>
      </c>
      <c r="W513" s="59" t="str">
        <f>IF(H513=6,"Saturday",IF(H513=0,"Sunday",IF(H513=1,"Monday",IF(H513=2,"Tuesday",IF(H513=3,"Wednesday",IF(H513=4,"Thursday",IF(H513=5,"Friday")))))))</f>
        <v>Sunday</v>
      </c>
      <c r="X513" s="59" t="str">
        <f>IF(G513=FALSE,"Working day", IF(G513=TRUE,"Holiday"))</f>
        <v>Working day</v>
      </c>
    </row>
    <row r="514" spans="1:24" x14ac:dyDescent="0.25">
      <c r="A514" s="32">
        <v>513</v>
      </c>
      <c r="B514" s="33">
        <v>40566</v>
      </c>
      <c r="C514" s="26">
        <v>1</v>
      </c>
      <c r="D514" s="26">
        <v>0</v>
      </c>
      <c r="E514" s="26">
        <v>1</v>
      </c>
      <c r="F514" s="26">
        <v>11</v>
      </c>
      <c r="G514" s="26" t="b">
        <v>0</v>
      </c>
      <c r="H514" s="26">
        <v>0</v>
      </c>
      <c r="I514" s="26">
        <v>1</v>
      </c>
      <c r="J514" s="26">
        <v>0.14000000000000001</v>
      </c>
      <c r="K514" s="26">
        <v>0.1212</v>
      </c>
      <c r="L514" s="26">
        <v>0.43</v>
      </c>
      <c r="M514">
        <v>0.22389999999999999</v>
      </c>
      <c r="N514" s="26">
        <v>22</v>
      </c>
      <c r="O514" s="26">
        <v>77</v>
      </c>
      <c r="P514" s="26">
        <v>99</v>
      </c>
      <c r="Q514" s="34" t="str">
        <f t="shared" ref="Q514:Q577" si="24">IF(I514=1,"Clear",IF(I514=2,"Cloudy",IF(I514=3,"Light Rain",IF(I514=4,"Heavy Rain"))))</f>
        <v>Clear</v>
      </c>
      <c r="R514" s="41" t="str">
        <f>IF(I514=1,"Normal",IF(I514=2,"Yellow Alert",IF(I514=3,"Orange Alert",IF(I514=4,"Red Alert"))))</f>
        <v>Normal</v>
      </c>
      <c r="S514" s="60">
        <f t="shared" ref="S514:S577" si="25">DAY(B:B)</f>
        <v>23</v>
      </c>
      <c r="T514" s="60">
        <f>MONTH(dataset_1!B:B)</f>
        <v>1</v>
      </c>
      <c r="U514" s="60">
        <f t="shared" ref="U514:U577" si="26">YEAR(B:B)</f>
        <v>2011</v>
      </c>
      <c r="V514" s="59" t="str">
        <f>TEXT(F514/24,"H AM/PM")</f>
        <v>11 AM</v>
      </c>
      <c r="W514" s="59" t="str">
        <f>IF(H514=6,"Saturday",IF(H514=0,"Sunday",IF(H514=1,"Monday",IF(H514=2,"Tuesday",IF(H514=3,"Wednesday",IF(H514=4,"Thursday",IF(H514=5,"Friday")))))))</f>
        <v>Sunday</v>
      </c>
      <c r="X514" s="59" t="str">
        <f>IF(G514=FALSE,"Working day", IF(G514=TRUE,"Holiday"))</f>
        <v>Working day</v>
      </c>
    </row>
    <row r="515" spans="1:24" x14ac:dyDescent="0.25">
      <c r="A515" s="32">
        <v>514</v>
      </c>
      <c r="B515" s="33">
        <v>40566</v>
      </c>
      <c r="C515" s="26">
        <v>1</v>
      </c>
      <c r="D515" s="26">
        <v>0</v>
      </c>
      <c r="E515" s="26">
        <v>1</v>
      </c>
      <c r="F515" s="26">
        <v>12</v>
      </c>
      <c r="G515" s="26" t="b">
        <v>0</v>
      </c>
      <c r="H515" s="26">
        <v>0</v>
      </c>
      <c r="I515" s="26">
        <v>1</v>
      </c>
      <c r="J515" s="26">
        <v>0.16</v>
      </c>
      <c r="K515" s="26">
        <v>0.1061</v>
      </c>
      <c r="L515" s="26">
        <v>0.37</v>
      </c>
      <c r="M515">
        <v>0.4627</v>
      </c>
      <c r="N515" s="26">
        <v>24</v>
      </c>
      <c r="O515" s="26">
        <v>92</v>
      </c>
      <c r="P515" s="26">
        <v>116</v>
      </c>
      <c r="Q515" s="34" t="str">
        <f t="shared" si="24"/>
        <v>Clear</v>
      </c>
      <c r="R515" s="41" t="str">
        <f>IF(I515=1,"Normal",IF(I515=2,"Yellow Alert",IF(I515=3,"Orange Alert",IF(I515=4,"Red Alert"))))</f>
        <v>Normal</v>
      </c>
      <c r="S515" s="60">
        <f t="shared" si="25"/>
        <v>23</v>
      </c>
      <c r="T515" s="60">
        <f>MONTH(dataset_1!B:B)</f>
        <v>1</v>
      </c>
      <c r="U515" s="60">
        <f t="shared" si="26"/>
        <v>2011</v>
      </c>
      <c r="V515" s="59" t="str">
        <f>TEXT(F515/24,"H AM/PM")</f>
        <v>12 PM</v>
      </c>
      <c r="W515" s="59" t="str">
        <f>IF(H515=6,"Saturday",IF(H515=0,"Sunday",IF(H515=1,"Monday",IF(H515=2,"Tuesday",IF(H515=3,"Wednesday",IF(H515=4,"Thursday",IF(H515=5,"Friday")))))))</f>
        <v>Sunday</v>
      </c>
      <c r="X515" s="59" t="str">
        <f>IF(G515=FALSE,"Working day", IF(G515=TRUE,"Holiday"))</f>
        <v>Working day</v>
      </c>
    </row>
    <row r="516" spans="1:24" x14ac:dyDescent="0.25">
      <c r="A516" s="32">
        <v>515</v>
      </c>
      <c r="B516" s="33">
        <v>40566</v>
      </c>
      <c r="C516" s="26">
        <v>1</v>
      </c>
      <c r="D516" s="26">
        <v>0</v>
      </c>
      <c r="E516" s="26">
        <v>1</v>
      </c>
      <c r="F516" s="26">
        <v>13</v>
      </c>
      <c r="G516" s="26" t="b">
        <v>0</v>
      </c>
      <c r="H516" s="26">
        <v>0</v>
      </c>
      <c r="I516" s="26">
        <v>1</v>
      </c>
      <c r="J516" s="26">
        <v>0.14000000000000001</v>
      </c>
      <c r="K516" s="26">
        <v>0.13639999999999999</v>
      </c>
      <c r="L516" s="26">
        <v>0.33</v>
      </c>
      <c r="M516">
        <v>0.3881</v>
      </c>
      <c r="N516" s="26">
        <v>12</v>
      </c>
      <c r="O516" s="26">
        <v>75</v>
      </c>
      <c r="P516" s="26">
        <v>87</v>
      </c>
      <c r="Q516" s="34" t="str">
        <f t="shared" si="24"/>
        <v>Clear</v>
      </c>
      <c r="R516" s="41" t="str">
        <f>IF(I516=1,"Normal",IF(I516=2,"Yellow Alert",IF(I516=3,"Orange Alert",IF(I516=4,"Red Alert"))))</f>
        <v>Normal</v>
      </c>
      <c r="S516" s="60">
        <f t="shared" si="25"/>
        <v>23</v>
      </c>
      <c r="T516" s="60">
        <f>MONTH(dataset_1!B:B)</f>
        <v>1</v>
      </c>
      <c r="U516" s="60">
        <f t="shared" si="26"/>
        <v>2011</v>
      </c>
      <c r="V516" s="59" t="str">
        <f>TEXT(F516/24,"H AM/PM")</f>
        <v>1 PM</v>
      </c>
      <c r="W516" s="59" t="str">
        <f>IF(H516=6,"Saturday",IF(H516=0,"Sunday",IF(H516=1,"Monday",IF(H516=2,"Tuesday",IF(H516=3,"Wednesday",IF(H516=4,"Thursday",IF(H516=5,"Friday")))))))</f>
        <v>Sunday</v>
      </c>
      <c r="X516" s="59" t="str">
        <f>IF(G516=FALSE,"Working day", IF(G516=TRUE,"Holiday"))</f>
        <v>Working day</v>
      </c>
    </row>
    <row r="517" spans="1:24" x14ac:dyDescent="0.25">
      <c r="A517" s="32">
        <v>516</v>
      </c>
      <c r="B517" s="33">
        <v>40566</v>
      </c>
      <c r="C517" s="26">
        <v>1</v>
      </c>
      <c r="D517" s="26">
        <v>0</v>
      </c>
      <c r="E517" s="26">
        <v>1</v>
      </c>
      <c r="F517" s="26">
        <v>14</v>
      </c>
      <c r="G517" s="26" t="b">
        <v>0</v>
      </c>
      <c r="H517" s="26">
        <v>0</v>
      </c>
      <c r="I517" s="26">
        <v>1</v>
      </c>
      <c r="J517" s="26">
        <v>0.16</v>
      </c>
      <c r="K517" s="26">
        <v>0.13639999999999999</v>
      </c>
      <c r="L517" s="26">
        <v>0.28000000000000003</v>
      </c>
      <c r="M517">
        <v>0.35820000000000002</v>
      </c>
      <c r="N517" s="26">
        <v>17</v>
      </c>
      <c r="O517" s="26">
        <v>93</v>
      </c>
      <c r="P517" s="26">
        <v>110</v>
      </c>
      <c r="Q517" s="34" t="str">
        <f t="shared" si="24"/>
        <v>Clear</v>
      </c>
      <c r="R517" s="41" t="str">
        <f>IF(I517=1,"Normal",IF(I517=2,"Yellow Alert",IF(I517=3,"Orange Alert",IF(I517=4,"Red Alert"))))</f>
        <v>Normal</v>
      </c>
      <c r="S517" s="60">
        <f t="shared" si="25"/>
        <v>23</v>
      </c>
      <c r="T517" s="60">
        <f>MONTH(dataset_1!B:B)</f>
        <v>1</v>
      </c>
      <c r="U517" s="60">
        <f t="shared" si="26"/>
        <v>2011</v>
      </c>
      <c r="V517" s="59" t="str">
        <f>TEXT(F517/24,"H AM/PM")</f>
        <v>2 PM</v>
      </c>
      <c r="W517" s="59" t="str">
        <f>IF(H517=6,"Saturday",IF(H517=0,"Sunday",IF(H517=1,"Monday",IF(H517=2,"Tuesday",IF(H517=3,"Wednesday",IF(H517=4,"Thursday",IF(H517=5,"Friday")))))))</f>
        <v>Sunday</v>
      </c>
      <c r="X517" s="59" t="str">
        <f>IF(G517=FALSE,"Working day", IF(G517=TRUE,"Holiday"))</f>
        <v>Working day</v>
      </c>
    </row>
    <row r="518" spans="1:24" x14ac:dyDescent="0.25">
      <c r="A518" s="32">
        <v>517</v>
      </c>
      <c r="B518" s="33">
        <v>40566</v>
      </c>
      <c r="C518" s="26">
        <v>1</v>
      </c>
      <c r="D518" s="26">
        <v>0</v>
      </c>
      <c r="E518" s="26">
        <v>1</v>
      </c>
      <c r="F518" s="26">
        <v>15</v>
      </c>
      <c r="G518" s="26" t="b">
        <v>0</v>
      </c>
      <c r="H518" s="26">
        <v>0</v>
      </c>
      <c r="I518" s="26">
        <v>1</v>
      </c>
      <c r="J518" s="26">
        <v>0.16</v>
      </c>
      <c r="K518" s="26">
        <v>0.13639999999999999</v>
      </c>
      <c r="L518" s="26">
        <v>0.28000000000000003</v>
      </c>
      <c r="M518">
        <v>0.35820000000000002</v>
      </c>
      <c r="N518" s="26">
        <v>13</v>
      </c>
      <c r="O518" s="26">
        <v>64</v>
      </c>
      <c r="P518" s="26">
        <v>77</v>
      </c>
      <c r="Q518" s="34" t="str">
        <f t="shared" si="24"/>
        <v>Clear</v>
      </c>
      <c r="R518" s="41" t="str">
        <f>IF(I518=1,"Normal",IF(I518=2,"Yellow Alert",IF(I518=3,"Orange Alert",IF(I518=4,"Red Alert"))))</f>
        <v>Normal</v>
      </c>
      <c r="S518" s="60">
        <f t="shared" si="25"/>
        <v>23</v>
      </c>
      <c r="T518" s="60">
        <f>MONTH(dataset_1!B:B)</f>
        <v>1</v>
      </c>
      <c r="U518" s="60">
        <f t="shared" si="26"/>
        <v>2011</v>
      </c>
      <c r="V518" s="59" t="str">
        <f>TEXT(F518/24,"H AM/PM")</f>
        <v>3 PM</v>
      </c>
      <c r="W518" s="59" t="str">
        <f>IF(H518=6,"Saturday",IF(H518=0,"Sunday",IF(H518=1,"Monday",IF(H518=2,"Tuesday",IF(H518=3,"Wednesday",IF(H518=4,"Thursday",IF(H518=5,"Friday")))))))</f>
        <v>Sunday</v>
      </c>
      <c r="X518" s="59" t="str">
        <f>IF(G518=FALSE,"Working day", IF(G518=TRUE,"Holiday"))</f>
        <v>Working day</v>
      </c>
    </row>
    <row r="519" spans="1:24" x14ac:dyDescent="0.25">
      <c r="A519" s="32">
        <v>518</v>
      </c>
      <c r="B519" s="33">
        <v>40566</v>
      </c>
      <c r="C519" s="26">
        <v>1</v>
      </c>
      <c r="D519" s="26">
        <v>0</v>
      </c>
      <c r="E519" s="26">
        <v>1</v>
      </c>
      <c r="F519" s="26">
        <v>16</v>
      </c>
      <c r="G519" s="26" t="b">
        <v>0</v>
      </c>
      <c r="H519" s="26">
        <v>0</v>
      </c>
      <c r="I519" s="26">
        <v>1</v>
      </c>
      <c r="J519" s="26">
        <v>0.16</v>
      </c>
      <c r="K519" s="26">
        <v>0.1061</v>
      </c>
      <c r="L519" s="26">
        <v>0.26</v>
      </c>
      <c r="M519">
        <v>0.32840000000000003</v>
      </c>
      <c r="N519" s="26">
        <v>9</v>
      </c>
      <c r="O519" s="26">
        <v>56</v>
      </c>
      <c r="P519" s="26">
        <v>65</v>
      </c>
      <c r="Q519" s="34" t="str">
        <f t="shared" si="24"/>
        <v>Clear</v>
      </c>
      <c r="R519" s="41" t="str">
        <f>IF(I519=1,"Normal",IF(I519=2,"Yellow Alert",IF(I519=3,"Orange Alert",IF(I519=4,"Red Alert"))))</f>
        <v>Normal</v>
      </c>
      <c r="S519" s="60">
        <f t="shared" si="25"/>
        <v>23</v>
      </c>
      <c r="T519" s="60">
        <f>MONTH(dataset_1!B:B)</f>
        <v>1</v>
      </c>
      <c r="U519" s="60">
        <f t="shared" si="26"/>
        <v>2011</v>
      </c>
      <c r="V519" s="59" t="str">
        <f>TEXT(F519/24,"H AM/PM")</f>
        <v>4 PM</v>
      </c>
      <c r="W519" s="59" t="str">
        <f>IF(H519=6,"Saturday",IF(H519=0,"Sunday",IF(H519=1,"Monday",IF(H519=2,"Tuesday",IF(H519=3,"Wednesday",IF(H519=4,"Thursday",IF(H519=5,"Friday")))))))</f>
        <v>Sunday</v>
      </c>
      <c r="X519" s="59" t="str">
        <f>IF(G519=FALSE,"Working day", IF(G519=TRUE,"Holiday"))</f>
        <v>Working day</v>
      </c>
    </row>
    <row r="520" spans="1:24" x14ac:dyDescent="0.25">
      <c r="A520" s="32">
        <v>519</v>
      </c>
      <c r="B520" s="33">
        <v>40566</v>
      </c>
      <c r="C520" s="26">
        <v>1</v>
      </c>
      <c r="D520" s="26">
        <v>0</v>
      </c>
      <c r="E520" s="26">
        <v>1</v>
      </c>
      <c r="F520" s="26">
        <v>17</v>
      </c>
      <c r="G520" s="26" t="b">
        <v>0</v>
      </c>
      <c r="H520" s="26">
        <v>0</v>
      </c>
      <c r="I520" s="26">
        <v>1</v>
      </c>
      <c r="J520" s="26">
        <v>0.14000000000000001</v>
      </c>
      <c r="K520" s="26">
        <v>0.1212</v>
      </c>
      <c r="L520" s="26">
        <v>0.26</v>
      </c>
      <c r="M520">
        <v>0.3881</v>
      </c>
      <c r="N520" s="26">
        <v>5</v>
      </c>
      <c r="O520" s="26">
        <v>50</v>
      </c>
      <c r="P520" s="26">
        <v>55</v>
      </c>
      <c r="Q520" s="34" t="str">
        <f t="shared" si="24"/>
        <v>Clear</v>
      </c>
      <c r="R520" s="41" t="str">
        <f>IF(I520=1,"Normal",IF(I520=2,"Yellow Alert",IF(I520=3,"Orange Alert",IF(I520=4,"Red Alert"))))</f>
        <v>Normal</v>
      </c>
      <c r="S520" s="60">
        <f t="shared" si="25"/>
        <v>23</v>
      </c>
      <c r="T520" s="60">
        <f>MONTH(dataset_1!B:B)</f>
        <v>1</v>
      </c>
      <c r="U520" s="60">
        <f t="shared" si="26"/>
        <v>2011</v>
      </c>
      <c r="V520" s="59" t="str">
        <f>TEXT(F520/24,"H AM/PM")</f>
        <v>5 PM</v>
      </c>
      <c r="W520" s="59" t="str">
        <f>IF(H520=6,"Saturday",IF(H520=0,"Sunday",IF(H520=1,"Monday",IF(H520=2,"Tuesday",IF(H520=3,"Wednesday",IF(H520=4,"Thursday",IF(H520=5,"Friday")))))))</f>
        <v>Sunday</v>
      </c>
      <c r="X520" s="59" t="str">
        <f>IF(G520=FALSE,"Working day", IF(G520=TRUE,"Holiday"))</f>
        <v>Working day</v>
      </c>
    </row>
    <row r="521" spans="1:24" x14ac:dyDescent="0.25">
      <c r="A521" s="32">
        <v>520</v>
      </c>
      <c r="B521" s="33">
        <v>40566</v>
      </c>
      <c r="C521" s="26">
        <v>1</v>
      </c>
      <c r="D521" s="26">
        <v>0</v>
      </c>
      <c r="E521" s="26">
        <v>1</v>
      </c>
      <c r="F521" s="26">
        <v>18</v>
      </c>
      <c r="G521" s="26" t="b">
        <v>0</v>
      </c>
      <c r="H521" s="26">
        <v>0</v>
      </c>
      <c r="I521" s="26">
        <v>1</v>
      </c>
      <c r="J521" s="26">
        <v>0.12</v>
      </c>
      <c r="K521" s="26">
        <v>0.1212</v>
      </c>
      <c r="L521" s="26">
        <v>0.3</v>
      </c>
      <c r="M521">
        <v>0.25369999999999998</v>
      </c>
      <c r="N521" s="26">
        <v>5</v>
      </c>
      <c r="O521" s="26">
        <v>44</v>
      </c>
      <c r="P521" s="26">
        <v>49</v>
      </c>
      <c r="Q521" s="34" t="str">
        <f t="shared" si="24"/>
        <v>Clear</v>
      </c>
      <c r="R521" s="41" t="str">
        <f>IF(I521=1,"Normal",IF(I521=2,"Yellow Alert",IF(I521=3,"Orange Alert",IF(I521=4,"Red Alert"))))</f>
        <v>Normal</v>
      </c>
      <c r="S521" s="60">
        <f t="shared" si="25"/>
        <v>23</v>
      </c>
      <c r="T521" s="60">
        <f>MONTH(dataset_1!B:B)</f>
        <v>1</v>
      </c>
      <c r="U521" s="60">
        <f t="shared" si="26"/>
        <v>2011</v>
      </c>
      <c r="V521" s="59" t="str">
        <f>TEXT(F521/24,"H AM/PM")</f>
        <v>6 PM</v>
      </c>
      <c r="W521" s="59" t="str">
        <f>IF(H521=6,"Saturday",IF(H521=0,"Sunday",IF(H521=1,"Monday",IF(H521=2,"Tuesday",IF(H521=3,"Wednesday",IF(H521=4,"Thursday",IF(H521=5,"Friday")))))))</f>
        <v>Sunday</v>
      </c>
      <c r="X521" s="59" t="str">
        <f>IF(G521=FALSE,"Working day", IF(G521=TRUE,"Holiday"))</f>
        <v>Working day</v>
      </c>
    </row>
    <row r="522" spans="1:24" x14ac:dyDescent="0.25">
      <c r="A522" s="32">
        <v>521</v>
      </c>
      <c r="B522" s="33">
        <v>40566</v>
      </c>
      <c r="C522" s="26">
        <v>1</v>
      </c>
      <c r="D522" s="26">
        <v>0</v>
      </c>
      <c r="E522" s="26">
        <v>1</v>
      </c>
      <c r="F522" s="26">
        <v>19</v>
      </c>
      <c r="G522" s="26" t="b">
        <v>0</v>
      </c>
      <c r="H522" s="26">
        <v>0</v>
      </c>
      <c r="I522" s="26">
        <v>1</v>
      </c>
      <c r="J522" s="26">
        <v>0.12</v>
      </c>
      <c r="K522" s="26">
        <v>0.1061</v>
      </c>
      <c r="L522" s="26">
        <v>0.3</v>
      </c>
      <c r="M522">
        <v>0.28360000000000002</v>
      </c>
      <c r="N522" s="26">
        <v>5</v>
      </c>
      <c r="O522" s="26">
        <v>45</v>
      </c>
      <c r="P522" s="26">
        <v>50</v>
      </c>
      <c r="Q522" s="34" t="str">
        <f t="shared" si="24"/>
        <v>Clear</v>
      </c>
      <c r="R522" s="41" t="str">
        <f>IF(I522=1,"Normal",IF(I522=2,"Yellow Alert",IF(I522=3,"Orange Alert",IF(I522=4,"Red Alert"))))</f>
        <v>Normal</v>
      </c>
      <c r="S522" s="60">
        <f t="shared" si="25"/>
        <v>23</v>
      </c>
      <c r="T522" s="60">
        <f>MONTH(dataset_1!B:B)</f>
        <v>1</v>
      </c>
      <c r="U522" s="60">
        <f t="shared" si="26"/>
        <v>2011</v>
      </c>
      <c r="V522" s="59" t="str">
        <f>TEXT(F522/24,"H AM/PM")</f>
        <v>7 PM</v>
      </c>
      <c r="W522" s="59" t="str">
        <f>IF(H522=6,"Saturday",IF(H522=0,"Sunday",IF(H522=1,"Monday",IF(H522=2,"Tuesday",IF(H522=3,"Wednesday",IF(H522=4,"Thursday",IF(H522=5,"Friday")))))))</f>
        <v>Sunday</v>
      </c>
      <c r="X522" s="59" t="str">
        <f>IF(G522=FALSE,"Working day", IF(G522=TRUE,"Holiday"))</f>
        <v>Working day</v>
      </c>
    </row>
    <row r="523" spans="1:24" x14ac:dyDescent="0.25">
      <c r="A523" s="32">
        <v>522</v>
      </c>
      <c r="B523" s="33">
        <v>40566</v>
      </c>
      <c r="C523" s="26">
        <v>1</v>
      </c>
      <c r="D523" s="26">
        <v>0</v>
      </c>
      <c r="E523" s="26">
        <v>1</v>
      </c>
      <c r="F523" s="26">
        <v>20</v>
      </c>
      <c r="G523" s="26" t="b">
        <v>0</v>
      </c>
      <c r="H523" s="26">
        <v>0</v>
      </c>
      <c r="I523" s="26">
        <v>1</v>
      </c>
      <c r="J523" s="26">
        <v>0.1</v>
      </c>
      <c r="K523" s="26">
        <v>0.1061</v>
      </c>
      <c r="L523" s="26">
        <v>0.36</v>
      </c>
      <c r="M523">
        <v>0.25369999999999998</v>
      </c>
      <c r="N523" s="26">
        <v>4</v>
      </c>
      <c r="O523" s="26">
        <v>31</v>
      </c>
      <c r="P523" s="26">
        <v>35</v>
      </c>
      <c r="Q523" s="34" t="str">
        <f t="shared" si="24"/>
        <v>Clear</v>
      </c>
      <c r="R523" s="41" t="str">
        <f>IF(I523=1,"Normal",IF(I523=2,"Yellow Alert",IF(I523=3,"Orange Alert",IF(I523=4,"Red Alert"))))</f>
        <v>Normal</v>
      </c>
      <c r="S523" s="60">
        <f t="shared" si="25"/>
        <v>23</v>
      </c>
      <c r="T523" s="60">
        <f>MONTH(dataset_1!B:B)</f>
        <v>1</v>
      </c>
      <c r="U523" s="60">
        <f t="shared" si="26"/>
        <v>2011</v>
      </c>
      <c r="V523" s="59" t="str">
        <f>TEXT(F523/24,"H AM/PM")</f>
        <v>8 PM</v>
      </c>
      <c r="W523" s="59" t="str">
        <f>IF(H523=6,"Saturday",IF(H523=0,"Sunday",IF(H523=1,"Monday",IF(H523=2,"Tuesday",IF(H523=3,"Wednesday",IF(H523=4,"Thursday",IF(H523=5,"Friday")))))))</f>
        <v>Sunday</v>
      </c>
      <c r="X523" s="59" t="str">
        <f>IF(G523=FALSE,"Working day", IF(G523=TRUE,"Holiday"))</f>
        <v>Working day</v>
      </c>
    </row>
    <row r="524" spans="1:24" x14ac:dyDescent="0.25">
      <c r="A524" s="32">
        <v>523</v>
      </c>
      <c r="B524" s="33">
        <v>40566</v>
      </c>
      <c r="C524" s="26">
        <v>1</v>
      </c>
      <c r="D524" s="26">
        <v>0</v>
      </c>
      <c r="E524" s="26">
        <v>1</v>
      </c>
      <c r="F524" s="26">
        <v>21</v>
      </c>
      <c r="G524" s="26" t="b">
        <v>0</v>
      </c>
      <c r="H524" s="26">
        <v>0</v>
      </c>
      <c r="I524" s="26">
        <v>1</v>
      </c>
      <c r="J524" s="26">
        <v>0.1</v>
      </c>
      <c r="K524" s="26">
        <v>9.0899999999999995E-2</v>
      </c>
      <c r="L524" s="26">
        <v>0.36</v>
      </c>
      <c r="M524">
        <v>0.19400000000000001</v>
      </c>
      <c r="N524" s="26">
        <v>5</v>
      </c>
      <c r="O524" s="26">
        <v>20</v>
      </c>
      <c r="P524" s="26">
        <v>25</v>
      </c>
      <c r="Q524" s="34" t="str">
        <f t="shared" si="24"/>
        <v>Clear</v>
      </c>
      <c r="R524" s="41" t="str">
        <f>IF(I524=1,"Normal",IF(I524=2,"Yellow Alert",IF(I524=3,"Orange Alert",IF(I524=4,"Red Alert"))))</f>
        <v>Normal</v>
      </c>
      <c r="S524" s="60">
        <f t="shared" si="25"/>
        <v>23</v>
      </c>
      <c r="T524" s="60">
        <f>MONTH(dataset_1!B:B)</f>
        <v>1</v>
      </c>
      <c r="U524" s="60">
        <f t="shared" si="26"/>
        <v>2011</v>
      </c>
      <c r="V524" s="59" t="str">
        <f>TEXT(F524/24,"H AM/PM")</f>
        <v>9 PM</v>
      </c>
      <c r="W524" s="59" t="str">
        <f>IF(H524=6,"Saturday",IF(H524=0,"Sunday",IF(H524=1,"Monday",IF(H524=2,"Tuesday",IF(H524=3,"Wednesday",IF(H524=4,"Thursday",IF(H524=5,"Friday")))))))</f>
        <v>Sunday</v>
      </c>
      <c r="X524" s="59" t="str">
        <f>IF(G524=FALSE,"Working day", IF(G524=TRUE,"Holiday"))</f>
        <v>Working day</v>
      </c>
    </row>
    <row r="525" spans="1:24" x14ac:dyDescent="0.25">
      <c r="A525" s="32">
        <v>524</v>
      </c>
      <c r="B525" s="33">
        <v>40566</v>
      </c>
      <c r="C525" s="26">
        <v>1</v>
      </c>
      <c r="D525" s="26">
        <v>0</v>
      </c>
      <c r="E525" s="26">
        <v>1</v>
      </c>
      <c r="F525" s="26">
        <v>22</v>
      </c>
      <c r="G525" s="26" t="b">
        <v>0</v>
      </c>
      <c r="H525" s="26">
        <v>0</v>
      </c>
      <c r="I525" s="26">
        <v>1</v>
      </c>
      <c r="J525" s="26">
        <v>0.08</v>
      </c>
      <c r="K525" s="26">
        <v>6.0600000000000001E-2</v>
      </c>
      <c r="L525" s="26">
        <v>0.38</v>
      </c>
      <c r="M525">
        <v>0.19400000000000001</v>
      </c>
      <c r="N525" s="26">
        <v>5</v>
      </c>
      <c r="O525" s="26">
        <v>23</v>
      </c>
      <c r="P525" s="26">
        <v>28</v>
      </c>
      <c r="Q525" s="34" t="str">
        <f t="shared" si="24"/>
        <v>Clear</v>
      </c>
      <c r="R525" s="41" t="str">
        <f>IF(I525=1,"Normal",IF(I525=2,"Yellow Alert",IF(I525=3,"Orange Alert",IF(I525=4,"Red Alert"))))</f>
        <v>Normal</v>
      </c>
      <c r="S525" s="60">
        <f t="shared" si="25"/>
        <v>23</v>
      </c>
      <c r="T525" s="60">
        <f>MONTH(dataset_1!B:B)</f>
        <v>1</v>
      </c>
      <c r="U525" s="60">
        <f t="shared" si="26"/>
        <v>2011</v>
      </c>
      <c r="V525" s="59" t="str">
        <f>TEXT(F525/24,"H AM/PM")</f>
        <v>10 PM</v>
      </c>
      <c r="W525" s="59" t="str">
        <f>IF(H525=6,"Saturday",IF(H525=0,"Sunday",IF(H525=1,"Monday",IF(H525=2,"Tuesday",IF(H525=3,"Wednesday",IF(H525=4,"Thursday",IF(H525=5,"Friday")))))))</f>
        <v>Sunday</v>
      </c>
      <c r="X525" s="59" t="str">
        <f>IF(G525=FALSE,"Working day", IF(G525=TRUE,"Holiday"))</f>
        <v>Working day</v>
      </c>
    </row>
    <row r="526" spans="1:24" x14ac:dyDescent="0.25">
      <c r="A526" s="32">
        <v>525</v>
      </c>
      <c r="B526" s="33">
        <v>40566</v>
      </c>
      <c r="C526" s="26">
        <v>1</v>
      </c>
      <c r="D526" s="26">
        <v>0</v>
      </c>
      <c r="E526" s="26">
        <v>1</v>
      </c>
      <c r="F526" s="26">
        <v>23</v>
      </c>
      <c r="G526" s="26" t="b">
        <v>0</v>
      </c>
      <c r="H526" s="26">
        <v>0</v>
      </c>
      <c r="I526" s="26">
        <v>1</v>
      </c>
      <c r="J526" s="26">
        <v>0.06</v>
      </c>
      <c r="K526" s="26">
        <v>6.0600000000000001E-2</v>
      </c>
      <c r="L526" s="26">
        <v>0.41</v>
      </c>
      <c r="M526">
        <v>0.22389999999999999</v>
      </c>
      <c r="N526" s="26">
        <v>4</v>
      </c>
      <c r="O526" s="26">
        <v>17</v>
      </c>
      <c r="P526" s="26">
        <v>21</v>
      </c>
      <c r="Q526" s="34" t="str">
        <f t="shared" si="24"/>
        <v>Clear</v>
      </c>
      <c r="R526" s="41" t="str">
        <f>IF(I526=1,"Normal",IF(I526=2,"Yellow Alert",IF(I526=3,"Orange Alert",IF(I526=4,"Red Alert"))))</f>
        <v>Normal</v>
      </c>
      <c r="S526" s="60">
        <f t="shared" si="25"/>
        <v>23</v>
      </c>
      <c r="T526" s="60">
        <f>MONTH(dataset_1!B:B)</f>
        <v>1</v>
      </c>
      <c r="U526" s="60">
        <f t="shared" si="26"/>
        <v>2011</v>
      </c>
      <c r="V526" s="59" t="str">
        <f>TEXT(F526/24,"H AM/PM")</f>
        <v>11 PM</v>
      </c>
      <c r="W526" s="59" t="str">
        <f>IF(H526=6,"Saturday",IF(H526=0,"Sunday",IF(H526=1,"Monday",IF(H526=2,"Tuesday",IF(H526=3,"Wednesday",IF(H526=4,"Thursday",IF(H526=5,"Friday")))))))</f>
        <v>Sunday</v>
      </c>
      <c r="X526" s="59" t="str">
        <f>IF(G526=FALSE,"Working day", IF(G526=TRUE,"Holiday"))</f>
        <v>Working day</v>
      </c>
    </row>
    <row r="527" spans="1:24" x14ac:dyDescent="0.25">
      <c r="A527" s="32">
        <v>526</v>
      </c>
      <c r="B527" s="33">
        <v>40567</v>
      </c>
      <c r="C527" s="26">
        <v>1</v>
      </c>
      <c r="D527" s="26">
        <v>0</v>
      </c>
      <c r="E527" s="26">
        <v>1</v>
      </c>
      <c r="F527" s="26">
        <v>0</v>
      </c>
      <c r="G527" s="26" t="b">
        <v>0</v>
      </c>
      <c r="H527" s="26">
        <v>1</v>
      </c>
      <c r="I527" s="26">
        <v>1</v>
      </c>
      <c r="J527" s="26">
        <v>0.06</v>
      </c>
      <c r="K527" s="26">
        <v>4.5499999999999999E-2</v>
      </c>
      <c r="L527" s="26">
        <v>0.41</v>
      </c>
      <c r="M527">
        <v>0.19400000000000001</v>
      </c>
      <c r="N527" s="26">
        <v>0</v>
      </c>
      <c r="O527" s="26">
        <v>7</v>
      </c>
      <c r="P527" s="26">
        <v>7</v>
      </c>
      <c r="Q527" s="34" t="str">
        <f t="shared" si="24"/>
        <v>Clear</v>
      </c>
      <c r="R527" s="41" t="str">
        <f>IF(I527=1,"Normal",IF(I527=2,"Yellow Alert",IF(I527=3,"Orange Alert",IF(I527=4,"Red Alert"))))</f>
        <v>Normal</v>
      </c>
      <c r="S527" s="60">
        <f t="shared" si="25"/>
        <v>24</v>
      </c>
      <c r="T527" s="60">
        <f>MONTH(dataset_1!B:B)</f>
        <v>1</v>
      </c>
      <c r="U527" s="60">
        <f t="shared" si="26"/>
        <v>2011</v>
      </c>
      <c r="V527" s="59" t="str">
        <f>TEXT(F527/24,"H AM/PM")</f>
        <v>12 AM</v>
      </c>
      <c r="W527" s="59" t="str">
        <f>IF(H527=6,"Saturday",IF(H527=0,"Sunday",IF(H527=1,"Monday",IF(H527=2,"Tuesday",IF(H527=3,"Wednesday",IF(H527=4,"Thursday",IF(H527=5,"Friday")))))))</f>
        <v>Monday</v>
      </c>
      <c r="X527" s="59" t="str">
        <f>IF(G527=FALSE,"Working day", IF(G527=TRUE,"Holiday"))</f>
        <v>Working day</v>
      </c>
    </row>
    <row r="528" spans="1:24" x14ac:dyDescent="0.25">
      <c r="A528" s="32">
        <v>527</v>
      </c>
      <c r="B528" s="33">
        <v>40567</v>
      </c>
      <c r="C528" s="26">
        <v>1</v>
      </c>
      <c r="D528" s="26">
        <v>0</v>
      </c>
      <c r="E528" s="26">
        <v>1</v>
      </c>
      <c r="F528" s="26">
        <v>1</v>
      </c>
      <c r="G528" s="26" t="b">
        <v>0</v>
      </c>
      <c r="H528" s="26">
        <v>1</v>
      </c>
      <c r="I528" s="26">
        <v>1</v>
      </c>
      <c r="J528" s="26">
        <v>0.04</v>
      </c>
      <c r="K528" s="26">
        <v>3.0300000000000001E-2</v>
      </c>
      <c r="L528" s="26">
        <v>0.45</v>
      </c>
      <c r="M528">
        <v>0.19400000000000001</v>
      </c>
      <c r="N528" s="26">
        <v>0</v>
      </c>
      <c r="O528" s="26">
        <v>1</v>
      </c>
      <c r="P528" s="26">
        <v>1</v>
      </c>
      <c r="Q528" s="34" t="str">
        <f t="shared" si="24"/>
        <v>Clear</v>
      </c>
      <c r="R528" s="41" t="str">
        <f>IF(I528=1,"Normal",IF(I528=2,"Yellow Alert",IF(I528=3,"Orange Alert",IF(I528=4,"Red Alert"))))</f>
        <v>Normal</v>
      </c>
      <c r="S528" s="60">
        <f t="shared" si="25"/>
        <v>24</v>
      </c>
      <c r="T528" s="60">
        <f>MONTH(dataset_1!B:B)</f>
        <v>1</v>
      </c>
      <c r="U528" s="60">
        <f t="shared" si="26"/>
        <v>2011</v>
      </c>
      <c r="V528" s="59" t="str">
        <f>TEXT(F528/24,"H AM/PM")</f>
        <v>1 AM</v>
      </c>
      <c r="W528" s="59" t="str">
        <f>IF(H528=6,"Saturday",IF(H528=0,"Sunday",IF(H528=1,"Monday",IF(H528=2,"Tuesday",IF(H528=3,"Wednesday",IF(H528=4,"Thursday",IF(H528=5,"Friday")))))))</f>
        <v>Monday</v>
      </c>
      <c r="X528" s="59" t="str">
        <f>IF(G528=FALSE,"Working day", IF(G528=TRUE,"Holiday"))</f>
        <v>Working day</v>
      </c>
    </row>
    <row r="529" spans="1:24" x14ac:dyDescent="0.25">
      <c r="A529" s="32">
        <v>528</v>
      </c>
      <c r="B529" s="33">
        <v>40567</v>
      </c>
      <c r="C529" s="26">
        <v>1</v>
      </c>
      <c r="D529" s="26">
        <v>0</v>
      </c>
      <c r="E529" s="26">
        <v>1</v>
      </c>
      <c r="F529" s="26">
        <v>3</v>
      </c>
      <c r="G529" s="26" t="b">
        <v>0</v>
      </c>
      <c r="H529" s="26">
        <v>1</v>
      </c>
      <c r="I529" s="26">
        <v>1</v>
      </c>
      <c r="J529" s="26">
        <v>0.04</v>
      </c>
      <c r="K529" s="26">
        <v>6.0600000000000001E-2</v>
      </c>
      <c r="L529" s="26">
        <v>0.45</v>
      </c>
      <c r="M529">
        <v>0.25369999999999998</v>
      </c>
      <c r="N529" s="26">
        <v>0</v>
      </c>
      <c r="O529" s="26">
        <v>1</v>
      </c>
      <c r="P529" s="26">
        <v>1</v>
      </c>
      <c r="Q529" s="34" t="str">
        <f t="shared" si="24"/>
        <v>Clear</v>
      </c>
      <c r="R529" s="41" t="str">
        <f>IF(I529=1,"Normal",IF(I529=2,"Yellow Alert",IF(I529=3,"Orange Alert",IF(I529=4,"Red Alert"))))</f>
        <v>Normal</v>
      </c>
      <c r="S529" s="60">
        <f t="shared" si="25"/>
        <v>24</v>
      </c>
      <c r="T529" s="60">
        <f>MONTH(dataset_1!B:B)</f>
        <v>1</v>
      </c>
      <c r="U529" s="60">
        <f t="shared" si="26"/>
        <v>2011</v>
      </c>
      <c r="V529" s="59" t="str">
        <f>TEXT(F529/24,"H AM/PM")</f>
        <v>3 AM</v>
      </c>
      <c r="W529" s="59" t="str">
        <f>IF(H529=6,"Saturday",IF(H529=0,"Sunday",IF(H529=1,"Monday",IF(H529=2,"Tuesday",IF(H529=3,"Wednesday",IF(H529=4,"Thursday",IF(H529=5,"Friday")))))))</f>
        <v>Monday</v>
      </c>
      <c r="X529" s="59" t="str">
        <f>IF(G529=FALSE,"Working day", IF(G529=TRUE,"Holiday"))</f>
        <v>Working day</v>
      </c>
    </row>
    <row r="530" spans="1:24" x14ac:dyDescent="0.25">
      <c r="A530" s="32">
        <v>529</v>
      </c>
      <c r="B530" s="33">
        <v>40567</v>
      </c>
      <c r="C530" s="26">
        <v>1</v>
      </c>
      <c r="D530" s="26">
        <v>0</v>
      </c>
      <c r="E530" s="26">
        <v>1</v>
      </c>
      <c r="F530" s="26">
        <v>4</v>
      </c>
      <c r="G530" s="26" t="b">
        <v>0</v>
      </c>
      <c r="H530" s="26">
        <v>1</v>
      </c>
      <c r="I530" s="26">
        <v>1</v>
      </c>
      <c r="J530" s="26">
        <v>0.02</v>
      </c>
      <c r="K530" s="26">
        <v>6.0600000000000001E-2</v>
      </c>
      <c r="L530" s="26">
        <v>0.48</v>
      </c>
      <c r="M530">
        <v>0.1343</v>
      </c>
      <c r="N530" s="26">
        <v>0</v>
      </c>
      <c r="O530" s="26">
        <v>1</v>
      </c>
      <c r="P530" s="26">
        <v>1</v>
      </c>
      <c r="Q530" s="34" t="str">
        <f t="shared" si="24"/>
        <v>Clear</v>
      </c>
      <c r="R530" s="41" t="str">
        <f>IF(I530=1,"Normal",IF(I530=2,"Yellow Alert",IF(I530=3,"Orange Alert",IF(I530=4,"Red Alert"))))</f>
        <v>Normal</v>
      </c>
      <c r="S530" s="60">
        <f t="shared" si="25"/>
        <v>24</v>
      </c>
      <c r="T530" s="60">
        <f>MONTH(dataset_1!B:B)</f>
        <v>1</v>
      </c>
      <c r="U530" s="60">
        <f t="shared" si="26"/>
        <v>2011</v>
      </c>
      <c r="V530" s="59" t="str">
        <f>TEXT(F530/24,"H AM/PM")</f>
        <v>4 AM</v>
      </c>
      <c r="W530" s="59" t="str">
        <f>IF(H530=6,"Saturday",IF(H530=0,"Sunday",IF(H530=1,"Monday",IF(H530=2,"Tuesday",IF(H530=3,"Wednesday",IF(H530=4,"Thursday",IF(H530=5,"Friday")))))))</f>
        <v>Monday</v>
      </c>
      <c r="X530" s="59" t="str">
        <f>IF(G530=FALSE,"Working day", IF(G530=TRUE,"Holiday"))</f>
        <v>Working day</v>
      </c>
    </row>
    <row r="531" spans="1:24" x14ac:dyDescent="0.25">
      <c r="A531" s="32">
        <v>530</v>
      </c>
      <c r="B531" s="33">
        <v>40567</v>
      </c>
      <c r="C531" s="26">
        <v>1</v>
      </c>
      <c r="D531" s="26">
        <v>0</v>
      </c>
      <c r="E531" s="26">
        <v>1</v>
      </c>
      <c r="F531" s="26">
        <v>5</v>
      </c>
      <c r="G531" s="26" t="b">
        <v>0</v>
      </c>
      <c r="H531" s="26">
        <v>1</v>
      </c>
      <c r="I531" s="26">
        <v>1</v>
      </c>
      <c r="J531" s="26">
        <v>0.02</v>
      </c>
      <c r="K531" s="26">
        <v>7.5800000000000006E-2</v>
      </c>
      <c r="L531" s="26">
        <v>0.48</v>
      </c>
      <c r="M531">
        <v>0.1343</v>
      </c>
      <c r="N531" s="26">
        <v>0</v>
      </c>
      <c r="O531" s="26">
        <v>5</v>
      </c>
      <c r="P531" s="26">
        <v>5</v>
      </c>
      <c r="Q531" s="34" t="str">
        <f t="shared" si="24"/>
        <v>Clear</v>
      </c>
      <c r="R531" s="41" t="str">
        <f>IF(I531=1,"Normal",IF(I531=2,"Yellow Alert",IF(I531=3,"Orange Alert",IF(I531=4,"Red Alert"))))</f>
        <v>Normal</v>
      </c>
      <c r="S531" s="60">
        <f t="shared" si="25"/>
        <v>24</v>
      </c>
      <c r="T531" s="60">
        <f>MONTH(dataset_1!B:B)</f>
        <v>1</v>
      </c>
      <c r="U531" s="60">
        <f t="shared" si="26"/>
        <v>2011</v>
      </c>
      <c r="V531" s="59" t="str">
        <f>TEXT(F531/24,"H AM/PM")</f>
        <v>5 AM</v>
      </c>
      <c r="W531" s="59" t="str">
        <f>IF(H531=6,"Saturday",IF(H531=0,"Sunday",IF(H531=1,"Monday",IF(H531=2,"Tuesday",IF(H531=3,"Wednesday",IF(H531=4,"Thursday",IF(H531=5,"Friday")))))))</f>
        <v>Monday</v>
      </c>
      <c r="X531" s="59" t="str">
        <f>IF(G531=FALSE,"Working day", IF(G531=TRUE,"Holiday"))</f>
        <v>Working day</v>
      </c>
    </row>
    <row r="532" spans="1:24" x14ac:dyDescent="0.25">
      <c r="A532" s="32">
        <v>531</v>
      </c>
      <c r="B532" s="33">
        <v>40567</v>
      </c>
      <c r="C532" s="26">
        <v>1</v>
      </c>
      <c r="D532" s="26">
        <v>0</v>
      </c>
      <c r="E532" s="26">
        <v>1</v>
      </c>
      <c r="F532" s="26">
        <v>6</v>
      </c>
      <c r="G532" s="26" t="b">
        <v>0</v>
      </c>
      <c r="H532" s="26">
        <v>1</v>
      </c>
      <c r="I532" s="26">
        <v>1</v>
      </c>
      <c r="J532" s="26">
        <v>0.02</v>
      </c>
      <c r="K532" s="26">
        <v>0.1212</v>
      </c>
      <c r="L532" s="26">
        <v>0.48</v>
      </c>
      <c r="M532">
        <v>8.9599999999999999E-2</v>
      </c>
      <c r="N532" s="26">
        <v>0</v>
      </c>
      <c r="O532" s="26">
        <v>15</v>
      </c>
      <c r="P532" s="26">
        <v>15</v>
      </c>
      <c r="Q532" s="34" t="str">
        <f t="shared" si="24"/>
        <v>Clear</v>
      </c>
      <c r="R532" s="41" t="str">
        <f>IF(I532=1,"Normal",IF(I532=2,"Yellow Alert",IF(I532=3,"Orange Alert",IF(I532=4,"Red Alert"))))</f>
        <v>Normal</v>
      </c>
      <c r="S532" s="60">
        <f t="shared" si="25"/>
        <v>24</v>
      </c>
      <c r="T532" s="60">
        <f>MONTH(dataset_1!B:B)</f>
        <v>1</v>
      </c>
      <c r="U532" s="60">
        <f t="shared" si="26"/>
        <v>2011</v>
      </c>
      <c r="V532" s="59" t="str">
        <f>TEXT(F532/24,"H AM/PM")</f>
        <v>6 AM</v>
      </c>
      <c r="W532" s="59" t="str">
        <f>IF(H532=6,"Saturday",IF(H532=0,"Sunday",IF(H532=1,"Monday",IF(H532=2,"Tuesday",IF(H532=3,"Wednesday",IF(H532=4,"Thursday",IF(H532=5,"Friday")))))))</f>
        <v>Monday</v>
      </c>
      <c r="X532" s="59" t="str">
        <f>IF(G532=FALSE,"Working day", IF(G532=TRUE,"Holiday"))</f>
        <v>Working day</v>
      </c>
    </row>
    <row r="533" spans="1:24" x14ac:dyDescent="0.25">
      <c r="A533" s="32">
        <v>532</v>
      </c>
      <c r="B533" s="33">
        <v>40567</v>
      </c>
      <c r="C533" s="26">
        <v>1</v>
      </c>
      <c r="D533" s="26">
        <v>0</v>
      </c>
      <c r="E533" s="26">
        <v>1</v>
      </c>
      <c r="F533" s="26">
        <v>7</v>
      </c>
      <c r="G533" s="26" t="b">
        <v>0</v>
      </c>
      <c r="H533" s="26">
        <v>1</v>
      </c>
      <c r="I533" s="26">
        <v>1</v>
      </c>
      <c r="J533" s="26">
        <v>0.02</v>
      </c>
      <c r="K533" s="26">
        <v>0.13639999999999999</v>
      </c>
      <c r="L533" s="26">
        <v>0.48</v>
      </c>
      <c r="M533">
        <v>0</v>
      </c>
      <c r="N533" s="26">
        <v>5</v>
      </c>
      <c r="O533" s="26">
        <v>79</v>
      </c>
      <c r="P533" s="26">
        <v>84</v>
      </c>
      <c r="Q533" s="34" t="str">
        <f t="shared" si="24"/>
        <v>Clear</v>
      </c>
      <c r="R533" s="41" t="str">
        <f>IF(I533=1,"Normal",IF(I533=2,"Yellow Alert",IF(I533=3,"Orange Alert",IF(I533=4,"Red Alert"))))</f>
        <v>Normal</v>
      </c>
      <c r="S533" s="60">
        <f t="shared" si="25"/>
        <v>24</v>
      </c>
      <c r="T533" s="60">
        <f>MONTH(dataset_1!B:B)</f>
        <v>1</v>
      </c>
      <c r="U533" s="60">
        <f t="shared" si="26"/>
        <v>2011</v>
      </c>
      <c r="V533" s="59" t="str">
        <f>TEXT(F533/24,"H AM/PM")</f>
        <v>7 AM</v>
      </c>
      <c r="W533" s="59" t="str">
        <f>IF(H533=6,"Saturday",IF(H533=0,"Sunday",IF(H533=1,"Monday",IF(H533=2,"Tuesday",IF(H533=3,"Wednesday",IF(H533=4,"Thursday",IF(H533=5,"Friday")))))))</f>
        <v>Monday</v>
      </c>
      <c r="X533" s="59" t="str">
        <f>IF(G533=FALSE,"Working day", IF(G533=TRUE,"Holiday"))</f>
        <v>Working day</v>
      </c>
    </row>
    <row r="534" spans="1:24" x14ac:dyDescent="0.25">
      <c r="A534" s="32">
        <v>533</v>
      </c>
      <c r="B534" s="33">
        <v>40567</v>
      </c>
      <c r="C534" s="26">
        <v>1</v>
      </c>
      <c r="D534" s="26">
        <v>0</v>
      </c>
      <c r="E534" s="26">
        <v>1</v>
      </c>
      <c r="F534" s="26">
        <v>8</v>
      </c>
      <c r="G534" s="26" t="b">
        <v>0</v>
      </c>
      <c r="H534" s="26">
        <v>1</v>
      </c>
      <c r="I534" s="26">
        <v>1</v>
      </c>
      <c r="J534" s="26">
        <v>0.04</v>
      </c>
      <c r="K534" s="26">
        <v>0.1515</v>
      </c>
      <c r="L534" s="26">
        <v>0.49</v>
      </c>
      <c r="M534">
        <v>0</v>
      </c>
      <c r="N534" s="26">
        <v>6</v>
      </c>
      <c r="O534" s="26">
        <v>171</v>
      </c>
      <c r="P534" s="26">
        <v>177</v>
      </c>
      <c r="Q534" s="34" t="str">
        <f t="shared" si="24"/>
        <v>Clear</v>
      </c>
      <c r="R534" s="41" t="str">
        <f>IF(I534=1,"Normal",IF(I534=2,"Yellow Alert",IF(I534=3,"Orange Alert",IF(I534=4,"Red Alert"))))</f>
        <v>Normal</v>
      </c>
      <c r="S534" s="60">
        <f t="shared" si="25"/>
        <v>24</v>
      </c>
      <c r="T534" s="60">
        <f>MONTH(dataset_1!B:B)</f>
        <v>1</v>
      </c>
      <c r="U534" s="60">
        <f t="shared" si="26"/>
        <v>2011</v>
      </c>
      <c r="V534" s="59" t="str">
        <f>TEXT(F534/24,"H AM/PM")</f>
        <v>8 AM</v>
      </c>
      <c r="W534" s="59" t="str">
        <f>IF(H534=6,"Saturday",IF(H534=0,"Sunday",IF(H534=1,"Monday",IF(H534=2,"Tuesday",IF(H534=3,"Wednesday",IF(H534=4,"Thursday",IF(H534=5,"Friday")))))))</f>
        <v>Monday</v>
      </c>
      <c r="X534" s="59" t="str">
        <f>IF(G534=FALSE,"Working day", IF(G534=TRUE,"Holiday"))</f>
        <v>Working day</v>
      </c>
    </row>
    <row r="535" spans="1:24" x14ac:dyDescent="0.25">
      <c r="A535" s="32">
        <v>534</v>
      </c>
      <c r="B535" s="33">
        <v>40567</v>
      </c>
      <c r="C535" s="26">
        <v>1</v>
      </c>
      <c r="D535" s="26">
        <v>0</v>
      </c>
      <c r="E535" s="26">
        <v>1</v>
      </c>
      <c r="F535" s="26">
        <v>9</v>
      </c>
      <c r="G535" s="26" t="b">
        <v>0</v>
      </c>
      <c r="H535" s="26">
        <v>1</v>
      </c>
      <c r="I535" s="26">
        <v>1</v>
      </c>
      <c r="J535" s="26">
        <v>0.06</v>
      </c>
      <c r="K535" s="26">
        <v>0.13639999999999999</v>
      </c>
      <c r="L535" s="26">
        <v>0.41</v>
      </c>
      <c r="M535">
        <v>0</v>
      </c>
      <c r="N535" s="26">
        <v>4</v>
      </c>
      <c r="O535" s="26">
        <v>98</v>
      </c>
      <c r="P535" s="26">
        <v>102</v>
      </c>
      <c r="Q535" s="34" t="str">
        <f t="shared" si="24"/>
        <v>Clear</v>
      </c>
      <c r="R535" s="41" t="str">
        <f>IF(I535=1,"Normal",IF(I535=2,"Yellow Alert",IF(I535=3,"Orange Alert",IF(I535=4,"Red Alert"))))</f>
        <v>Normal</v>
      </c>
      <c r="S535" s="60">
        <f t="shared" si="25"/>
        <v>24</v>
      </c>
      <c r="T535" s="60">
        <f>MONTH(dataset_1!B:B)</f>
        <v>1</v>
      </c>
      <c r="U535" s="60">
        <f t="shared" si="26"/>
        <v>2011</v>
      </c>
      <c r="V535" s="59" t="str">
        <f>TEXT(F535/24,"H AM/PM")</f>
        <v>9 AM</v>
      </c>
      <c r="W535" s="59" t="str">
        <f>IF(H535=6,"Saturday",IF(H535=0,"Sunday",IF(H535=1,"Monday",IF(H535=2,"Tuesday",IF(H535=3,"Wednesday",IF(H535=4,"Thursday",IF(H535=5,"Friday")))))))</f>
        <v>Monday</v>
      </c>
      <c r="X535" s="59" t="str">
        <f>IF(G535=FALSE,"Working day", IF(G535=TRUE,"Holiday"))</f>
        <v>Working day</v>
      </c>
    </row>
    <row r="536" spans="1:24" x14ac:dyDescent="0.25">
      <c r="A536" s="32">
        <v>535</v>
      </c>
      <c r="B536" s="33">
        <v>40567</v>
      </c>
      <c r="C536" s="26">
        <v>1</v>
      </c>
      <c r="D536" s="26">
        <v>0</v>
      </c>
      <c r="E536" s="26">
        <v>1</v>
      </c>
      <c r="F536" s="26">
        <v>10</v>
      </c>
      <c r="G536" s="26" t="b">
        <v>0</v>
      </c>
      <c r="H536" s="26">
        <v>1</v>
      </c>
      <c r="I536" s="26">
        <v>1</v>
      </c>
      <c r="J536" s="26">
        <v>0.1</v>
      </c>
      <c r="K536" s="26">
        <v>0.1212</v>
      </c>
      <c r="L536" s="26">
        <v>0.42</v>
      </c>
      <c r="M536">
        <v>0</v>
      </c>
      <c r="N536" s="26">
        <v>6</v>
      </c>
      <c r="O536" s="26">
        <v>34</v>
      </c>
      <c r="P536" s="26">
        <v>40</v>
      </c>
      <c r="Q536" s="34" t="str">
        <f t="shared" si="24"/>
        <v>Clear</v>
      </c>
      <c r="R536" s="41" t="str">
        <f>IF(I536=1,"Normal",IF(I536=2,"Yellow Alert",IF(I536=3,"Orange Alert",IF(I536=4,"Red Alert"))))</f>
        <v>Normal</v>
      </c>
      <c r="S536" s="60">
        <f t="shared" si="25"/>
        <v>24</v>
      </c>
      <c r="T536" s="60">
        <f>MONTH(dataset_1!B:B)</f>
        <v>1</v>
      </c>
      <c r="U536" s="60">
        <f t="shared" si="26"/>
        <v>2011</v>
      </c>
      <c r="V536" s="59" t="str">
        <f>TEXT(F536/24,"H AM/PM")</f>
        <v>10 AM</v>
      </c>
      <c r="W536" s="59" t="str">
        <f>IF(H536=6,"Saturday",IF(H536=0,"Sunday",IF(H536=1,"Monday",IF(H536=2,"Tuesday",IF(H536=3,"Wednesday",IF(H536=4,"Thursday",IF(H536=5,"Friday")))))))</f>
        <v>Monday</v>
      </c>
      <c r="X536" s="59" t="str">
        <f>IF(G536=FALSE,"Working day", IF(G536=TRUE,"Holiday"))</f>
        <v>Working day</v>
      </c>
    </row>
    <row r="537" spans="1:24" x14ac:dyDescent="0.25">
      <c r="A537" s="32">
        <v>536</v>
      </c>
      <c r="B537" s="33">
        <v>40567</v>
      </c>
      <c r="C537" s="26">
        <v>1</v>
      </c>
      <c r="D537" s="26">
        <v>0</v>
      </c>
      <c r="E537" s="26">
        <v>1</v>
      </c>
      <c r="F537" s="26">
        <v>11</v>
      </c>
      <c r="G537" s="26" t="b">
        <v>0</v>
      </c>
      <c r="H537" s="26">
        <v>1</v>
      </c>
      <c r="I537" s="26">
        <v>1</v>
      </c>
      <c r="J537" s="26">
        <v>0.1</v>
      </c>
      <c r="K537" s="26">
        <v>0.13639999999999999</v>
      </c>
      <c r="L537" s="26">
        <v>0.46</v>
      </c>
      <c r="M537">
        <v>0.1343</v>
      </c>
      <c r="N537" s="26">
        <v>3</v>
      </c>
      <c r="O537" s="26">
        <v>43</v>
      </c>
      <c r="P537" s="26">
        <v>46</v>
      </c>
      <c r="Q537" s="34" t="str">
        <f t="shared" si="24"/>
        <v>Clear</v>
      </c>
      <c r="R537" s="41" t="str">
        <f>IF(I537=1,"Normal",IF(I537=2,"Yellow Alert",IF(I537=3,"Orange Alert",IF(I537=4,"Red Alert"))))</f>
        <v>Normal</v>
      </c>
      <c r="S537" s="60">
        <f t="shared" si="25"/>
        <v>24</v>
      </c>
      <c r="T537" s="60">
        <f>MONTH(dataset_1!B:B)</f>
        <v>1</v>
      </c>
      <c r="U537" s="60">
        <f t="shared" si="26"/>
        <v>2011</v>
      </c>
      <c r="V537" s="59" t="str">
        <f>TEXT(F537/24,"H AM/PM")</f>
        <v>11 AM</v>
      </c>
      <c r="W537" s="59" t="str">
        <f>IF(H537=6,"Saturday",IF(H537=0,"Sunday",IF(H537=1,"Monday",IF(H537=2,"Tuesday",IF(H537=3,"Wednesday",IF(H537=4,"Thursday",IF(H537=5,"Friday")))))))</f>
        <v>Monday</v>
      </c>
      <c r="X537" s="59" t="str">
        <f>IF(G537=FALSE,"Working day", IF(G537=TRUE,"Holiday"))</f>
        <v>Working day</v>
      </c>
    </row>
    <row r="538" spans="1:24" x14ac:dyDescent="0.25">
      <c r="A538" s="32">
        <v>537</v>
      </c>
      <c r="B538" s="33">
        <v>40567</v>
      </c>
      <c r="C538" s="26">
        <v>1</v>
      </c>
      <c r="D538" s="26">
        <v>0</v>
      </c>
      <c r="E538" s="26">
        <v>1</v>
      </c>
      <c r="F538" s="26">
        <v>12</v>
      </c>
      <c r="G538" s="26" t="b">
        <v>0</v>
      </c>
      <c r="H538" s="26">
        <v>1</v>
      </c>
      <c r="I538" s="26">
        <v>2</v>
      </c>
      <c r="J538" s="26">
        <v>0.12</v>
      </c>
      <c r="K538" s="26">
        <v>0.13639999999999999</v>
      </c>
      <c r="L538" s="26">
        <v>0.42</v>
      </c>
      <c r="M538">
        <v>0.19400000000000001</v>
      </c>
      <c r="N538" s="26">
        <v>11</v>
      </c>
      <c r="O538" s="26">
        <v>52</v>
      </c>
      <c r="P538" s="26">
        <v>63</v>
      </c>
      <c r="Q538" s="34" t="str">
        <f t="shared" si="24"/>
        <v>Cloudy</v>
      </c>
      <c r="R538" s="41" t="str">
        <f>IF(I538=1,"Normal",IF(I538=2,"Yellow Alert",IF(I538=3,"Orange Alert",IF(I538=4,"Red Alert"))))</f>
        <v>Yellow Alert</v>
      </c>
      <c r="S538" s="60">
        <f t="shared" si="25"/>
        <v>24</v>
      </c>
      <c r="T538" s="60">
        <f>MONTH(dataset_1!B:B)</f>
        <v>1</v>
      </c>
      <c r="U538" s="60">
        <f t="shared" si="26"/>
        <v>2011</v>
      </c>
      <c r="V538" s="59" t="str">
        <f>TEXT(F538/24,"H AM/PM")</f>
        <v>12 PM</v>
      </c>
      <c r="W538" s="59" t="str">
        <f>IF(H538=6,"Saturday",IF(H538=0,"Sunday",IF(H538=1,"Monday",IF(H538=2,"Tuesday",IF(H538=3,"Wednesday",IF(H538=4,"Thursday",IF(H538=5,"Friday")))))))</f>
        <v>Monday</v>
      </c>
      <c r="X538" s="59" t="str">
        <f>IF(G538=FALSE,"Working day", IF(G538=TRUE,"Holiday"))</f>
        <v>Working day</v>
      </c>
    </row>
    <row r="539" spans="1:24" x14ac:dyDescent="0.25">
      <c r="A539" s="32">
        <v>538</v>
      </c>
      <c r="B539" s="33">
        <v>40567</v>
      </c>
      <c r="C539" s="26">
        <v>1</v>
      </c>
      <c r="D539" s="26">
        <v>0</v>
      </c>
      <c r="E539" s="26">
        <v>1</v>
      </c>
      <c r="F539" s="26">
        <v>13</v>
      </c>
      <c r="G539" s="26" t="b">
        <v>0</v>
      </c>
      <c r="H539" s="26">
        <v>1</v>
      </c>
      <c r="I539" s="26">
        <v>2</v>
      </c>
      <c r="J539" s="26">
        <v>0.14000000000000001</v>
      </c>
      <c r="K539" s="26">
        <v>0.13639999999999999</v>
      </c>
      <c r="L539" s="26">
        <v>0.43</v>
      </c>
      <c r="M539">
        <v>0.22389999999999999</v>
      </c>
      <c r="N539" s="26">
        <v>6</v>
      </c>
      <c r="O539" s="26">
        <v>54</v>
      </c>
      <c r="P539" s="26">
        <v>60</v>
      </c>
      <c r="Q539" s="34" t="str">
        <f t="shared" si="24"/>
        <v>Cloudy</v>
      </c>
      <c r="R539" s="41" t="str">
        <f>IF(I539=1,"Normal",IF(I539=2,"Yellow Alert",IF(I539=3,"Orange Alert",IF(I539=4,"Red Alert"))))</f>
        <v>Yellow Alert</v>
      </c>
      <c r="S539" s="60">
        <f t="shared" si="25"/>
        <v>24</v>
      </c>
      <c r="T539" s="60">
        <f>MONTH(dataset_1!B:B)</f>
        <v>1</v>
      </c>
      <c r="U539" s="60">
        <f t="shared" si="26"/>
        <v>2011</v>
      </c>
      <c r="V539" s="59" t="str">
        <f>TEXT(F539/24,"H AM/PM")</f>
        <v>1 PM</v>
      </c>
      <c r="W539" s="59" t="str">
        <f>IF(H539=6,"Saturday",IF(H539=0,"Sunday",IF(H539=1,"Monday",IF(H539=2,"Tuesday",IF(H539=3,"Wednesday",IF(H539=4,"Thursday",IF(H539=5,"Friday")))))))</f>
        <v>Monday</v>
      </c>
      <c r="X539" s="59" t="str">
        <f>IF(G539=FALSE,"Working day", IF(G539=TRUE,"Holiday"))</f>
        <v>Working day</v>
      </c>
    </row>
    <row r="540" spans="1:24" x14ac:dyDescent="0.25">
      <c r="A540" s="32">
        <v>539</v>
      </c>
      <c r="B540" s="33">
        <v>40567</v>
      </c>
      <c r="C540" s="26">
        <v>1</v>
      </c>
      <c r="D540" s="26">
        <v>0</v>
      </c>
      <c r="E540" s="26">
        <v>1</v>
      </c>
      <c r="F540" s="26">
        <v>14</v>
      </c>
      <c r="G540" s="26" t="b">
        <v>0</v>
      </c>
      <c r="H540" s="26">
        <v>1</v>
      </c>
      <c r="I540" s="26">
        <v>2</v>
      </c>
      <c r="J540" s="26">
        <v>0.14000000000000001</v>
      </c>
      <c r="K540" s="26">
        <v>0.16669999999999999</v>
      </c>
      <c r="L540" s="26">
        <v>0.46</v>
      </c>
      <c r="M540">
        <v>0.22389999999999999</v>
      </c>
      <c r="N540" s="26">
        <v>2</v>
      </c>
      <c r="O540" s="26">
        <v>43</v>
      </c>
      <c r="P540" s="26">
        <v>45</v>
      </c>
      <c r="Q540" s="34" t="str">
        <f t="shared" si="24"/>
        <v>Cloudy</v>
      </c>
      <c r="R540" s="41" t="str">
        <f>IF(I540=1,"Normal",IF(I540=2,"Yellow Alert",IF(I540=3,"Orange Alert",IF(I540=4,"Red Alert"))))</f>
        <v>Yellow Alert</v>
      </c>
      <c r="S540" s="60">
        <f t="shared" si="25"/>
        <v>24</v>
      </c>
      <c r="T540" s="60">
        <f>MONTH(dataset_1!B:B)</f>
        <v>1</v>
      </c>
      <c r="U540" s="60">
        <f t="shared" si="26"/>
        <v>2011</v>
      </c>
      <c r="V540" s="59" t="str">
        <f>TEXT(F540/24,"H AM/PM")</f>
        <v>2 PM</v>
      </c>
      <c r="W540" s="59" t="str">
        <f>IF(H540=6,"Saturday",IF(H540=0,"Sunday",IF(H540=1,"Monday",IF(H540=2,"Tuesday",IF(H540=3,"Wednesday",IF(H540=4,"Thursday",IF(H540=5,"Friday")))))))</f>
        <v>Monday</v>
      </c>
      <c r="X540" s="59" t="str">
        <f>IF(G540=FALSE,"Working day", IF(G540=TRUE,"Holiday"))</f>
        <v>Working day</v>
      </c>
    </row>
    <row r="541" spans="1:24" x14ac:dyDescent="0.25">
      <c r="A541" s="32">
        <v>540</v>
      </c>
      <c r="B541" s="33">
        <v>40567</v>
      </c>
      <c r="C541" s="26">
        <v>1</v>
      </c>
      <c r="D541" s="26">
        <v>0</v>
      </c>
      <c r="E541" s="26">
        <v>1</v>
      </c>
      <c r="F541" s="26">
        <v>15</v>
      </c>
      <c r="G541" s="26" t="b">
        <v>0</v>
      </c>
      <c r="H541" s="26">
        <v>1</v>
      </c>
      <c r="I541" s="26">
        <v>1</v>
      </c>
      <c r="J541" s="26">
        <v>0.16</v>
      </c>
      <c r="K541" s="26">
        <v>0.1515</v>
      </c>
      <c r="L541" s="26">
        <v>0.4</v>
      </c>
      <c r="M541">
        <v>0.16420000000000001</v>
      </c>
      <c r="N541" s="26">
        <v>7</v>
      </c>
      <c r="O541" s="26">
        <v>50</v>
      </c>
      <c r="P541" s="26">
        <v>57</v>
      </c>
      <c r="Q541" s="34" t="str">
        <f t="shared" si="24"/>
        <v>Clear</v>
      </c>
      <c r="R541" s="41" t="str">
        <f>IF(I541=1,"Normal",IF(I541=2,"Yellow Alert",IF(I541=3,"Orange Alert",IF(I541=4,"Red Alert"))))</f>
        <v>Normal</v>
      </c>
      <c r="S541" s="60">
        <f t="shared" si="25"/>
        <v>24</v>
      </c>
      <c r="T541" s="60">
        <f>MONTH(dataset_1!B:B)</f>
        <v>1</v>
      </c>
      <c r="U541" s="60">
        <f t="shared" si="26"/>
        <v>2011</v>
      </c>
      <c r="V541" s="59" t="str">
        <f>TEXT(F541/24,"H AM/PM")</f>
        <v>3 PM</v>
      </c>
      <c r="W541" s="59" t="str">
        <f>IF(H541=6,"Saturday",IF(H541=0,"Sunday",IF(H541=1,"Monday",IF(H541=2,"Tuesday",IF(H541=3,"Wednesday",IF(H541=4,"Thursday",IF(H541=5,"Friday")))))))</f>
        <v>Monday</v>
      </c>
      <c r="X541" s="59" t="str">
        <f>IF(G541=FALSE,"Working day", IF(G541=TRUE,"Holiday"))</f>
        <v>Working day</v>
      </c>
    </row>
    <row r="542" spans="1:24" x14ac:dyDescent="0.25">
      <c r="A542" s="32">
        <v>541</v>
      </c>
      <c r="B542" s="33">
        <v>40567</v>
      </c>
      <c r="C542" s="26">
        <v>1</v>
      </c>
      <c r="D542" s="26">
        <v>0</v>
      </c>
      <c r="E542" s="26">
        <v>1</v>
      </c>
      <c r="F542" s="26">
        <v>16</v>
      </c>
      <c r="G542" s="26" t="b">
        <v>0</v>
      </c>
      <c r="H542" s="26">
        <v>1</v>
      </c>
      <c r="I542" s="26">
        <v>1</v>
      </c>
      <c r="J542" s="26">
        <v>0.16</v>
      </c>
      <c r="K542" s="26">
        <v>0.1212</v>
      </c>
      <c r="L542" s="26">
        <v>0.47</v>
      </c>
      <c r="M542">
        <v>0.25369999999999998</v>
      </c>
      <c r="N542" s="26">
        <v>4</v>
      </c>
      <c r="O542" s="26">
        <v>66</v>
      </c>
      <c r="P542" s="26">
        <v>70</v>
      </c>
      <c r="Q542" s="34" t="str">
        <f t="shared" si="24"/>
        <v>Clear</v>
      </c>
      <c r="R542" s="41" t="str">
        <f>IF(I542=1,"Normal",IF(I542=2,"Yellow Alert",IF(I542=3,"Orange Alert",IF(I542=4,"Red Alert"))))</f>
        <v>Normal</v>
      </c>
      <c r="S542" s="60">
        <f t="shared" si="25"/>
        <v>24</v>
      </c>
      <c r="T542" s="60">
        <f>MONTH(dataset_1!B:B)</f>
        <v>1</v>
      </c>
      <c r="U542" s="60">
        <f t="shared" si="26"/>
        <v>2011</v>
      </c>
      <c r="V542" s="59" t="str">
        <f>TEXT(F542/24,"H AM/PM")</f>
        <v>4 PM</v>
      </c>
      <c r="W542" s="59" t="str">
        <f>IF(H542=6,"Saturday",IF(H542=0,"Sunday",IF(H542=1,"Monday",IF(H542=2,"Tuesday",IF(H542=3,"Wednesday",IF(H542=4,"Thursday",IF(H542=5,"Friday")))))))</f>
        <v>Monday</v>
      </c>
      <c r="X542" s="59" t="str">
        <f>IF(G542=FALSE,"Working day", IF(G542=TRUE,"Holiday"))</f>
        <v>Working day</v>
      </c>
    </row>
    <row r="543" spans="1:24" x14ac:dyDescent="0.25">
      <c r="A543" s="32">
        <v>542</v>
      </c>
      <c r="B543" s="33">
        <v>40567</v>
      </c>
      <c r="C543" s="26">
        <v>1</v>
      </c>
      <c r="D543" s="26">
        <v>0</v>
      </c>
      <c r="E543" s="26">
        <v>1</v>
      </c>
      <c r="F543" s="26">
        <v>17</v>
      </c>
      <c r="G543" s="26" t="b">
        <v>0</v>
      </c>
      <c r="H543" s="26">
        <v>1</v>
      </c>
      <c r="I543" s="26">
        <v>1</v>
      </c>
      <c r="J543" s="26">
        <v>0.14000000000000001</v>
      </c>
      <c r="K543" s="26">
        <v>0.13639999999999999</v>
      </c>
      <c r="L543" s="26">
        <v>0.5</v>
      </c>
      <c r="M543">
        <v>0.25369999999999998</v>
      </c>
      <c r="N543" s="26">
        <v>6</v>
      </c>
      <c r="O543" s="26">
        <v>178</v>
      </c>
      <c r="P543" s="26">
        <v>184</v>
      </c>
      <c r="Q543" s="34" t="str">
        <f t="shared" si="24"/>
        <v>Clear</v>
      </c>
      <c r="R543" s="41" t="str">
        <f>IF(I543=1,"Normal",IF(I543=2,"Yellow Alert",IF(I543=3,"Orange Alert",IF(I543=4,"Red Alert"))))</f>
        <v>Normal</v>
      </c>
      <c r="S543" s="60">
        <f t="shared" si="25"/>
        <v>24</v>
      </c>
      <c r="T543" s="60">
        <f>MONTH(dataset_1!B:B)</f>
        <v>1</v>
      </c>
      <c r="U543" s="60">
        <f t="shared" si="26"/>
        <v>2011</v>
      </c>
      <c r="V543" s="59" t="str">
        <f>TEXT(F543/24,"H AM/PM")</f>
        <v>5 PM</v>
      </c>
      <c r="W543" s="59" t="str">
        <f>IF(H543=6,"Saturday",IF(H543=0,"Sunday",IF(H543=1,"Monday",IF(H543=2,"Tuesday",IF(H543=3,"Wednesday",IF(H543=4,"Thursday",IF(H543=5,"Friday")))))))</f>
        <v>Monday</v>
      </c>
      <c r="X543" s="59" t="str">
        <f>IF(G543=FALSE,"Working day", IF(G543=TRUE,"Holiday"))</f>
        <v>Working day</v>
      </c>
    </row>
    <row r="544" spans="1:24" x14ac:dyDescent="0.25">
      <c r="A544" s="32">
        <v>543</v>
      </c>
      <c r="B544" s="33">
        <v>40567</v>
      </c>
      <c r="C544" s="26">
        <v>1</v>
      </c>
      <c r="D544" s="26">
        <v>0</v>
      </c>
      <c r="E544" s="26">
        <v>1</v>
      </c>
      <c r="F544" s="26">
        <v>18</v>
      </c>
      <c r="G544" s="26" t="b">
        <v>0</v>
      </c>
      <c r="H544" s="26">
        <v>1</v>
      </c>
      <c r="I544" s="26">
        <v>1</v>
      </c>
      <c r="J544" s="26">
        <v>0.14000000000000001</v>
      </c>
      <c r="K544" s="26">
        <v>0.1515</v>
      </c>
      <c r="L544" s="26">
        <v>0.59</v>
      </c>
      <c r="M544">
        <v>0.19400000000000001</v>
      </c>
      <c r="N544" s="26">
        <v>8</v>
      </c>
      <c r="O544" s="26">
        <v>145</v>
      </c>
      <c r="P544" s="26">
        <v>153</v>
      </c>
      <c r="Q544" s="34" t="str">
        <f t="shared" si="24"/>
        <v>Clear</v>
      </c>
      <c r="R544" s="41" t="str">
        <f>IF(I544=1,"Normal",IF(I544=2,"Yellow Alert",IF(I544=3,"Orange Alert",IF(I544=4,"Red Alert"))))</f>
        <v>Normal</v>
      </c>
      <c r="S544" s="60">
        <f t="shared" si="25"/>
        <v>24</v>
      </c>
      <c r="T544" s="60">
        <f>MONTH(dataset_1!B:B)</f>
        <v>1</v>
      </c>
      <c r="U544" s="60">
        <f t="shared" si="26"/>
        <v>2011</v>
      </c>
      <c r="V544" s="59" t="str">
        <f>TEXT(F544/24,"H AM/PM")</f>
        <v>6 PM</v>
      </c>
      <c r="W544" s="59" t="str">
        <f>IF(H544=6,"Saturday",IF(H544=0,"Sunday",IF(H544=1,"Monday",IF(H544=2,"Tuesday",IF(H544=3,"Wednesday",IF(H544=4,"Thursday",IF(H544=5,"Friday")))))))</f>
        <v>Monday</v>
      </c>
      <c r="X544" s="59" t="str">
        <f>IF(G544=FALSE,"Working day", IF(G544=TRUE,"Holiday"))</f>
        <v>Working day</v>
      </c>
    </row>
    <row r="545" spans="1:24" x14ac:dyDescent="0.25">
      <c r="A545" s="32">
        <v>544</v>
      </c>
      <c r="B545" s="33">
        <v>40567</v>
      </c>
      <c r="C545" s="26">
        <v>1</v>
      </c>
      <c r="D545" s="26">
        <v>0</v>
      </c>
      <c r="E545" s="26">
        <v>1</v>
      </c>
      <c r="F545" s="26">
        <v>19</v>
      </c>
      <c r="G545" s="26" t="b">
        <v>0</v>
      </c>
      <c r="H545" s="26">
        <v>1</v>
      </c>
      <c r="I545" s="26">
        <v>1</v>
      </c>
      <c r="J545" s="26">
        <v>0.14000000000000001</v>
      </c>
      <c r="K545" s="26">
        <v>0.13639999999999999</v>
      </c>
      <c r="L545" s="26">
        <v>0.54</v>
      </c>
      <c r="M545">
        <v>0.16420000000000001</v>
      </c>
      <c r="N545" s="26">
        <v>5</v>
      </c>
      <c r="O545" s="26">
        <v>101</v>
      </c>
      <c r="P545" s="26">
        <v>106</v>
      </c>
      <c r="Q545" s="34" t="str">
        <f t="shared" si="24"/>
        <v>Clear</v>
      </c>
      <c r="R545" s="41" t="str">
        <f>IF(I545=1,"Normal",IF(I545=2,"Yellow Alert",IF(I545=3,"Orange Alert",IF(I545=4,"Red Alert"))))</f>
        <v>Normal</v>
      </c>
      <c r="S545" s="60">
        <f t="shared" si="25"/>
        <v>24</v>
      </c>
      <c r="T545" s="60">
        <f>MONTH(dataset_1!B:B)</f>
        <v>1</v>
      </c>
      <c r="U545" s="60">
        <f t="shared" si="26"/>
        <v>2011</v>
      </c>
      <c r="V545" s="59" t="str">
        <f>TEXT(F545/24,"H AM/PM")</f>
        <v>7 PM</v>
      </c>
      <c r="W545" s="59" t="str">
        <f>IF(H545=6,"Saturday",IF(H545=0,"Sunday",IF(H545=1,"Monday",IF(H545=2,"Tuesday",IF(H545=3,"Wednesday",IF(H545=4,"Thursday",IF(H545=5,"Friday")))))))</f>
        <v>Monday</v>
      </c>
      <c r="X545" s="59" t="str">
        <f>IF(G545=FALSE,"Working day", IF(G545=TRUE,"Holiday"))</f>
        <v>Working day</v>
      </c>
    </row>
    <row r="546" spans="1:24" x14ac:dyDescent="0.25">
      <c r="A546" s="32">
        <v>545</v>
      </c>
      <c r="B546" s="33">
        <v>40567</v>
      </c>
      <c r="C546" s="26">
        <v>1</v>
      </c>
      <c r="D546" s="26">
        <v>0</v>
      </c>
      <c r="E546" s="26">
        <v>1</v>
      </c>
      <c r="F546" s="26">
        <v>20</v>
      </c>
      <c r="G546" s="26" t="b">
        <v>0</v>
      </c>
      <c r="H546" s="26">
        <v>1</v>
      </c>
      <c r="I546" s="26">
        <v>1</v>
      </c>
      <c r="J546" s="26">
        <v>0.14000000000000001</v>
      </c>
      <c r="K546" s="26">
        <v>0.1515</v>
      </c>
      <c r="L546" s="26">
        <v>0.59</v>
      </c>
      <c r="M546">
        <v>0.19400000000000001</v>
      </c>
      <c r="N546" s="26">
        <v>1</v>
      </c>
      <c r="O546" s="26">
        <v>80</v>
      </c>
      <c r="P546" s="26">
        <v>81</v>
      </c>
      <c r="Q546" s="34" t="str">
        <f t="shared" si="24"/>
        <v>Clear</v>
      </c>
      <c r="R546" s="41" t="str">
        <f>IF(I546=1,"Normal",IF(I546=2,"Yellow Alert",IF(I546=3,"Orange Alert",IF(I546=4,"Red Alert"))))</f>
        <v>Normal</v>
      </c>
      <c r="S546" s="60">
        <f t="shared" si="25"/>
        <v>24</v>
      </c>
      <c r="T546" s="60">
        <f>MONTH(dataset_1!B:B)</f>
        <v>1</v>
      </c>
      <c r="U546" s="60">
        <f t="shared" si="26"/>
        <v>2011</v>
      </c>
      <c r="V546" s="59" t="str">
        <f>TEXT(F546/24,"H AM/PM")</f>
        <v>8 PM</v>
      </c>
      <c r="W546" s="59" t="str">
        <f>IF(H546=6,"Saturday",IF(H546=0,"Sunday",IF(H546=1,"Monday",IF(H546=2,"Tuesday",IF(H546=3,"Wednesday",IF(H546=4,"Thursday",IF(H546=5,"Friday")))))))</f>
        <v>Monday</v>
      </c>
      <c r="X546" s="59" t="str">
        <f>IF(G546=FALSE,"Working day", IF(G546=TRUE,"Holiday"))</f>
        <v>Working day</v>
      </c>
    </row>
    <row r="547" spans="1:24" x14ac:dyDescent="0.25">
      <c r="A547" s="32">
        <v>546</v>
      </c>
      <c r="B547" s="33">
        <v>40567</v>
      </c>
      <c r="C547" s="26">
        <v>1</v>
      </c>
      <c r="D547" s="26">
        <v>0</v>
      </c>
      <c r="E547" s="26">
        <v>1</v>
      </c>
      <c r="F547" s="26">
        <v>21</v>
      </c>
      <c r="G547" s="26" t="b">
        <v>0</v>
      </c>
      <c r="H547" s="26">
        <v>1</v>
      </c>
      <c r="I547" s="26">
        <v>1</v>
      </c>
      <c r="J547" s="26">
        <v>0.14000000000000001</v>
      </c>
      <c r="K547" s="26">
        <v>0.13639999999999999</v>
      </c>
      <c r="L547" s="26">
        <v>0.63</v>
      </c>
      <c r="M547">
        <v>0.16420000000000001</v>
      </c>
      <c r="N547" s="26">
        <v>6</v>
      </c>
      <c r="O547" s="26">
        <v>53</v>
      </c>
      <c r="P547" s="26">
        <v>59</v>
      </c>
      <c r="Q547" s="34" t="str">
        <f t="shared" si="24"/>
        <v>Clear</v>
      </c>
      <c r="R547" s="41" t="str">
        <f>IF(I547=1,"Normal",IF(I547=2,"Yellow Alert",IF(I547=3,"Orange Alert",IF(I547=4,"Red Alert"))))</f>
        <v>Normal</v>
      </c>
      <c r="S547" s="60">
        <f t="shared" si="25"/>
        <v>24</v>
      </c>
      <c r="T547" s="60">
        <f>MONTH(dataset_1!B:B)</f>
        <v>1</v>
      </c>
      <c r="U547" s="60">
        <f t="shared" si="26"/>
        <v>2011</v>
      </c>
      <c r="V547" s="59" t="str">
        <f>TEXT(F547/24,"H AM/PM")</f>
        <v>9 PM</v>
      </c>
      <c r="W547" s="59" t="str">
        <f>IF(H547=6,"Saturday",IF(H547=0,"Sunday",IF(H547=1,"Monday",IF(H547=2,"Tuesday",IF(H547=3,"Wednesday",IF(H547=4,"Thursday",IF(H547=5,"Friday")))))))</f>
        <v>Monday</v>
      </c>
      <c r="X547" s="59" t="str">
        <f>IF(G547=FALSE,"Working day", IF(G547=TRUE,"Holiday"))</f>
        <v>Working day</v>
      </c>
    </row>
    <row r="548" spans="1:24" x14ac:dyDescent="0.25">
      <c r="A548" s="32">
        <v>547</v>
      </c>
      <c r="B548" s="33">
        <v>40567</v>
      </c>
      <c r="C548" s="26">
        <v>1</v>
      </c>
      <c r="D548" s="26">
        <v>0</v>
      </c>
      <c r="E548" s="26">
        <v>1</v>
      </c>
      <c r="F548" s="26">
        <v>22</v>
      </c>
      <c r="G548" s="26" t="b">
        <v>0</v>
      </c>
      <c r="H548" s="26">
        <v>1</v>
      </c>
      <c r="I548" s="26">
        <v>2</v>
      </c>
      <c r="J548" s="26">
        <v>0.14000000000000001</v>
      </c>
      <c r="K548" s="26">
        <v>0.1515</v>
      </c>
      <c r="L548" s="26">
        <v>0.63</v>
      </c>
      <c r="M548">
        <v>0.22389999999999999</v>
      </c>
      <c r="N548" s="26">
        <v>3</v>
      </c>
      <c r="O548" s="26">
        <v>32</v>
      </c>
      <c r="P548" s="26">
        <v>35</v>
      </c>
      <c r="Q548" s="34" t="str">
        <f t="shared" si="24"/>
        <v>Cloudy</v>
      </c>
      <c r="R548" s="41" t="str">
        <f>IF(I548=1,"Normal",IF(I548=2,"Yellow Alert",IF(I548=3,"Orange Alert",IF(I548=4,"Red Alert"))))</f>
        <v>Yellow Alert</v>
      </c>
      <c r="S548" s="60">
        <f t="shared" si="25"/>
        <v>24</v>
      </c>
      <c r="T548" s="60">
        <f>MONTH(dataset_1!B:B)</f>
        <v>1</v>
      </c>
      <c r="U548" s="60">
        <f t="shared" si="26"/>
        <v>2011</v>
      </c>
      <c r="V548" s="59" t="str">
        <f>TEXT(F548/24,"H AM/PM")</f>
        <v>10 PM</v>
      </c>
      <c r="W548" s="59" t="str">
        <f>IF(H548=6,"Saturday",IF(H548=0,"Sunday",IF(H548=1,"Monday",IF(H548=2,"Tuesday",IF(H548=3,"Wednesday",IF(H548=4,"Thursday",IF(H548=5,"Friday")))))))</f>
        <v>Monday</v>
      </c>
      <c r="X548" s="59" t="str">
        <f>IF(G548=FALSE,"Working day", IF(G548=TRUE,"Holiday"))</f>
        <v>Working day</v>
      </c>
    </row>
    <row r="549" spans="1:24" x14ac:dyDescent="0.25">
      <c r="A549" s="32">
        <v>548</v>
      </c>
      <c r="B549" s="33">
        <v>40567</v>
      </c>
      <c r="C549" s="26">
        <v>1</v>
      </c>
      <c r="D549" s="26">
        <v>0</v>
      </c>
      <c r="E549" s="26">
        <v>1</v>
      </c>
      <c r="F549" s="26">
        <v>23</v>
      </c>
      <c r="G549" s="26" t="b">
        <v>0</v>
      </c>
      <c r="H549" s="26">
        <v>1</v>
      </c>
      <c r="I549" s="26">
        <v>2</v>
      </c>
      <c r="J549" s="26">
        <v>0.16</v>
      </c>
      <c r="K549" s="26">
        <v>0.13639999999999999</v>
      </c>
      <c r="L549" s="26">
        <v>0.64</v>
      </c>
      <c r="M549">
        <v>0.25369999999999998</v>
      </c>
      <c r="N549" s="26">
        <v>3</v>
      </c>
      <c r="O549" s="26">
        <v>21</v>
      </c>
      <c r="P549" s="26">
        <v>24</v>
      </c>
      <c r="Q549" s="34" t="str">
        <f t="shared" si="24"/>
        <v>Cloudy</v>
      </c>
      <c r="R549" s="41" t="str">
        <f>IF(I549=1,"Normal",IF(I549=2,"Yellow Alert",IF(I549=3,"Orange Alert",IF(I549=4,"Red Alert"))))</f>
        <v>Yellow Alert</v>
      </c>
      <c r="S549" s="60">
        <f t="shared" si="25"/>
        <v>24</v>
      </c>
      <c r="T549" s="60">
        <f>MONTH(dataset_1!B:B)</f>
        <v>1</v>
      </c>
      <c r="U549" s="60">
        <f t="shared" si="26"/>
        <v>2011</v>
      </c>
      <c r="V549" s="59" t="str">
        <f>TEXT(F549/24,"H AM/PM")</f>
        <v>11 PM</v>
      </c>
      <c r="W549" s="59" t="str">
        <f>IF(H549=6,"Saturday",IF(H549=0,"Sunday",IF(H549=1,"Monday",IF(H549=2,"Tuesday",IF(H549=3,"Wednesday",IF(H549=4,"Thursday",IF(H549=5,"Friday")))))))</f>
        <v>Monday</v>
      </c>
      <c r="X549" s="59" t="str">
        <f>IF(G549=FALSE,"Working day", IF(G549=TRUE,"Holiday"))</f>
        <v>Working day</v>
      </c>
    </row>
    <row r="550" spans="1:24" x14ac:dyDescent="0.25">
      <c r="A550" s="32">
        <v>549</v>
      </c>
      <c r="B550" s="33">
        <v>40568</v>
      </c>
      <c r="C550" s="26">
        <v>1</v>
      </c>
      <c r="D550" s="26">
        <v>0</v>
      </c>
      <c r="E550" s="26">
        <v>1</v>
      </c>
      <c r="F550" s="26">
        <v>0</v>
      </c>
      <c r="G550" s="26" t="b">
        <v>0</v>
      </c>
      <c r="H550" s="26">
        <v>2</v>
      </c>
      <c r="I550" s="26">
        <v>2</v>
      </c>
      <c r="J550" s="26">
        <v>0.16</v>
      </c>
      <c r="K550" s="26">
        <v>0.16669999999999999</v>
      </c>
      <c r="L550" s="26">
        <v>0.69</v>
      </c>
      <c r="M550">
        <v>0.28360000000000002</v>
      </c>
      <c r="N550" s="26">
        <v>3</v>
      </c>
      <c r="O550" s="26">
        <v>6</v>
      </c>
      <c r="P550" s="26">
        <v>9</v>
      </c>
      <c r="Q550" s="34" t="str">
        <f t="shared" si="24"/>
        <v>Cloudy</v>
      </c>
      <c r="R550" s="41" t="str">
        <f>IF(I550=1,"Normal",IF(I550=2,"Yellow Alert",IF(I550=3,"Orange Alert",IF(I550=4,"Red Alert"))))</f>
        <v>Yellow Alert</v>
      </c>
      <c r="S550" s="60">
        <f t="shared" si="25"/>
        <v>25</v>
      </c>
      <c r="T550" s="60">
        <f>MONTH(dataset_1!B:B)</f>
        <v>1</v>
      </c>
      <c r="U550" s="60">
        <f t="shared" si="26"/>
        <v>2011</v>
      </c>
      <c r="V550" s="59" t="str">
        <f>TEXT(F550/24,"H AM/PM")</f>
        <v>12 AM</v>
      </c>
      <c r="W550" s="59" t="str">
        <f>IF(H550=6,"Saturday",IF(H550=0,"Sunday",IF(H550=1,"Monday",IF(H550=2,"Tuesday",IF(H550=3,"Wednesday",IF(H550=4,"Thursday",IF(H550=5,"Friday")))))))</f>
        <v>Tuesday</v>
      </c>
      <c r="X550" s="59" t="str">
        <f>IF(G550=FALSE,"Working day", IF(G550=TRUE,"Holiday"))</f>
        <v>Working day</v>
      </c>
    </row>
    <row r="551" spans="1:24" x14ac:dyDescent="0.25">
      <c r="A551" s="32">
        <v>550</v>
      </c>
      <c r="B551" s="33">
        <v>40568</v>
      </c>
      <c r="C551" s="26">
        <v>1</v>
      </c>
      <c r="D551" s="26">
        <v>0</v>
      </c>
      <c r="E551" s="26">
        <v>1</v>
      </c>
      <c r="F551" s="26">
        <v>1</v>
      </c>
      <c r="G551" s="26" t="b">
        <v>0</v>
      </c>
      <c r="H551" s="26">
        <v>2</v>
      </c>
      <c r="I551" s="26">
        <v>2</v>
      </c>
      <c r="J551" s="26">
        <v>0.16</v>
      </c>
      <c r="K551" s="26">
        <v>0.1515</v>
      </c>
      <c r="L551" s="26">
        <v>0.69</v>
      </c>
      <c r="M551">
        <v>0.16420000000000001</v>
      </c>
      <c r="N551" s="26">
        <v>0</v>
      </c>
      <c r="O551" s="26">
        <v>5</v>
      </c>
      <c r="P551" s="26">
        <v>5</v>
      </c>
      <c r="Q551" s="34" t="str">
        <f t="shared" si="24"/>
        <v>Cloudy</v>
      </c>
      <c r="R551" s="41" t="str">
        <f>IF(I551=1,"Normal",IF(I551=2,"Yellow Alert",IF(I551=3,"Orange Alert",IF(I551=4,"Red Alert"))))</f>
        <v>Yellow Alert</v>
      </c>
      <c r="S551" s="60">
        <f t="shared" si="25"/>
        <v>25</v>
      </c>
      <c r="T551" s="60">
        <f>MONTH(dataset_1!B:B)</f>
        <v>1</v>
      </c>
      <c r="U551" s="60">
        <f t="shared" si="26"/>
        <v>2011</v>
      </c>
      <c r="V551" s="59" t="str">
        <f>TEXT(F551/24,"H AM/PM")</f>
        <v>1 AM</v>
      </c>
      <c r="W551" s="59" t="str">
        <f>IF(H551=6,"Saturday",IF(H551=0,"Sunday",IF(H551=1,"Monday",IF(H551=2,"Tuesday",IF(H551=3,"Wednesday",IF(H551=4,"Thursday",IF(H551=5,"Friday")))))))</f>
        <v>Tuesday</v>
      </c>
      <c r="X551" s="59" t="str">
        <f>IF(G551=FALSE,"Working day", IF(G551=TRUE,"Holiday"))</f>
        <v>Working day</v>
      </c>
    </row>
    <row r="552" spans="1:24" x14ac:dyDescent="0.25">
      <c r="A552" s="32">
        <v>551</v>
      </c>
      <c r="B552" s="33">
        <v>40568</v>
      </c>
      <c r="C552" s="26">
        <v>1</v>
      </c>
      <c r="D552" s="26">
        <v>0</v>
      </c>
      <c r="E552" s="26">
        <v>1</v>
      </c>
      <c r="F552" s="26">
        <v>2</v>
      </c>
      <c r="G552" s="26" t="b">
        <v>0</v>
      </c>
      <c r="H552" s="26">
        <v>2</v>
      </c>
      <c r="I552" s="26">
        <v>1</v>
      </c>
      <c r="J552" s="26">
        <v>0.16</v>
      </c>
      <c r="K552" s="26">
        <v>0.16669999999999999</v>
      </c>
      <c r="L552" s="26">
        <v>0.69</v>
      </c>
      <c r="M552">
        <v>0.22389999999999999</v>
      </c>
      <c r="N552" s="26">
        <v>0</v>
      </c>
      <c r="O552" s="26">
        <v>2</v>
      </c>
      <c r="P552" s="26">
        <v>2</v>
      </c>
      <c r="Q552" s="34" t="str">
        <f t="shared" si="24"/>
        <v>Clear</v>
      </c>
      <c r="R552" s="41" t="str">
        <f>IF(I552=1,"Normal",IF(I552=2,"Yellow Alert",IF(I552=3,"Orange Alert",IF(I552=4,"Red Alert"))))</f>
        <v>Normal</v>
      </c>
      <c r="S552" s="60">
        <f t="shared" si="25"/>
        <v>25</v>
      </c>
      <c r="T552" s="60">
        <f>MONTH(dataset_1!B:B)</f>
        <v>1</v>
      </c>
      <c r="U552" s="60">
        <f t="shared" si="26"/>
        <v>2011</v>
      </c>
      <c r="V552" s="59" t="str">
        <f>TEXT(F552/24,"H AM/PM")</f>
        <v>2 AM</v>
      </c>
      <c r="W552" s="59" t="str">
        <f>IF(H552=6,"Saturday",IF(H552=0,"Sunday",IF(H552=1,"Monday",IF(H552=2,"Tuesday",IF(H552=3,"Wednesday",IF(H552=4,"Thursday",IF(H552=5,"Friday")))))))</f>
        <v>Tuesday</v>
      </c>
      <c r="X552" s="59" t="str">
        <f>IF(G552=FALSE,"Working day", IF(G552=TRUE,"Holiday"))</f>
        <v>Working day</v>
      </c>
    </row>
    <row r="553" spans="1:24" x14ac:dyDescent="0.25">
      <c r="A553" s="32">
        <v>552</v>
      </c>
      <c r="B553" s="33">
        <v>40568</v>
      </c>
      <c r="C553" s="26">
        <v>1</v>
      </c>
      <c r="D553" s="26">
        <v>0</v>
      </c>
      <c r="E553" s="26">
        <v>1</v>
      </c>
      <c r="F553" s="26">
        <v>4</v>
      </c>
      <c r="G553" s="26" t="b">
        <v>0</v>
      </c>
      <c r="H553" s="26">
        <v>2</v>
      </c>
      <c r="I553" s="26">
        <v>1</v>
      </c>
      <c r="J553" s="26">
        <v>0.14000000000000001</v>
      </c>
      <c r="K553" s="26">
        <v>0.13639999999999999</v>
      </c>
      <c r="L553" s="26">
        <v>0.74</v>
      </c>
      <c r="M553">
        <v>0.1045</v>
      </c>
      <c r="N553" s="26">
        <v>0</v>
      </c>
      <c r="O553" s="26">
        <v>1</v>
      </c>
      <c r="P553" s="26">
        <v>1</v>
      </c>
      <c r="Q553" s="34" t="str">
        <f t="shared" si="24"/>
        <v>Clear</v>
      </c>
      <c r="R553" s="41" t="str">
        <f>IF(I553=1,"Normal",IF(I553=2,"Yellow Alert",IF(I553=3,"Orange Alert",IF(I553=4,"Red Alert"))))</f>
        <v>Normal</v>
      </c>
      <c r="S553" s="60">
        <f t="shared" si="25"/>
        <v>25</v>
      </c>
      <c r="T553" s="60">
        <f>MONTH(dataset_1!B:B)</f>
        <v>1</v>
      </c>
      <c r="U553" s="60">
        <f t="shared" si="26"/>
        <v>2011</v>
      </c>
      <c r="V553" s="59" t="str">
        <f>TEXT(F553/24,"H AM/PM")</f>
        <v>4 AM</v>
      </c>
      <c r="W553" s="59" t="str">
        <f>IF(H553=6,"Saturday",IF(H553=0,"Sunday",IF(H553=1,"Monday",IF(H553=2,"Tuesday",IF(H553=3,"Wednesday",IF(H553=4,"Thursday",IF(H553=5,"Friday")))))))</f>
        <v>Tuesday</v>
      </c>
      <c r="X553" s="59" t="str">
        <f>IF(G553=FALSE,"Working day", IF(G553=TRUE,"Holiday"))</f>
        <v>Working day</v>
      </c>
    </row>
    <row r="554" spans="1:24" x14ac:dyDescent="0.25">
      <c r="A554" s="32">
        <v>553</v>
      </c>
      <c r="B554" s="33">
        <v>40568</v>
      </c>
      <c r="C554" s="26">
        <v>1</v>
      </c>
      <c r="D554" s="26">
        <v>0</v>
      </c>
      <c r="E554" s="26">
        <v>1</v>
      </c>
      <c r="F554" s="26">
        <v>5</v>
      </c>
      <c r="G554" s="26" t="b">
        <v>0</v>
      </c>
      <c r="H554" s="26">
        <v>2</v>
      </c>
      <c r="I554" s="26">
        <v>1</v>
      </c>
      <c r="J554" s="26">
        <v>0.14000000000000001</v>
      </c>
      <c r="K554" s="26">
        <v>0.18179999999999999</v>
      </c>
      <c r="L554" s="26">
        <v>0.74</v>
      </c>
      <c r="M554">
        <v>0.22389999999999999</v>
      </c>
      <c r="N554" s="26">
        <v>0</v>
      </c>
      <c r="O554" s="26">
        <v>9</v>
      </c>
      <c r="P554" s="26">
        <v>9</v>
      </c>
      <c r="Q554" s="34" t="str">
        <f t="shared" si="24"/>
        <v>Clear</v>
      </c>
      <c r="R554" s="41" t="str">
        <f>IF(I554=1,"Normal",IF(I554=2,"Yellow Alert",IF(I554=3,"Orange Alert",IF(I554=4,"Red Alert"))))</f>
        <v>Normal</v>
      </c>
      <c r="S554" s="60">
        <f t="shared" si="25"/>
        <v>25</v>
      </c>
      <c r="T554" s="60">
        <f>MONTH(dataset_1!B:B)</f>
        <v>1</v>
      </c>
      <c r="U554" s="60">
        <f t="shared" si="26"/>
        <v>2011</v>
      </c>
      <c r="V554" s="59" t="str">
        <f>TEXT(F554/24,"H AM/PM")</f>
        <v>5 AM</v>
      </c>
      <c r="W554" s="59" t="str">
        <f>IF(H554=6,"Saturday",IF(H554=0,"Sunday",IF(H554=1,"Monday",IF(H554=2,"Tuesday",IF(H554=3,"Wednesday",IF(H554=4,"Thursday",IF(H554=5,"Friday")))))))</f>
        <v>Tuesday</v>
      </c>
      <c r="X554" s="59" t="str">
        <f>IF(G554=FALSE,"Working day", IF(G554=TRUE,"Holiday"))</f>
        <v>Working day</v>
      </c>
    </row>
    <row r="555" spans="1:24" x14ac:dyDescent="0.25">
      <c r="A555" s="32">
        <v>554</v>
      </c>
      <c r="B555" s="33">
        <v>40568</v>
      </c>
      <c r="C555" s="26">
        <v>1</v>
      </c>
      <c r="D555" s="26">
        <v>0</v>
      </c>
      <c r="E555" s="26">
        <v>1</v>
      </c>
      <c r="F555" s="26">
        <v>6</v>
      </c>
      <c r="G555" s="26" t="b">
        <v>0</v>
      </c>
      <c r="H555" s="26">
        <v>2</v>
      </c>
      <c r="I555" s="26">
        <v>1</v>
      </c>
      <c r="J555" s="26">
        <v>0.16</v>
      </c>
      <c r="K555" s="26">
        <v>0.1515</v>
      </c>
      <c r="L555" s="26">
        <v>0.74</v>
      </c>
      <c r="M555">
        <v>0.1045</v>
      </c>
      <c r="N555" s="26">
        <v>1</v>
      </c>
      <c r="O555" s="26">
        <v>35</v>
      </c>
      <c r="P555" s="26">
        <v>36</v>
      </c>
      <c r="Q555" s="34" t="str">
        <f t="shared" si="24"/>
        <v>Clear</v>
      </c>
      <c r="R555" s="41" t="str">
        <f>IF(I555=1,"Normal",IF(I555=2,"Yellow Alert",IF(I555=3,"Orange Alert",IF(I555=4,"Red Alert"))))</f>
        <v>Normal</v>
      </c>
      <c r="S555" s="60">
        <f t="shared" si="25"/>
        <v>25</v>
      </c>
      <c r="T555" s="60">
        <f>MONTH(dataset_1!B:B)</f>
        <v>1</v>
      </c>
      <c r="U555" s="60">
        <f t="shared" si="26"/>
        <v>2011</v>
      </c>
      <c r="V555" s="59" t="str">
        <f>TEXT(F555/24,"H AM/PM")</f>
        <v>6 AM</v>
      </c>
      <c r="W555" s="59" t="str">
        <f>IF(H555=6,"Saturday",IF(H555=0,"Sunday",IF(H555=1,"Monday",IF(H555=2,"Tuesday",IF(H555=3,"Wednesday",IF(H555=4,"Thursday",IF(H555=5,"Friday")))))))</f>
        <v>Tuesday</v>
      </c>
      <c r="X555" s="59" t="str">
        <f>IF(G555=FALSE,"Working day", IF(G555=TRUE,"Holiday"))</f>
        <v>Working day</v>
      </c>
    </row>
    <row r="556" spans="1:24" x14ac:dyDescent="0.25">
      <c r="A556" s="32">
        <v>555</v>
      </c>
      <c r="B556" s="33">
        <v>40568</v>
      </c>
      <c r="C556" s="26">
        <v>1</v>
      </c>
      <c r="D556" s="26">
        <v>0</v>
      </c>
      <c r="E556" s="26">
        <v>1</v>
      </c>
      <c r="F556" s="26">
        <v>7</v>
      </c>
      <c r="G556" s="26" t="b">
        <v>0</v>
      </c>
      <c r="H556" s="26">
        <v>2</v>
      </c>
      <c r="I556" s="26">
        <v>1</v>
      </c>
      <c r="J556" s="26">
        <v>0.16</v>
      </c>
      <c r="K556" s="26">
        <v>0.18179999999999999</v>
      </c>
      <c r="L556" s="26">
        <v>0.74</v>
      </c>
      <c r="M556">
        <v>0.22389999999999999</v>
      </c>
      <c r="N556" s="26">
        <v>5</v>
      </c>
      <c r="O556" s="26">
        <v>103</v>
      </c>
      <c r="P556" s="26">
        <v>108</v>
      </c>
      <c r="Q556" s="34" t="str">
        <f t="shared" si="24"/>
        <v>Clear</v>
      </c>
      <c r="R556" s="41" t="str">
        <f>IF(I556=1,"Normal",IF(I556=2,"Yellow Alert",IF(I556=3,"Orange Alert",IF(I556=4,"Red Alert"))))</f>
        <v>Normal</v>
      </c>
      <c r="S556" s="60">
        <f t="shared" si="25"/>
        <v>25</v>
      </c>
      <c r="T556" s="60">
        <f>MONTH(dataset_1!B:B)</f>
        <v>1</v>
      </c>
      <c r="U556" s="60">
        <f t="shared" si="26"/>
        <v>2011</v>
      </c>
      <c r="V556" s="59" t="str">
        <f>TEXT(F556/24,"H AM/PM")</f>
        <v>7 AM</v>
      </c>
      <c r="W556" s="59" t="str">
        <f>IF(H556=6,"Saturday",IF(H556=0,"Sunday",IF(H556=1,"Monday",IF(H556=2,"Tuesday",IF(H556=3,"Wednesday",IF(H556=4,"Thursday",IF(H556=5,"Friday")))))))</f>
        <v>Tuesday</v>
      </c>
      <c r="X556" s="59" t="str">
        <f>IF(G556=FALSE,"Working day", IF(G556=TRUE,"Holiday"))</f>
        <v>Working day</v>
      </c>
    </row>
    <row r="557" spans="1:24" x14ac:dyDescent="0.25">
      <c r="A557" s="32">
        <v>556</v>
      </c>
      <c r="B557" s="33">
        <v>40568</v>
      </c>
      <c r="C557" s="26">
        <v>1</v>
      </c>
      <c r="D557" s="26">
        <v>0</v>
      </c>
      <c r="E557" s="26">
        <v>1</v>
      </c>
      <c r="F557" s="26">
        <v>8</v>
      </c>
      <c r="G557" s="26" t="b">
        <v>0</v>
      </c>
      <c r="H557" s="26">
        <v>2</v>
      </c>
      <c r="I557" s="26">
        <v>2</v>
      </c>
      <c r="J557" s="26">
        <v>0.16</v>
      </c>
      <c r="K557" s="26">
        <v>0.2273</v>
      </c>
      <c r="L557" s="26">
        <v>0.74</v>
      </c>
      <c r="M557">
        <v>0.1343</v>
      </c>
      <c r="N557" s="26">
        <v>5</v>
      </c>
      <c r="O557" s="26">
        <v>233</v>
      </c>
      <c r="P557" s="26">
        <v>238</v>
      </c>
      <c r="Q557" s="34" t="str">
        <f t="shared" si="24"/>
        <v>Cloudy</v>
      </c>
      <c r="R557" s="41" t="str">
        <f>IF(I557=1,"Normal",IF(I557=2,"Yellow Alert",IF(I557=3,"Orange Alert",IF(I557=4,"Red Alert"))))</f>
        <v>Yellow Alert</v>
      </c>
      <c r="S557" s="60">
        <f t="shared" si="25"/>
        <v>25</v>
      </c>
      <c r="T557" s="60">
        <f>MONTH(dataset_1!B:B)</f>
        <v>1</v>
      </c>
      <c r="U557" s="60">
        <f t="shared" si="26"/>
        <v>2011</v>
      </c>
      <c r="V557" s="59" t="str">
        <f>TEXT(F557/24,"H AM/PM")</f>
        <v>8 AM</v>
      </c>
      <c r="W557" s="59" t="str">
        <f>IF(H557=6,"Saturday",IF(H557=0,"Sunday",IF(H557=1,"Monday",IF(H557=2,"Tuesday",IF(H557=3,"Wednesday",IF(H557=4,"Thursday",IF(H557=5,"Friday")))))))</f>
        <v>Tuesday</v>
      </c>
      <c r="X557" s="59" t="str">
        <f>IF(G557=FALSE,"Working day", IF(G557=TRUE,"Holiday"))</f>
        <v>Working day</v>
      </c>
    </row>
    <row r="558" spans="1:24" x14ac:dyDescent="0.25">
      <c r="A558" s="32">
        <v>557</v>
      </c>
      <c r="B558" s="33">
        <v>40568</v>
      </c>
      <c r="C558" s="26">
        <v>1</v>
      </c>
      <c r="D558" s="26">
        <v>0</v>
      </c>
      <c r="E558" s="26">
        <v>1</v>
      </c>
      <c r="F558" s="26">
        <v>9</v>
      </c>
      <c r="G558" s="26" t="b">
        <v>0</v>
      </c>
      <c r="H558" s="26">
        <v>2</v>
      </c>
      <c r="I558" s="26">
        <v>2</v>
      </c>
      <c r="J558" s="26">
        <v>0.2</v>
      </c>
      <c r="K558" s="26">
        <v>0.2424</v>
      </c>
      <c r="L558" s="26">
        <v>0.64</v>
      </c>
      <c r="M558">
        <v>8.9599999999999999E-2</v>
      </c>
      <c r="N558" s="26">
        <v>10</v>
      </c>
      <c r="O558" s="26">
        <v>134</v>
      </c>
      <c r="P558" s="26">
        <v>144</v>
      </c>
      <c r="Q558" s="34" t="str">
        <f t="shared" si="24"/>
        <v>Cloudy</v>
      </c>
      <c r="R558" s="41" t="str">
        <f>IF(I558=1,"Normal",IF(I558=2,"Yellow Alert",IF(I558=3,"Orange Alert",IF(I558=4,"Red Alert"))))</f>
        <v>Yellow Alert</v>
      </c>
      <c r="S558" s="60">
        <f t="shared" si="25"/>
        <v>25</v>
      </c>
      <c r="T558" s="60">
        <f>MONTH(dataset_1!B:B)</f>
        <v>1</v>
      </c>
      <c r="U558" s="60">
        <f t="shared" si="26"/>
        <v>2011</v>
      </c>
      <c r="V558" s="59" t="str">
        <f>TEXT(F558/24,"H AM/PM")</f>
        <v>9 AM</v>
      </c>
      <c r="W558" s="59" t="str">
        <f>IF(H558=6,"Saturday",IF(H558=0,"Sunday",IF(H558=1,"Monday",IF(H558=2,"Tuesday",IF(H558=3,"Wednesday",IF(H558=4,"Thursday",IF(H558=5,"Friday")))))))</f>
        <v>Tuesday</v>
      </c>
      <c r="X558" s="59" t="str">
        <f>IF(G558=FALSE,"Working day", IF(G558=TRUE,"Holiday"))</f>
        <v>Working day</v>
      </c>
    </row>
    <row r="559" spans="1:24" x14ac:dyDescent="0.25">
      <c r="A559" s="32">
        <v>558</v>
      </c>
      <c r="B559" s="33">
        <v>40568</v>
      </c>
      <c r="C559" s="26">
        <v>1</v>
      </c>
      <c r="D559" s="26">
        <v>0</v>
      </c>
      <c r="E559" s="26">
        <v>1</v>
      </c>
      <c r="F559" s="26">
        <v>10</v>
      </c>
      <c r="G559" s="26" t="b">
        <v>0</v>
      </c>
      <c r="H559" s="26">
        <v>2</v>
      </c>
      <c r="I559" s="26">
        <v>2</v>
      </c>
      <c r="J559" s="26">
        <v>0.22</v>
      </c>
      <c r="K559" s="26">
        <v>0.2424</v>
      </c>
      <c r="L559" s="26">
        <v>0.6</v>
      </c>
      <c r="M559">
        <v>0.1045</v>
      </c>
      <c r="N559" s="26">
        <v>6</v>
      </c>
      <c r="O559" s="26">
        <v>49</v>
      </c>
      <c r="P559" s="26">
        <v>55</v>
      </c>
      <c r="Q559" s="34" t="str">
        <f t="shared" si="24"/>
        <v>Cloudy</v>
      </c>
      <c r="R559" s="41" t="str">
        <f>IF(I559=1,"Normal",IF(I559=2,"Yellow Alert",IF(I559=3,"Orange Alert",IF(I559=4,"Red Alert"))))</f>
        <v>Yellow Alert</v>
      </c>
      <c r="S559" s="60">
        <f t="shared" si="25"/>
        <v>25</v>
      </c>
      <c r="T559" s="60">
        <f>MONTH(dataset_1!B:B)</f>
        <v>1</v>
      </c>
      <c r="U559" s="60">
        <f t="shared" si="26"/>
        <v>2011</v>
      </c>
      <c r="V559" s="59" t="str">
        <f>TEXT(F559/24,"H AM/PM")</f>
        <v>10 AM</v>
      </c>
      <c r="W559" s="59" t="str">
        <f>IF(H559=6,"Saturday",IF(H559=0,"Sunday",IF(H559=1,"Monday",IF(H559=2,"Tuesday",IF(H559=3,"Wednesday",IF(H559=4,"Thursday",IF(H559=5,"Friday")))))))</f>
        <v>Tuesday</v>
      </c>
      <c r="X559" s="59" t="str">
        <f>IF(G559=FALSE,"Working day", IF(G559=TRUE,"Holiday"))</f>
        <v>Working day</v>
      </c>
    </row>
    <row r="560" spans="1:24" x14ac:dyDescent="0.25">
      <c r="A560" s="32">
        <v>559</v>
      </c>
      <c r="B560" s="33">
        <v>40568</v>
      </c>
      <c r="C560" s="26">
        <v>1</v>
      </c>
      <c r="D560" s="26">
        <v>0</v>
      </c>
      <c r="E560" s="26">
        <v>1</v>
      </c>
      <c r="F560" s="26">
        <v>11</v>
      </c>
      <c r="G560" s="26" t="b">
        <v>0</v>
      </c>
      <c r="H560" s="26">
        <v>2</v>
      </c>
      <c r="I560" s="26">
        <v>2</v>
      </c>
      <c r="J560" s="26">
        <v>0.24</v>
      </c>
      <c r="K560" s="26">
        <v>0.28789999999999999</v>
      </c>
      <c r="L560" s="26">
        <v>0.6</v>
      </c>
      <c r="M560">
        <v>0.1343</v>
      </c>
      <c r="N560" s="26">
        <v>6</v>
      </c>
      <c r="O560" s="26">
        <v>55</v>
      </c>
      <c r="P560" s="26">
        <v>61</v>
      </c>
      <c r="Q560" s="34" t="str">
        <f t="shared" si="24"/>
        <v>Cloudy</v>
      </c>
      <c r="R560" s="41" t="str">
        <f>IF(I560=1,"Normal",IF(I560=2,"Yellow Alert",IF(I560=3,"Orange Alert",IF(I560=4,"Red Alert"))))</f>
        <v>Yellow Alert</v>
      </c>
      <c r="S560" s="60">
        <f t="shared" si="25"/>
        <v>25</v>
      </c>
      <c r="T560" s="60">
        <f>MONTH(dataset_1!B:B)</f>
        <v>1</v>
      </c>
      <c r="U560" s="60">
        <f t="shared" si="26"/>
        <v>2011</v>
      </c>
      <c r="V560" s="59" t="str">
        <f>TEXT(F560/24,"H AM/PM")</f>
        <v>11 AM</v>
      </c>
      <c r="W560" s="59" t="str">
        <f>IF(H560=6,"Saturday",IF(H560=0,"Sunday",IF(H560=1,"Monday",IF(H560=2,"Tuesday",IF(H560=3,"Wednesday",IF(H560=4,"Thursday",IF(H560=5,"Friday")))))))</f>
        <v>Tuesday</v>
      </c>
      <c r="X560" s="59" t="str">
        <f>IF(G560=FALSE,"Working day", IF(G560=TRUE,"Holiday"))</f>
        <v>Working day</v>
      </c>
    </row>
    <row r="561" spans="1:24" x14ac:dyDescent="0.25">
      <c r="A561" s="32">
        <v>560</v>
      </c>
      <c r="B561" s="33">
        <v>40568</v>
      </c>
      <c r="C561" s="26">
        <v>1</v>
      </c>
      <c r="D561" s="26">
        <v>0</v>
      </c>
      <c r="E561" s="26">
        <v>1</v>
      </c>
      <c r="F561" s="26">
        <v>12</v>
      </c>
      <c r="G561" s="26" t="b">
        <v>0</v>
      </c>
      <c r="H561" s="26">
        <v>2</v>
      </c>
      <c r="I561" s="26">
        <v>2</v>
      </c>
      <c r="J561" s="26">
        <v>0.26</v>
      </c>
      <c r="K561" s="26">
        <v>0.2727</v>
      </c>
      <c r="L561" s="26">
        <v>0.56000000000000005</v>
      </c>
      <c r="M561">
        <v>8.9599999999999999E-2</v>
      </c>
      <c r="N561" s="26">
        <v>21</v>
      </c>
      <c r="O561" s="26">
        <v>85</v>
      </c>
      <c r="P561" s="26">
        <v>106</v>
      </c>
      <c r="Q561" s="34" t="str">
        <f t="shared" si="24"/>
        <v>Cloudy</v>
      </c>
      <c r="R561" s="41" t="str">
        <f>IF(I561=1,"Normal",IF(I561=2,"Yellow Alert",IF(I561=3,"Orange Alert",IF(I561=4,"Red Alert"))))</f>
        <v>Yellow Alert</v>
      </c>
      <c r="S561" s="60">
        <f t="shared" si="25"/>
        <v>25</v>
      </c>
      <c r="T561" s="60">
        <f>MONTH(dataset_1!B:B)</f>
        <v>1</v>
      </c>
      <c r="U561" s="60">
        <f t="shared" si="26"/>
        <v>2011</v>
      </c>
      <c r="V561" s="59" t="str">
        <f>TEXT(F561/24,"H AM/PM")</f>
        <v>12 PM</v>
      </c>
      <c r="W561" s="59" t="str">
        <f>IF(H561=6,"Saturday",IF(H561=0,"Sunday",IF(H561=1,"Monday",IF(H561=2,"Tuesday",IF(H561=3,"Wednesday",IF(H561=4,"Thursday",IF(H561=5,"Friday")))))))</f>
        <v>Tuesday</v>
      </c>
      <c r="X561" s="59" t="str">
        <f>IF(G561=FALSE,"Working day", IF(G561=TRUE,"Holiday"))</f>
        <v>Working day</v>
      </c>
    </row>
    <row r="562" spans="1:24" x14ac:dyDescent="0.25">
      <c r="A562" s="32">
        <v>561</v>
      </c>
      <c r="B562" s="33">
        <v>40568</v>
      </c>
      <c r="C562" s="26">
        <v>1</v>
      </c>
      <c r="D562" s="26">
        <v>0</v>
      </c>
      <c r="E562" s="26">
        <v>1</v>
      </c>
      <c r="F562" s="26">
        <v>13</v>
      </c>
      <c r="G562" s="26" t="b">
        <v>0</v>
      </c>
      <c r="H562" s="26">
        <v>2</v>
      </c>
      <c r="I562" s="26">
        <v>2</v>
      </c>
      <c r="J562" s="26">
        <v>0.26</v>
      </c>
      <c r="K562" s="26">
        <v>0.33329999999999999</v>
      </c>
      <c r="L562" s="26">
        <v>0.56000000000000005</v>
      </c>
      <c r="M562">
        <v>0.1343</v>
      </c>
      <c r="N562" s="26">
        <v>21</v>
      </c>
      <c r="O562" s="26">
        <v>72</v>
      </c>
      <c r="P562" s="26">
        <v>93</v>
      </c>
      <c r="Q562" s="34" t="str">
        <f t="shared" si="24"/>
        <v>Cloudy</v>
      </c>
      <c r="R562" s="41" t="str">
        <f>IF(I562=1,"Normal",IF(I562=2,"Yellow Alert",IF(I562=3,"Orange Alert",IF(I562=4,"Red Alert"))))</f>
        <v>Yellow Alert</v>
      </c>
      <c r="S562" s="60">
        <f t="shared" si="25"/>
        <v>25</v>
      </c>
      <c r="T562" s="60">
        <f>MONTH(dataset_1!B:B)</f>
        <v>1</v>
      </c>
      <c r="U562" s="60">
        <f t="shared" si="26"/>
        <v>2011</v>
      </c>
      <c r="V562" s="59" t="str">
        <f>TEXT(F562/24,"H AM/PM")</f>
        <v>1 PM</v>
      </c>
      <c r="W562" s="59" t="str">
        <f>IF(H562=6,"Saturday",IF(H562=0,"Sunday",IF(H562=1,"Monday",IF(H562=2,"Tuesday",IF(H562=3,"Wednesday",IF(H562=4,"Thursday",IF(H562=5,"Friday")))))))</f>
        <v>Tuesday</v>
      </c>
      <c r="X562" s="59" t="str">
        <f>IF(G562=FALSE,"Working day", IF(G562=TRUE,"Holiday"))</f>
        <v>Working day</v>
      </c>
    </row>
    <row r="563" spans="1:24" x14ac:dyDescent="0.25">
      <c r="A563" s="32">
        <v>562</v>
      </c>
      <c r="B563" s="33">
        <v>40568</v>
      </c>
      <c r="C563" s="26">
        <v>1</v>
      </c>
      <c r="D563" s="26">
        <v>0</v>
      </c>
      <c r="E563" s="26">
        <v>1</v>
      </c>
      <c r="F563" s="26">
        <v>14</v>
      </c>
      <c r="G563" s="26" t="b">
        <v>0</v>
      </c>
      <c r="H563" s="26">
        <v>2</v>
      </c>
      <c r="I563" s="26">
        <v>2</v>
      </c>
      <c r="J563" s="26">
        <v>0.3</v>
      </c>
      <c r="K563" s="26">
        <v>0.34849999999999998</v>
      </c>
      <c r="L563" s="26">
        <v>0.45</v>
      </c>
      <c r="M563">
        <v>0</v>
      </c>
      <c r="N563" s="26">
        <v>11</v>
      </c>
      <c r="O563" s="26">
        <v>57</v>
      </c>
      <c r="P563" s="26">
        <v>68</v>
      </c>
      <c r="Q563" s="34" t="str">
        <f t="shared" si="24"/>
        <v>Cloudy</v>
      </c>
      <c r="R563" s="41" t="str">
        <f>IF(I563=1,"Normal",IF(I563=2,"Yellow Alert",IF(I563=3,"Orange Alert",IF(I563=4,"Red Alert"))))</f>
        <v>Yellow Alert</v>
      </c>
      <c r="S563" s="60">
        <f t="shared" si="25"/>
        <v>25</v>
      </c>
      <c r="T563" s="60">
        <f>MONTH(dataset_1!B:B)</f>
        <v>1</v>
      </c>
      <c r="U563" s="60">
        <f t="shared" si="26"/>
        <v>2011</v>
      </c>
      <c r="V563" s="59" t="str">
        <f>TEXT(F563/24,"H AM/PM")</f>
        <v>2 PM</v>
      </c>
      <c r="W563" s="59" t="str">
        <f>IF(H563=6,"Saturday",IF(H563=0,"Sunday",IF(H563=1,"Monday",IF(H563=2,"Tuesday",IF(H563=3,"Wednesday",IF(H563=4,"Thursday",IF(H563=5,"Friday")))))))</f>
        <v>Tuesday</v>
      </c>
      <c r="X563" s="59" t="str">
        <f>IF(G563=FALSE,"Working day", IF(G563=TRUE,"Holiday"))</f>
        <v>Working day</v>
      </c>
    </row>
    <row r="564" spans="1:24" x14ac:dyDescent="0.25">
      <c r="A564" s="32">
        <v>563</v>
      </c>
      <c r="B564" s="33">
        <v>40568</v>
      </c>
      <c r="C564" s="26">
        <v>1</v>
      </c>
      <c r="D564" s="26">
        <v>0</v>
      </c>
      <c r="E564" s="26">
        <v>1</v>
      </c>
      <c r="F564" s="26">
        <v>15</v>
      </c>
      <c r="G564" s="26" t="b">
        <v>0</v>
      </c>
      <c r="H564" s="26">
        <v>2</v>
      </c>
      <c r="I564" s="26">
        <v>2</v>
      </c>
      <c r="J564" s="26">
        <v>0.32</v>
      </c>
      <c r="K564" s="26">
        <v>0.34849999999999998</v>
      </c>
      <c r="L564" s="26">
        <v>0.42</v>
      </c>
      <c r="M564">
        <v>0</v>
      </c>
      <c r="N564" s="26">
        <v>21</v>
      </c>
      <c r="O564" s="26">
        <v>63</v>
      </c>
      <c r="P564" s="26">
        <v>84</v>
      </c>
      <c r="Q564" s="34" t="str">
        <f t="shared" si="24"/>
        <v>Cloudy</v>
      </c>
      <c r="R564" s="41" t="str">
        <f>IF(I564=1,"Normal",IF(I564=2,"Yellow Alert",IF(I564=3,"Orange Alert",IF(I564=4,"Red Alert"))))</f>
        <v>Yellow Alert</v>
      </c>
      <c r="S564" s="60">
        <f t="shared" si="25"/>
        <v>25</v>
      </c>
      <c r="T564" s="60">
        <f>MONTH(dataset_1!B:B)</f>
        <v>1</v>
      </c>
      <c r="U564" s="60">
        <f t="shared" si="26"/>
        <v>2011</v>
      </c>
      <c r="V564" s="59" t="str">
        <f>TEXT(F564/24,"H AM/PM")</f>
        <v>3 PM</v>
      </c>
      <c r="W564" s="59" t="str">
        <f>IF(H564=6,"Saturday",IF(H564=0,"Sunday",IF(H564=1,"Monday",IF(H564=2,"Tuesday",IF(H564=3,"Wednesday",IF(H564=4,"Thursday",IF(H564=5,"Friday")))))))</f>
        <v>Tuesday</v>
      </c>
      <c r="X564" s="59" t="str">
        <f>IF(G564=FALSE,"Working day", IF(G564=TRUE,"Holiday"))</f>
        <v>Working day</v>
      </c>
    </row>
    <row r="565" spans="1:24" x14ac:dyDescent="0.25">
      <c r="A565" s="32">
        <v>564</v>
      </c>
      <c r="B565" s="33">
        <v>40568</v>
      </c>
      <c r="C565" s="26">
        <v>1</v>
      </c>
      <c r="D565" s="26">
        <v>0</v>
      </c>
      <c r="E565" s="26">
        <v>1</v>
      </c>
      <c r="F565" s="26">
        <v>16</v>
      </c>
      <c r="G565" s="26" t="b">
        <v>0</v>
      </c>
      <c r="H565" s="26">
        <v>2</v>
      </c>
      <c r="I565" s="26">
        <v>2</v>
      </c>
      <c r="J565" s="26">
        <v>0.32</v>
      </c>
      <c r="K565" s="26">
        <v>0.33329999999999999</v>
      </c>
      <c r="L565" s="26">
        <v>0.42</v>
      </c>
      <c r="M565">
        <v>0</v>
      </c>
      <c r="N565" s="26">
        <v>14</v>
      </c>
      <c r="O565" s="26">
        <v>102</v>
      </c>
      <c r="P565" s="26">
        <v>116</v>
      </c>
      <c r="Q565" s="34" t="str">
        <f t="shared" si="24"/>
        <v>Cloudy</v>
      </c>
      <c r="R565" s="41" t="str">
        <f>IF(I565=1,"Normal",IF(I565=2,"Yellow Alert",IF(I565=3,"Orange Alert",IF(I565=4,"Red Alert"))))</f>
        <v>Yellow Alert</v>
      </c>
      <c r="S565" s="60">
        <f t="shared" si="25"/>
        <v>25</v>
      </c>
      <c r="T565" s="60">
        <f>MONTH(dataset_1!B:B)</f>
        <v>1</v>
      </c>
      <c r="U565" s="60">
        <f t="shared" si="26"/>
        <v>2011</v>
      </c>
      <c r="V565" s="59" t="str">
        <f>TEXT(F565/24,"H AM/PM")</f>
        <v>4 PM</v>
      </c>
      <c r="W565" s="59" t="str">
        <f>IF(H565=6,"Saturday",IF(H565=0,"Sunday",IF(H565=1,"Monday",IF(H565=2,"Tuesday",IF(H565=3,"Wednesday",IF(H565=4,"Thursday",IF(H565=5,"Friday")))))))</f>
        <v>Tuesday</v>
      </c>
      <c r="X565" s="59" t="str">
        <f>IF(G565=FALSE,"Working day", IF(G565=TRUE,"Holiday"))</f>
        <v>Working day</v>
      </c>
    </row>
    <row r="566" spans="1:24" x14ac:dyDescent="0.25">
      <c r="A566" s="32">
        <v>565</v>
      </c>
      <c r="B566" s="33">
        <v>40568</v>
      </c>
      <c r="C566" s="26">
        <v>1</v>
      </c>
      <c r="D566" s="26">
        <v>0</v>
      </c>
      <c r="E566" s="26">
        <v>1</v>
      </c>
      <c r="F566" s="26">
        <v>17</v>
      </c>
      <c r="G566" s="26" t="b">
        <v>0</v>
      </c>
      <c r="H566" s="26">
        <v>2</v>
      </c>
      <c r="I566" s="26">
        <v>1</v>
      </c>
      <c r="J566" s="26">
        <v>0.3</v>
      </c>
      <c r="K566" s="26">
        <v>0.31819999999999998</v>
      </c>
      <c r="L566" s="26">
        <v>0.45</v>
      </c>
      <c r="M566">
        <v>0</v>
      </c>
      <c r="N566" s="26">
        <v>14</v>
      </c>
      <c r="O566" s="26">
        <v>208</v>
      </c>
      <c r="P566" s="26">
        <v>222</v>
      </c>
      <c r="Q566" s="34" t="str">
        <f t="shared" si="24"/>
        <v>Clear</v>
      </c>
      <c r="R566" s="41" t="str">
        <f>IF(I566=1,"Normal",IF(I566=2,"Yellow Alert",IF(I566=3,"Orange Alert",IF(I566=4,"Red Alert"))))</f>
        <v>Normal</v>
      </c>
      <c r="S566" s="60">
        <f t="shared" si="25"/>
        <v>25</v>
      </c>
      <c r="T566" s="60">
        <f>MONTH(dataset_1!B:B)</f>
        <v>1</v>
      </c>
      <c r="U566" s="60">
        <f t="shared" si="26"/>
        <v>2011</v>
      </c>
      <c r="V566" s="59" t="str">
        <f>TEXT(F566/24,"H AM/PM")</f>
        <v>5 PM</v>
      </c>
      <c r="W566" s="59" t="str">
        <f>IF(H566=6,"Saturday",IF(H566=0,"Sunday",IF(H566=1,"Monday",IF(H566=2,"Tuesday",IF(H566=3,"Wednesday",IF(H566=4,"Thursday",IF(H566=5,"Friday")))))))</f>
        <v>Tuesday</v>
      </c>
      <c r="X566" s="59" t="str">
        <f>IF(G566=FALSE,"Working day", IF(G566=TRUE,"Holiday"))</f>
        <v>Working day</v>
      </c>
    </row>
    <row r="567" spans="1:24" x14ac:dyDescent="0.25">
      <c r="A567" s="32">
        <v>566</v>
      </c>
      <c r="B567" s="33">
        <v>40568</v>
      </c>
      <c r="C567" s="26">
        <v>1</v>
      </c>
      <c r="D567" s="26">
        <v>0</v>
      </c>
      <c r="E567" s="26">
        <v>1</v>
      </c>
      <c r="F567" s="26">
        <v>18</v>
      </c>
      <c r="G567" s="26" t="b">
        <v>0</v>
      </c>
      <c r="H567" s="26">
        <v>2</v>
      </c>
      <c r="I567" s="26">
        <v>2</v>
      </c>
      <c r="J567" s="26">
        <v>0.3</v>
      </c>
      <c r="K567" s="26">
        <v>0.2576</v>
      </c>
      <c r="L567" s="26">
        <v>0.49</v>
      </c>
      <c r="M567">
        <v>8.9599999999999999E-2</v>
      </c>
      <c r="N567" s="26">
        <v>7</v>
      </c>
      <c r="O567" s="26">
        <v>218</v>
      </c>
      <c r="P567" s="26">
        <v>225</v>
      </c>
      <c r="Q567" s="34" t="str">
        <f t="shared" si="24"/>
        <v>Cloudy</v>
      </c>
      <c r="R567" s="41" t="str">
        <f>IF(I567=1,"Normal",IF(I567=2,"Yellow Alert",IF(I567=3,"Orange Alert",IF(I567=4,"Red Alert"))))</f>
        <v>Yellow Alert</v>
      </c>
      <c r="S567" s="60">
        <f t="shared" si="25"/>
        <v>25</v>
      </c>
      <c r="T567" s="60">
        <f>MONTH(dataset_1!B:B)</f>
        <v>1</v>
      </c>
      <c r="U567" s="60">
        <f t="shared" si="26"/>
        <v>2011</v>
      </c>
      <c r="V567" s="59" t="str">
        <f>TEXT(F567/24,"H AM/PM")</f>
        <v>6 PM</v>
      </c>
      <c r="W567" s="59" t="str">
        <f>IF(H567=6,"Saturday",IF(H567=0,"Sunday",IF(H567=1,"Monday",IF(H567=2,"Tuesday",IF(H567=3,"Wednesday",IF(H567=4,"Thursday",IF(H567=5,"Friday")))))))</f>
        <v>Tuesday</v>
      </c>
      <c r="X567" s="59" t="str">
        <f>IF(G567=FALSE,"Working day", IF(G567=TRUE,"Holiday"))</f>
        <v>Working day</v>
      </c>
    </row>
    <row r="568" spans="1:24" x14ac:dyDescent="0.25">
      <c r="A568" s="32">
        <v>567</v>
      </c>
      <c r="B568" s="33">
        <v>40568</v>
      </c>
      <c r="C568" s="26">
        <v>1</v>
      </c>
      <c r="D568" s="26">
        <v>0</v>
      </c>
      <c r="E568" s="26">
        <v>1</v>
      </c>
      <c r="F568" s="26">
        <v>19</v>
      </c>
      <c r="G568" s="26" t="b">
        <v>0</v>
      </c>
      <c r="H568" s="26">
        <v>2</v>
      </c>
      <c r="I568" s="26">
        <v>2</v>
      </c>
      <c r="J568" s="26">
        <v>0.26</v>
      </c>
      <c r="K568" s="26">
        <v>0.2273</v>
      </c>
      <c r="L568" s="26">
        <v>0.65</v>
      </c>
      <c r="M568">
        <v>0.16420000000000001</v>
      </c>
      <c r="N568" s="26">
        <v>13</v>
      </c>
      <c r="O568" s="26">
        <v>133</v>
      </c>
      <c r="P568" s="26">
        <v>146</v>
      </c>
      <c r="Q568" s="34" t="str">
        <f t="shared" si="24"/>
        <v>Cloudy</v>
      </c>
      <c r="R568" s="41" t="str">
        <f>IF(I568=1,"Normal",IF(I568=2,"Yellow Alert",IF(I568=3,"Orange Alert",IF(I568=4,"Red Alert"))))</f>
        <v>Yellow Alert</v>
      </c>
      <c r="S568" s="60">
        <f t="shared" si="25"/>
        <v>25</v>
      </c>
      <c r="T568" s="60">
        <f>MONTH(dataset_1!B:B)</f>
        <v>1</v>
      </c>
      <c r="U568" s="60">
        <f t="shared" si="26"/>
        <v>2011</v>
      </c>
      <c r="V568" s="59" t="str">
        <f>TEXT(F568/24,"H AM/PM")</f>
        <v>7 PM</v>
      </c>
      <c r="W568" s="59" t="str">
        <f>IF(H568=6,"Saturday",IF(H568=0,"Sunday",IF(H568=1,"Monday",IF(H568=2,"Tuesday",IF(H568=3,"Wednesday",IF(H568=4,"Thursday",IF(H568=5,"Friday")))))))</f>
        <v>Tuesday</v>
      </c>
      <c r="X568" s="59" t="str">
        <f>IF(G568=FALSE,"Working day", IF(G568=TRUE,"Holiday"))</f>
        <v>Working day</v>
      </c>
    </row>
    <row r="569" spans="1:24" x14ac:dyDescent="0.25">
      <c r="A569" s="32">
        <v>568</v>
      </c>
      <c r="B569" s="33">
        <v>40568</v>
      </c>
      <c r="C569" s="26">
        <v>1</v>
      </c>
      <c r="D569" s="26">
        <v>0</v>
      </c>
      <c r="E569" s="26">
        <v>1</v>
      </c>
      <c r="F569" s="26">
        <v>20</v>
      </c>
      <c r="G569" s="26" t="b">
        <v>0</v>
      </c>
      <c r="H569" s="26">
        <v>2</v>
      </c>
      <c r="I569" s="26">
        <v>1</v>
      </c>
      <c r="J569" s="26">
        <v>0.24</v>
      </c>
      <c r="K569" s="26">
        <v>0.2273</v>
      </c>
      <c r="L569" s="26">
        <v>0.65</v>
      </c>
      <c r="M569">
        <v>0.19400000000000001</v>
      </c>
      <c r="N569" s="26">
        <v>16</v>
      </c>
      <c r="O569" s="26">
        <v>103</v>
      </c>
      <c r="P569" s="26">
        <v>119</v>
      </c>
      <c r="Q569" s="34" t="str">
        <f t="shared" si="24"/>
        <v>Clear</v>
      </c>
      <c r="R569" s="41" t="str">
        <f>IF(I569=1,"Normal",IF(I569=2,"Yellow Alert",IF(I569=3,"Orange Alert",IF(I569=4,"Red Alert"))))</f>
        <v>Normal</v>
      </c>
      <c r="S569" s="60">
        <f t="shared" si="25"/>
        <v>25</v>
      </c>
      <c r="T569" s="60">
        <f>MONTH(dataset_1!B:B)</f>
        <v>1</v>
      </c>
      <c r="U569" s="60">
        <f t="shared" si="26"/>
        <v>2011</v>
      </c>
      <c r="V569" s="59" t="str">
        <f>TEXT(F569/24,"H AM/PM")</f>
        <v>8 PM</v>
      </c>
      <c r="W569" s="59" t="str">
        <f>IF(H569=6,"Saturday",IF(H569=0,"Sunday",IF(H569=1,"Monday",IF(H569=2,"Tuesday",IF(H569=3,"Wednesday",IF(H569=4,"Thursday",IF(H569=5,"Friday")))))))</f>
        <v>Tuesday</v>
      </c>
      <c r="X569" s="59" t="str">
        <f>IF(G569=FALSE,"Working day", IF(G569=TRUE,"Holiday"))</f>
        <v>Working day</v>
      </c>
    </row>
    <row r="570" spans="1:24" x14ac:dyDescent="0.25">
      <c r="A570" s="32">
        <v>569</v>
      </c>
      <c r="B570" s="33">
        <v>40568</v>
      </c>
      <c r="C570" s="26">
        <v>1</v>
      </c>
      <c r="D570" s="26">
        <v>0</v>
      </c>
      <c r="E570" s="26">
        <v>1</v>
      </c>
      <c r="F570" s="26">
        <v>21</v>
      </c>
      <c r="G570" s="26" t="b">
        <v>0</v>
      </c>
      <c r="H570" s="26">
        <v>2</v>
      </c>
      <c r="I570" s="26">
        <v>1</v>
      </c>
      <c r="J570" s="26">
        <v>0.24</v>
      </c>
      <c r="K570" s="26">
        <v>0.2273</v>
      </c>
      <c r="L570" s="26">
        <v>0.65</v>
      </c>
      <c r="M570">
        <v>0.19400000000000001</v>
      </c>
      <c r="N570" s="26">
        <v>5</v>
      </c>
      <c r="O570" s="26">
        <v>40</v>
      </c>
      <c r="P570" s="26">
        <v>45</v>
      </c>
      <c r="Q570" s="34" t="str">
        <f t="shared" si="24"/>
        <v>Clear</v>
      </c>
      <c r="R570" s="41" t="str">
        <f>IF(I570=1,"Normal",IF(I570=2,"Yellow Alert",IF(I570=3,"Orange Alert",IF(I570=4,"Red Alert"))))</f>
        <v>Normal</v>
      </c>
      <c r="S570" s="60">
        <f t="shared" si="25"/>
        <v>25</v>
      </c>
      <c r="T570" s="60">
        <f>MONTH(dataset_1!B:B)</f>
        <v>1</v>
      </c>
      <c r="U570" s="60">
        <f t="shared" si="26"/>
        <v>2011</v>
      </c>
      <c r="V570" s="59" t="str">
        <f>TEXT(F570/24,"H AM/PM")</f>
        <v>9 PM</v>
      </c>
      <c r="W570" s="59" t="str">
        <f>IF(H570=6,"Saturday",IF(H570=0,"Sunday",IF(H570=1,"Monday",IF(H570=2,"Tuesday",IF(H570=3,"Wednesday",IF(H570=4,"Thursday",IF(H570=5,"Friday")))))))</f>
        <v>Tuesday</v>
      </c>
      <c r="X570" s="59" t="str">
        <f>IF(G570=FALSE,"Working day", IF(G570=TRUE,"Holiday"))</f>
        <v>Working day</v>
      </c>
    </row>
    <row r="571" spans="1:24" x14ac:dyDescent="0.25">
      <c r="A571" s="32">
        <v>570</v>
      </c>
      <c r="B571" s="33">
        <v>40568</v>
      </c>
      <c r="C571" s="26">
        <v>1</v>
      </c>
      <c r="D571" s="26">
        <v>0</v>
      </c>
      <c r="E571" s="26">
        <v>1</v>
      </c>
      <c r="F571" s="26">
        <v>22</v>
      </c>
      <c r="G571" s="26" t="b">
        <v>0</v>
      </c>
      <c r="H571" s="26">
        <v>2</v>
      </c>
      <c r="I571" s="26">
        <v>1</v>
      </c>
      <c r="J571" s="26">
        <v>0.22</v>
      </c>
      <c r="K571" s="26">
        <v>0.2273</v>
      </c>
      <c r="L571" s="26">
        <v>0.64</v>
      </c>
      <c r="M571">
        <v>0.16420000000000001</v>
      </c>
      <c r="N571" s="26">
        <v>4</v>
      </c>
      <c r="O571" s="26">
        <v>49</v>
      </c>
      <c r="P571" s="26">
        <v>53</v>
      </c>
      <c r="Q571" s="34" t="str">
        <f t="shared" si="24"/>
        <v>Clear</v>
      </c>
      <c r="R571" s="41" t="str">
        <f>IF(I571=1,"Normal",IF(I571=2,"Yellow Alert",IF(I571=3,"Orange Alert",IF(I571=4,"Red Alert"))))</f>
        <v>Normal</v>
      </c>
      <c r="S571" s="60">
        <f t="shared" si="25"/>
        <v>25</v>
      </c>
      <c r="T571" s="60">
        <f>MONTH(dataset_1!B:B)</f>
        <v>1</v>
      </c>
      <c r="U571" s="60">
        <f t="shared" si="26"/>
        <v>2011</v>
      </c>
      <c r="V571" s="59" t="str">
        <f>TEXT(F571/24,"H AM/PM")</f>
        <v>10 PM</v>
      </c>
      <c r="W571" s="59" t="str">
        <f>IF(H571=6,"Saturday",IF(H571=0,"Sunday",IF(H571=1,"Monday",IF(H571=2,"Tuesday",IF(H571=3,"Wednesday",IF(H571=4,"Thursday",IF(H571=5,"Friday")))))))</f>
        <v>Tuesday</v>
      </c>
      <c r="X571" s="59" t="str">
        <f>IF(G571=FALSE,"Working day", IF(G571=TRUE,"Holiday"))</f>
        <v>Working day</v>
      </c>
    </row>
    <row r="572" spans="1:24" x14ac:dyDescent="0.25">
      <c r="A572" s="32">
        <v>571</v>
      </c>
      <c r="B572" s="33">
        <v>40568</v>
      </c>
      <c r="C572" s="26">
        <v>1</v>
      </c>
      <c r="D572" s="26">
        <v>0</v>
      </c>
      <c r="E572" s="26">
        <v>1</v>
      </c>
      <c r="F572" s="26">
        <v>23</v>
      </c>
      <c r="G572" s="26" t="b">
        <v>0</v>
      </c>
      <c r="H572" s="26">
        <v>2</v>
      </c>
      <c r="I572" s="26">
        <v>2</v>
      </c>
      <c r="J572" s="26">
        <v>0.22</v>
      </c>
      <c r="K572" s="26">
        <v>0.2273</v>
      </c>
      <c r="L572" s="26">
        <v>0.64</v>
      </c>
      <c r="M572">
        <v>0.16420000000000001</v>
      </c>
      <c r="N572" s="26">
        <v>3</v>
      </c>
      <c r="O572" s="26">
        <v>37</v>
      </c>
      <c r="P572" s="26">
        <v>40</v>
      </c>
      <c r="Q572" s="34" t="str">
        <f t="shared" si="24"/>
        <v>Cloudy</v>
      </c>
      <c r="R572" s="41" t="str">
        <f>IF(I572=1,"Normal",IF(I572=2,"Yellow Alert",IF(I572=3,"Orange Alert",IF(I572=4,"Red Alert"))))</f>
        <v>Yellow Alert</v>
      </c>
      <c r="S572" s="60">
        <f t="shared" si="25"/>
        <v>25</v>
      </c>
      <c r="T572" s="60">
        <f>MONTH(dataset_1!B:B)</f>
        <v>1</v>
      </c>
      <c r="U572" s="60">
        <f t="shared" si="26"/>
        <v>2011</v>
      </c>
      <c r="V572" s="59" t="str">
        <f>TEXT(F572/24,"H AM/PM")</f>
        <v>11 PM</v>
      </c>
      <c r="W572" s="59" t="str">
        <f>IF(H572=6,"Saturday",IF(H572=0,"Sunday",IF(H572=1,"Monday",IF(H572=2,"Tuesday",IF(H572=3,"Wednesday",IF(H572=4,"Thursday",IF(H572=5,"Friday")))))))</f>
        <v>Tuesday</v>
      </c>
      <c r="X572" s="59" t="str">
        <f>IF(G572=FALSE,"Working day", IF(G572=TRUE,"Holiday"))</f>
        <v>Working day</v>
      </c>
    </row>
    <row r="573" spans="1:24" x14ac:dyDescent="0.25">
      <c r="A573" s="32">
        <v>572</v>
      </c>
      <c r="B573" s="33">
        <v>40569</v>
      </c>
      <c r="C573" s="26">
        <v>1</v>
      </c>
      <c r="D573" s="26">
        <v>0</v>
      </c>
      <c r="E573" s="26">
        <v>1</v>
      </c>
      <c r="F573" s="26">
        <v>0</v>
      </c>
      <c r="G573" s="26" t="b">
        <v>0</v>
      </c>
      <c r="H573" s="26">
        <v>3</v>
      </c>
      <c r="I573" s="26">
        <v>2</v>
      </c>
      <c r="J573" s="26">
        <v>0.22</v>
      </c>
      <c r="K573" s="26">
        <v>0.2424</v>
      </c>
      <c r="L573" s="26">
        <v>0.69</v>
      </c>
      <c r="M573">
        <v>0.1343</v>
      </c>
      <c r="N573" s="26">
        <v>3</v>
      </c>
      <c r="O573" s="26">
        <v>14</v>
      </c>
      <c r="P573" s="26">
        <v>17</v>
      </c>
      <c r="Q573" s="34" t="str">
        <f t="shared" si="24"/>
        <v>Cloudy</v>
      </c>
      <c r="R573" s="41" t="str">
        <f>IF(I573=1,"Normal",IF(I573=2,"Yellow Alert",IF(I573=3,"Orange Alert",IF(I573=4,"Red Alert"))))</f>
        <v>Yellow Alert</v>
      </c>
      <c r="S573" s="60">
        <f t="shared" si="25"/>
        <v>26</v>
      </c>
      <c r="T573" s="60">
        <f>MONTH(dataset_1!B:B)</f>
        <v>1</v>
      </c>
      <c r="U573" s="60">
        <f t="shared" si="26"/>
        <v>2011</v>
      </c>
      <c r="V573" s="59" t="str">
        <f>TEXT(F573/24,"H AM/PM")</f>
        <v>12 AM</v>
      </c>
      <c r="W573" s="59" t="str">
        <f>IF(H573=6,"Saturday",IF(H573=0,"Sunday",IF(H573=1,"Monday",IF(H573=2,"Tuesday",IF(H573=3,"Wednesday",IF(H573=4,"Thursday",IF(H573=5,"Friday")))))))</f>
        <v>Wednesday</v>
      </c>
      <c r="X573" s="59" t="str">
        <f>IF(G573=FALSE,"Working day", IF(G573=TRUE,"Holiday"))</f>
        <v>Working day</v>
      </c>
    </row>
    <row r="574" spans="1:24" x14ac:dyDescent="0.25">
      <c r="A574" s="32">
        <v>573</v>
      </c>
      <c r="B574" s="33">
        <v>40569</v>
      </c>
      <c r="C574" s="26">
        <v>1</v>
      </c>
      <c r="D574" s="26">
        <v>0</v>
      </c>
      <c r="E574" s="26">
        <v>1</v>
      </c>
      <c r="F574" s="26">
        <v>1</v>
      </c>
      <c r="G574" s="26" t="b">
        <v>0</v>
      </c>
      <c r="H574" s="26">
        <v>3</v>
      </c>
      <c r="I574" s="26">
        <v>2</v>
      </c>
      <c r="J574" s="26">
        <v>0.24</v>
      </c>
      <c r="K574" s="26">
        <v>0.2273</v>
      </c>
      <c r="L574" s="26">
        <v>0.65</v>
      </c>
      <c r="M574">
        <v>0.1343</v>
      </c>
      <c r="N574" s="26">
        <v>0</v>
      </c>
      <c r="O574" s="26">
        <v>5</v>
      </c>
      <c r="P574" s="26">
        <v>5</v>
      </c>
      <c r="Q574" s="34" t="str">
        <f t="shared" si="24"/>
        <v>Cloudy</v>
      </c>
      <c r="R574" s="41" t="str">
        <f>IF(I574=1,"Normal",IF(I574=2,"Yellow Alert",IF(I574=3,"Orange Alert",IF(I574=4,"Red Alert"))))</f>
        <v>Yellow Alert</v>
      </c>
      <c r="S574" s="60">
        <f t="shared" si="25"/>
        <v>26</v>
      </c>
      <c r="T574" s="60">
        <f>MONTH(dataset_1!B:B)</f>
        <v>1</v>
      </c>
      <c r="U574" s="60">
        <f t="shared" si="26"/>
        <v>2011</v>
      </c>
      <c r="V574" s="59" t="str">
        <f>TEXT(F574/24,"H AM/PM")</f>
        <v>1 AM</v>
      </c>
      <c r="W574" s="59" t="str">
        <f>IF(H574=6,"Saturday",IF(H574=0,"Sunday",IF(H574=1,"Monday",IF(H574=2,"Tuesday",IF(H574=3,"Wednesday",IF(H574=4,"Thursday",IF(H574=5,"Friday")))))))</f>
        <v>Wednesday</v>
      </c>
      <c r="X574" s="59" t="str">
        <f>IF(G574=FALSE,"Working day", IF(G574=TRUE,"Holiday"))</f>
        <v>Working day</v>
      </c>
    </row>
    <row r="575" spans="1:24" x14ac:dyDescent="0.25">
      <c r="A575" s="32">
        <v>574</v>
      </c>
      <c r="B575" s="33">
        <v>40569</v>
      </c>
      <c r="C575" s="26">
        <v>1</v>
      </c>
      <c r="D575" s="26">
        <v>0</v>
      </c>
      <c r="E575" s="26">
        <v>1</v>
      </c>
      <c r="F575" s="26">
        <v>2</v>
      </c>
      <c r="G575" s="26" t="b">
        <v>0</v>
      </c>
      <c r="H575" s="26">
        <v>3</v>
      </c>
      <c r="I575" s="26">
        <v>3</v>
      </c>
      <c r="J575" s="26">
        <v>0.22</v>
      </c>
      <c r="K575" s="26">
        <v>0.18179999999999999</v>
      </c>
      <c r="L575" s="26">
        <v>0.69</v>
      </c>
      <c r="M575">
        <v>0.19400000000000001</v>
      </c>
      <c r="N575" s="26">
        <v>3</v>
      </c>
      <c r="O575" s="26">
        <v>7</v>
      </c>
      <c r="P575" s="26">
        <v>10</v>
      </c>
      <c r="Q575" s="34" t="str">
        <f t="shared" si="24"/>
        <v>Light Rain</v>
      </c>
      <c r="R575" s="41" t="str">
        <f>IF(I575=1,"Normal",IF(I575=2,"Yellow Alert",IF(I575=3,"Orange Alert",IF(I575=4,"Red Alert"))))</f>
        <v>Orange Alert</v>
      </c>
      <c r="S575" s="60">
        <f t="shared" si="25"/>
        <v>26</v>
      </c>
      <c r="T575" s="60">
        <f>MONTH(dataset_1!B:B)</f>
        <v>1</v>
      </c>
      <c r="U575" s="60">
        <f t="shared" si="26"/>
        <v>2011</v>
      </c>
      <c r="V575" s="59" t="str">
        <f>TEXT(F575/24,"H AM/PM")</f>
        <v>2 AM</v>
      </c>
      <c r="W575" s="59" t="str">
        <f>IF(H575=6,"Saturday",IF(H575=0,"Sunday",IF(H575=1,"Monday",IF(H575=2,"Tuesday",IF(H575=3,"Wednesday",IF(H575=4,"Thursday",IF(H575=5,"Friday")))))))</f>
        <v>Wednesday</v>
      </c>
      <c r="X575" s="59" t="str">
        <f>IF(G575=FALSE,"Working day", IF(G575=TRUE,"Holiday"))</f>
        <v>Working day</v>
      </c>
    </row>
    <row r="576" spans="1:24" x14ac:dyDescent="0.25">
      <c r="A576" s="32">
        <v>575</v>
      </c>
      <c r="B576" s="33">
        <v>40569</v>
      </c>
      <c r="C576" s="26">
        <v>1</v>
      </c>
      <c r="D576" s="26">
        <v>0</v>
      </c>
      <c r="E576" s="26">
        <v>1</v>
      </c>
      <c r="F576" s="26">
        <v>5</v>
      </c>
      <c r="G576" s="26" t="b">
        <v>0</v>
      </c>
      <c r="H576" s="26">
        <v>3</v>
      </c>
      <c r="I576" s="26">
        <v>3</v>
      </c>
      <c r="J576" s="26">
        <v>0.2</v>
      </c>
      <c r="K576" s="26">
        <v>0.18179999999999999</v>
      </c>
      <c r="L576" s="26">
        <v>0.86</v>
      </c>
      <c r="M576">
        <v>0.28360000000000002</v>
      </c>
      <c r="N576" s="26">
        <v>0</v>
      </c>
      <c r="O576" s="26">
        <v>1</v>
      </c>
      <c r="P576" s="26">
        <v>1</v>
      </c>
      <c r="Q576" s="34" t="str">
        <f t="shared" si="24"/>
        <v>Light Rain</v>
      </c>
      <c r="R576" s="41" t="str">
        <f>IF(I576=1,"Normal",IF(I576=2,"Yellow Alert",IF(I576=3,"Orange Alert",IF(I576=4,"Red Alert"))))</f>
        <v>Orange Alert</v>
      </c>
      <c r="S576" s="60">
        <f t="shared" si="25"/>
        <v>26</v>
      </c>
      <c r="T576" s="60">
        <f>MONTH(dataset_1!B:B)</f>
        <v>1</v>
      </c>
      <c r="U576" s="60">
        <f t="shared" si="26"/>
        <v>2011</v>
      </c>
      <c r="V576" s="59" t="str">
        <f>TEXT(F576/24,"H AM/PM")</f>
        <v>5 AM</v>
      </c>
      <c r="W576" s="59" t="str">
        <f>IF(H576=6,"Saturday",IF(H576=0,"Sunday",IF(H576=1,"Monday",IF(H576=2,"Tuesday",IF(H576=3,"Wednesday",IF(H576=4,"Thursday",IF(H576=5,"Friday")))))))</f>
        <v>Wednesday</v>
      </c>
      <c r="X576" s="59" t="str">
        <f>IF(G576=FALSE,"Working day", IF(G576=TRUE,"Holiday"))</f>
        <v>Working day</v>
      </c>
    </row>
    <row r="577" spans="1:24" x14ac:dyDescent="0.25">
      <c r="A577" s="32">
        <v>576</v>
      </c>
      <c r="B577" s="33">
        <v>40569</v>
      </c>
      <c r="C577" s="26">
        <v>1</v>
      </c>
      <c r="D577" s="26">
        <v>0</v>
      </c>
      <c r="E577" s="26">
        <v>1</v>
      </c>
      <c r="F577" s="26">
        <v>6</v>
      </c>
      <c r="G577" s="26" t="b">
        <v>0</v>
      </c>
      <c r="H577" s="26">
        <v>3</v>
      </c>
      <c r="I577" s="26">
        <v>3</v>
      </c>
      <c r="J577" s="26">
        <v>0.2</v>
      </c>
      <c r="K577" s="26">
        <v>0.21210000000000001</v>
      </c>
      <c r="L577" s="26">
        <v>0.86</v>
      </c>
      <c r="M577">
        <v>0.28360000000000002</v>
      </c>
      <c r="N577" s="26">
        <v>0</v>
      </c>
      <c r="O577" s="26">
        <v>8</v>
      </c>
      <c r="P577" s="26">
        <v>8</v>
      </c>
      <c r="Q577" s="34" t="str">
        <f t="shared" si="24"/>
        <v>Light Rain</v>
      </c>
      <c r="R577" s="41" t="str">
        <f>IF(I577=1,"Normal",IF(I577=2,"Yellow Alert",IF(I577=3,"Orange Alert",IF(I577=4,"Red Alert"))))</f>
        <v>Orange Alert</v>
      </c>
      <c r="S577" s="60">
        <f t="shared" si="25"/>
        <v>26</v>
      </c>
      <c r="T577" s="60">
        <f>MONTH(dataset_1!B:B)</f>
        <v>1</v>
      </c>
      <c r="U577" s="60">
        <f t="shared" si="26"/>
        <v>2011</v>
      </c>
      <c r="V577" s="59" t="str">
        <f>TEXT(F577/24,"H AM/PM")</f>
        <v>6 AM</v>
      </c>
      <c r="W577" s="59" t="str">
        <f>IF(H577=6,"Saturday",IF(H577=0,"Sunday",IF(H577=1,"Monday",IF(H577=2,"Tuesday",IF(H577=3,"Wednesday",IF(H577=4,"Thursday",IF(H577=5,"Friday")))))))</f>
        <v>Wednesday</v>
      </c>
      <c r="X577" s="59" t="str">
        <f>IF(G577=FALSE,"Working day", IF(G577=TRUE,"Holiday"))</f>
        <v>Working day</v>
      </c>
    </row>
    <row r="578" spans="1:24" x14ac:dyDescent="0.25">
      <c r="A578" s="32">
        <v>577</v>
      </c>
      <c r="B578" s="33">
        <v>40569</v>
      </c>
      <c r="C578" s="26">
        <v>1</v>
      </c>
      <c r="D578" s="26">
        <v>0</v>
      </c>
      <c r="E578" s="26">
        <v>1</v>
      </c>
      <c r="F578" s="26">
        <v>7</v>
      </c>
      <c r="G578" s="26" t="b">
        <v>0</v>
      </c>
      <c r="H578" s="26">
        <v>3</v>
      </c>
      <c r="I578" s="26">
        <v>3</v>
      </c>
      <c r="J578" s="26">
        <v>0.22</v>
      </c>
      <c r="K578" s="26">
        <v>0.21210000000000001</v>
      </c>
      <c r="L578" s="26">
        <v>0.87</v>
      </c>
      <c r="M578">
        <v>0.29849999999999999</v>
      </c>
      <c r="N578" s="26">
        <v>1</v>
      </c>
      <c r="O578" s="26">
        <v>29</v>
      </c>
      <c r="P578" s="26">
        <v>30</v>
      </c>
      <c r="Q578" s="34" t="str">
        <f t="shared" ref="Q578:Q641" si="27">IF(I578=1,"Clear",IF(I578=2,"Cloudy",IF(I578=3,"Light Rain",IF(I578=4,"Heavy Rain"))))</f>
        <v>Light Rain</v>
      </c>
      <c r="R578" s="41" t="str">
        <f>IF(I578=1,"Normal",IF(I578=2,"Yellow Alert",IF(I578=3,"Orange Alert",IF(I578=4,"Red Alert"))))</f>
        <v>Orange Alert</v>
      </c>
      <c r="S578" s="60">
        <f t="shared" ref="S578:S641" si="28">DAY(B:B)</f>
        <v>26</v>
      </c>
      <c r="T578" s="60">
        <f>MONTH(dataset_1!B:B)</f>
        <v>1</v>
      </c>
      <c r="U578" s="60">
        <f t="shared" ref="U578:U641" si="29">YEAR(B:B)</f>
        <v>2011</v>
      </c>
      <c r="V578" s="59" t="str">
        <f>TEXT(F578/24,"H AM/PM")</f>
        <v>7 AM</v>
      </c>
      <c r="W578" s="59" t="str">
        <f>IF(H578=6,"Saturday",IF(H578=0,"Sunday",IF(H578=1,"Monday",IF(H578=2,"Tuesday",IF(H578=3,"Wednesday",IF(H578=4,"Thursday",IF(H578=5,"Friday")))))))</f>
        <v>Wednesday</v>
      </c>
      <c r="X578" s="59" t="str">
        <f>IF(G578=FALSE,"Working day", IF(G578=TRUE,"Holiday"))</f>
        <v>Working day</v>
      </c>
    </row>
    <row r="579" spans="1:24" x14ac:dyDescent="0.25">
      <c r="A579" s="32">
        <v>578</v>
      </c>
      <c r="B579" s="33">
        <v>40569</v>
      </c>
      <c r="C579" s="26">
        <v>1</v>
      </c>
      <c r="D579" s="26">
        <v>0</v>
      </c>
      <c r="E579" s="26">
        <v>1</v>
      </c>
      <c r="F579" s="26">
        <v>8</v>
      </c>
      <c r="G579" s="26" t="b">
        <v>0</v>
      </c>
      <c r="H579" s="26">
        <v>3</v>
      </c>
      <c r="I579" s="26">
        <v>3</v>
      </c>
      <c r="J579" s="26">
        <v>0.22</v>
      </c>
      <c r="K579" s="26">
        <v>0.21210000000000001</v>
      </c>
      <c r="L579" s="26">
        <v>0.87</v>
      </c>
      <c r="M579">
        <v>0.29849999999999999</v>
      </c>
      <c r="N579" s="26">
        <v>3</v>
      </c>
      <c r="O579" s="26">
        <v>69</v>
      </c>
      <c r="P579" s="26">
        <v>72</v>
      </c>
      <c r="Q579" s="34" t="str">
        <f t="shared" si="27"/>
        <v>Light Rain</v>
      </c>
      <c r="R579" s="41" t="str">
        <f>IF(I579=1,"Normal",IF(I579=2,"Yellow Alert",IF(I579=3,"Orange Alert",IF(I579=4,"Red Alert"))))</f>
        <v>Orange Alert</v>
      </c>
      <c r="S579" s="60">
        <f t="shared" si="28"/>
        <v>26</v>
      </c>
      <c r="T579" s="60">
        <f>MONTH(dataset_1!B:B)</f>
        <v>1</v>
      </c>
      <c r="U579" s="60">
        <f t="shared" si="29"/>
        <v>2011</v>
      </c>
      <c r="V579" s="59" t="str">
        <f>TEXT(F579/24,"H AM/PM")</f>
        <v>8 AM</v>
      </c>
      <c r="W579" s="59" t="str">
        <f>IF(H579=6,"Saturday",IF(H579=0,"Sunday",IF(H579=1,"Monday",IF(H579=2,"Tuesday",IF(H579=3,"Wednesday",IF(H579=4,"Thursday",IF(H579=5,"Friday")))))))</f>
        <v>Wednesday</v>
      </c>
      <c r="X579" s="59" t="str">
        <f>IF(G579=FALSE,"Working day", IF(G579=TRUE,"Holiday"))</f>
        <v>Working day</v>
      </c>
    </row>
    <row r="580" spans="1:24" x14ac:dyDescent="0.25">
      <c r="A580" s="32">
        <v>579</v>
      </c>
      <c r="B580" s="33">
        <v>40569</v>
      </c>
      <c r="C580" s="26">
        <v>1</v>
      </c>
      <c r="D580" s="26">
        <v>0</v>
      </c>
      <c r="E580" s="26">
        <v>1</v>
      </c>
      <c r="F580" s="26">
        <v>9</v>
      </c>
      <c r="G580" s="26" t="b">
        <v>0</v>
      </c>
      <c r="H580" s="26">
        <v>3</v>
      </c>
      <c r="I580" s="26">
        <v>3</v>
      </c>
      <c r="J580" s="26">
        <v>0.22</v>
      </c>
      <c r="K580" s="26">
        <v>0.21210000000000001</v>
      </c>
      <c r="L580" s="26">
        <v>0.87</v>
      </c>
      <c r="M580">
        <v>0.29849999999999999</v>
      </c>
      <c r="N580" s="26">
        <v>3</v>
      </c>
      <c r="O580" s="26">
        <v>55</v>
      </c>
      <c r="P580" s="26">
        <v>58</v>
      </c>
      <c r="Q580" s="34" t="str">
        <f t="shared" si="27"/>
        <v>Light Rain</v>
      </c>
      <c r="R580" s="41" t="str">
        <f>IF(I580=1,"Normal",IF(I580=2,"Yellow Alert",IF(I580=3,"Orange Alert",IF(I580=4,"Red Alert"))))</f>
        <v>Orange Alert</v>
      </c>
      <c r="S580" s="60">
        <f t="shared" si="28"/>
        <v>26</v>
      </c>
      <c r="T580" s="60">
        <f>MONTH(dataset_1!B:B)</f>
        <v>1</v>
      </c>
      <c r="U580" s="60">
        <f t="shared" si="29"/>
        <v>2011</v>
      </c>
      <c r="V580" s="59" t="str">
        <f>TEXT(F580/24,"H AM/PM")</f>
        <v>9 AM</v>
      </c>
      <c r="W580" s="59" t="str">
        <f>IF(H580=6,"Saturday",IF(H580=0,"Sunday",IF(H580=1,"Monday",IF(H580=2,"Tuesday",IF(H580=3,"Wednesday",IF(H580=4,"Thursday",IF(H580=5,"Friday")))))))</f>
        <v>Wednesday</v>
      </c>
      <c r="X580" s="59" t="str">
        <f>IF(G580=FALSE,"Working day", IF(G580=TRUE,"Holiday"))</f>
        <v>Working day</v>
      </c>
    </row>
    <row r="581" spans="1:24" x14ac:dyDescent="0.25">
      <c r="A581" s="32">
        <v>580</v>
      </c>
      <c r="B581" s="33">
        <v>40569</v>
      </c>
      <c r="C581" s="26">
        <v>1</v>
      </c>
      <c r="D581" s="26">
        <v>0</v>
      </c>
      <c r="E581" s="26">
        <v>1</v>
      </c>
      <c r="F581" s="26">
        <v>10</v>
      </c>
      <c r="G581" s="26" t="b">
        <v>0</v>
      </c>
      <c r="H581" s="26">
        <v>3</v>
      </c>
      <c r="I581" s="26">
        <v>3</v>
      </c>
      <c r="J581" s="26">
        <v>0.22</v>
      </c>
      <c r="K581" s="26">
        <v>0.19700000000000001</v>
      </c>
      <c r="L581" s="26">
        <v>0.93</v>
      </c>
      <c r="M581">
        <v>0.28360000000000002</v>
      </c>
      <c r="N581" s="26">
        <v>2</v>
      </c>
      <c r="O581" s="26">
        <v>26</v>
      </c>
      <c r="P581" s="26">
        <v>28</v>
      </c>
      <c r="Q581" s="34" t="str">
        <f t="shared" si="27"/>
        <v>Light Rain</v>
      </c>
      <c r="R581" s="41" t="str">
        <f>IF(I581=1,"Normal",IF(I581=2,"Yellow Alert",IF(I581=3,"Orange Alert",IF(I581=4,"Red Alert"))))</f>
        <v>Orange Alert</v>
      </c>
      <c r="S581" s="60">
        <f t="shared" si="28"/>
        <v>26</v>
      </c>
      <c r="T581" s="60">
        <f>MONTH(dataset_1!B:B)</f>
        <v>1</v>
      </c>
      <c r="U581" s="60">
        <f t="shared" si="29"/>
        <v>2011</v>
      </c>
      <c r="V581" s="59" t="str">
        <f>TEXT(F581/24,"H AM/PM")</f>
        <v>10 AM</v>
      </c>
      <c r="W581" s="59" t="str">
        <f>IF(H581=6,"Saturday",IF(H581=0,"Sunday",IF(H581=1,"Monday",IF(H581=2,"Tuesday",IF(H581=3,"Wednesday",IF(H581=4,"Thursday",IF(H581=5,"Friday")))))))</f>
        <v>Wednesday</v>
      </c>
      <c r="X581" s="59" t="str">
        <f>IF(G581=FALSE,"Working day", IF(G581=TRUE,"Holiday"))</f>
        <v>Working day</v>
      </c>
    </row>
    <row r="582" spans="1:24" x14ac:dyDescent="0.25">
      <c r="A582" s="32">
        <v>581</v>
      </c>
      <c r="B582" s="33">
        <v>40569</v>
      </c>
      <c r="C582" s="26">
        <v>1</v>
      </c>
      <c r="D582" s="26">
        <v>0</v>
      </c>
      <c r="E582" s="26">
        <v>1</v>
      </c>
      <c r="F582" s="26">
        <v>11</v>
      </c>
      <c r="G582" s="26" t="b">
        <v>0</v>
      </c>
      <c r="H582" s="26">
        <v>3</v>
      </c>
      <c r="I582" s="26">
        <v>3</v>
      </c>
      <c r="J582" s="26">
        <v>0.22</v>
      </c>
      <c r="K582" s="26">
        <v>0.19700000000000001</v>
      </c>
      <c r="L582" s="26">
        <v>0.93</v>
      </c>
      <c r="M582">
        <v>0.32840000000000003</v>
      </c>
      <c r="N582" s="26">
        <v>6</v>
      </c>
      <c r="O582" s="26">
        <v>35</v>
      </c>
      <c r="P582" s="26">
        <v>41</v>
      </c>
      <c r="Q582" s="34" t="str">
        <f t="shared" si="27"/>
        <v>Light Rain</v>
      </c>
      <c r="R582" s="41" t="str">
        <f>IF(I582=1,"Normal",IF(I582=2,"Yellow Alert",IF(I582=3,"Orange Alert",IF(I582=4,"Red Alert"))))</f>
        <v>Orange Alert</v>
      </c>
      <c r="S582" s="60">
        <f t="shared" si="28"/>
        <v>26</v>
      </c>
      <c r="T582" s="60">
        <f>MONTH(dataset_1!B:B)</f>
        <v>1</v>
      </c>
      <c r="U582" s="60">
        <f t="shared" si="29"/>
        <v>2011</v>
      </c>
      <c r="V582" s="59" t="str">
        <f>TEXT(F582/24,"H AM/PM")</f>
        <v>11 AM</v>
      </c>
      <c r="W582" s="59" t="str">
        <f>IF(H582=6,"Saturday",IF(H582=0,"Sunday",IF(H582=1,"Monday",IF(H582=2,"Tuesday",IF(H582=3,"Wednesday",IF(H582=4,"Thursday",IF(H582=5,"Friday")))))))</f>
        <v>Wednesday</v>
      </c>
      <c r="X582" s="59" t="str">
        <f>IF(G582=FALSE,"Working day", IF(G582=TRUE,"Holiday"))</f>
        <v>Working day</v>
      </c>
    </row>
    <row r="583" spans="1:24" x14ac:dyDescent="0.25">
      <c r="A583" s="32">
        <v>582</v>
      </c>
      <c r="B583" s="33">
        <v>40569</v>
      </c>
      <c r="C583" s="26">
        <v>1</v>
      </c>
      <c r="D583" s="26">
        <v>0</v>
      </c>
      <c r="E583" s="26">
        <v>1</v>
      </c>
      <c r="F583" s="26">
        <v>12</v>
      </c>
      <c r="G583" s="26" t="b">
        <v>0</v>
      </c>
      <c r="H583" s="26">
        <v>3</v>
      </c>
      <c r="I583" s="26">
        <v>3</v>
      </c>
      <c r="J583" s="26">
        <v>0.22</v>
      </c>
      <c r="K583" s="26">
        <v>0.19700000000000001</v>
      </c>
      <c r="L583" s="26">
        <v>0.93</v>
      </c>
      <c r="M583">
        <v>0.32840000000000003</v>
      </c>
      <c r="N583" s="26">
        <v>7</v>
      </c>
      <c r="O583" s="26">
        <v>41</v>
      </c>
      <c r="P583" s="26">
        <v>48</v>
      </c>
      <c r="Q583" s="34" t="str">
        <f t="shared" si="27"/>
        <v>Light Rain</v>
      </c>
      <c r="R583" s="41" t="str">
        <f>IF(I583=1,"Normal",IF(I583=2,"Yellow Alert",IF(I583=3,"Orange Alert",IF(I583=4,"Red Alert"))))</f>
        <v>Orange Alert</v>
      </c>
      <c r="S583" s="60">
        <f t="shared" si="28"/>
        <v>26</v>
      </c>
      <c r="T583" s="60">
        <f>MONTH(dataset_1!B:B)</f>
        <v>1</v>
      </c>
      <c r="U583" s="60">
        <f t="shared" si="29"/>
        <v>2011</v>
      </c>
      <c r="V583" s="59" t="str">
        <f>TEXT(F583/24,"H AM/PM")</f>
        <v>12 PM</v>
      </c>
      <c r="W583" s="59" t="str">
        <f>IF(H583=6,"Saturday",IF(H583=0,"Sunday",IF(H583=1,"Monday",IF(H583=2,"Tuesday",IF(H583=3,"Wednesday",IF(H583=4,"Thursday",IF(H583=5,"Friday")))))))</f>
        <v>Wednesday</v>
      </c>
      <c r="X583" s="59" t="str">
        <f>IF(G583=FALSE,"Working day", IF(G583=TRUE,"Holiday"))</f>
        <v>Working day</v>
      </c>
    </row>
    <row r="584" spans="1:24" x14ac:dyDescent="0.25">
      <c r="A584" s="32">
        <v>583</v>
      </c>
      <c r="B584" s="33">
        <v>40569</v>
      </c>
      <c r="C584" s="26">
        <v>1</v>
      </c>
      <c r="D584" s="26">
        <v>0</v>
      </c>
      <c r="E584" s="26">
        <v>1</v>
      </c>
      <c r="F584" s="26">
        <v>13</v>
      </c>
      <c r="G584" s="26" t="b">
        <v>0</v>
      </c>
      <c r="H584" s="26">
        <v>3</v>
      </c>
      <c r="I584" s="26">
        <v>3</v>
      </c>
      <c r="J584" s="26">
        <v>0.22</v>
      </c>
      <c r="K584" s="26">
        <v>0.19700000000000001</v>
      </c>
      <c r="L584" s="26">
        <v>0.93</v>
      </c>
      <c r="M584">
        <v>0.32840000000000003</v>
      </c>
      <c r="N584" s="26">
        <v>4</v>
      </c>
      <c r="O584" s="26">
        <v>43</v>
      </c>
      <c r="P584" s="26">
        <v>47</v>
      </c>
      <c r="Q584" s="34" t="str">
        <f t="shared" si="27"/>
        <v>Light Rain</v>
      </c>
      <c r="R584" s="41" t="str">
        <f>IF(I584=1,"Normal",IF(I584=2,"Yellow Alert",IF(I584=3,"Orange Alert",IF(I584=4,"Red Alert"))))</f>
        <v>Orange Alert</v>
      </c>
      <c r="S584" s="60">
        <f t="shared" si="28"/>
        <v>26</v>
      </c>
      <c r="T584" s="60">
        <f>MONTH(dataset_1!B:B)</f>
        <v>1</v>
      </c>
      <c r="U584" s="60">
        <f t="shared" si="29"/>
        <v>2011</v>
      </c>
      <c r="V584" s="59" t="str">
        <f>TEXT(F584/24,"H AM/PM")</f>
        <v>1 PM</v>
      </c>
      <c r="W584" s="59" t="str">
        <f>IF(H584=6,"Saturday",IF(H584=0,"Sunday",IF(H584=1,"Monday",IF(H584=2,"Tuesday",IF(H584=3,"Wednesday",IF(H584=4,"Thursday",IF(H584=5,"Friday")))))))</f>
        <v>Wednesday</v>
      </c>
      <c r="X584" s="59" t="str">
        <f>IF(G584=FALSE,"Working day", IF(G584=TRUE,"Holiday"))</f>
        <v>Working day</v>
      </c>
    </row>
    <row r="585" spans="1:24" x14ac:dyDescent="0.25">
      <c r="A585" s="32">
        <v>584</v>
      </c>
      <c r="B585" s="33">
        <v>40569</v>
      </c>
      <c r="C585" s="26">
        <v>1</v>
      </c>
      <c r="D585" s="26">
        <v>0</v>
      </c>
      <c r="E585" s="26">
        <v>1</v>
      </c>
      <c r="F585" s="26">
        <v>14</v>
      </c>
      <c r="G585" s="26" t="b">
        <v>0</v>
      </c>
      <c r="H585" s="26">
        <v>3</v>
      </c>
      <c r="I585" s="26">
        <v>3</v>
      </c>
      <c r="J585" s="26">
        <v>0.22</v>
      </c>
      <c r="K585" s="26">
        <v>0.18179999999999999</v>
      </c>
      <c r="L585" s="26">
        <v>0.93</v>
      </c>
      <c r="M585">
        <v>0.35820000000000002</v>
      </c>
      <c r="N585" s="26">
        <v>0</v>
      </c>
      <c r="O585" s="26">
        <v>36</v>
      </c>
      <c r="P585" s="26">
        <v>36</v>
      </c>
      <c r="Q585" s="34" t="str">
        <f t="shared" si="27"/>
        <v>Light Rain</v>
      </c>
      <c r="R585" s="41" t="str">
        <f>IF(I585=1,"Normal",IF(I585=2,"Yellow Alert",IF(I585=3,"Orange Alert",IF(I585=4,"Red Alert"))))</f>
        <v>Orange Alert</v>
      </c>
      <c r="S585" s="60">
        <f t="shared" si="28"/>
        <v>26</v>
      </c>
      <c r="T585" s="60">
        <f>MONTH(dataset_1!B:B)</f>
        <v>1</v>
      </c>
      <c r="U585" s="60">
        <f t="shared" si="29"/>
        <v>2011</v>
      </c>
      <c r="V585" s="59" t="str">
        <f>TEXT(F585/24,"H AM/PM")</f>
        <v>2 PM</v>
      </c>
      <c r="W585" s="59" t="str">
        <f>IF(H585=6,"Saturday",IF(H585=0,"Sunday",IF(H585=1,"Monday",IF(H585=2,"Tuesday",IF(H585=3,"Wednesday",IF(H585=4,"Thursday",IF(H585=5,"Friday")))))))</f>
        <v>Wednesday</v>
      </c>
      <c r="X585" s="59" t="str">
        <f>IF(G585=FALSE,"Working day", IF(G585=TRUE,"Holiday"))</f>
        <v>Working day</v>
      </c>
    </row>
    <row r="586" spans="1:24" x14ac:dyDescent="0.25">
      <c r="A586" s="32">
        <v>585</v>
      </c>
      <c r="B586" s="33">
        <v>40569</v>
      </c>
      <c r="C586" s="26">
        <v>1</v>
      </c>
      <c r="D586" s="26">
        <v>0</v>
      </c>
      <c r="E586" s="26">
        <v>1</v>
      </c>
      <c r="F586" s="26">
        <v>15</v>
      </c>
      <c r="G586" s="26" t="b">
        <v>0</v>
      </c>
      <c r="H586" s="26">
        <v>3</v>
      </c>
      <c r="I586" s="26">
        <v>3</v>
      </c>
      <c r="J586" s="26">
        <v>0.22</v>
      </c>
      <c r="K586" s="26">
        <v>0.19700000000000001</v>
      </c>
      <c r="L586" s="26">
        <v>0.93</v>
      </c>
      <c r="M586">
        <v>0.4627</v>
      </c>
      <c r="N586" s="26">
        <v>1</v>
      </c>
      <c r="O586" s="26">
        <v>42</v>
      </c>
      <c r="P586" s="26">
        <v>43</v>
      </c>
      <c r="Q586" s="34" t="str">
        <f t="shared" si="27"/>
        <v>Light Rain</v>
      </c>
      <c r="R586" s="41" t="str">
        <f>IF(I586=1,"Normal",IF(I586=2,"Yellow Alert",IF(I586=3,"Orange Alert",IF(I586=4,"Red Alert"))))</f>
        <v>Orange Alert</v>
      </c>
      <c r="S586" s="60">
        <f t="shared" si="28"/>
        <v>26</v>
      </c>
      <c r="T586" s="60">
        <f>MONTH(dataset_1!B:B)</f>
        <v>1</v>
      </c>
      <c r="U586" s="60">
        <f t="shared" si="29"/>
        <v>2011</v>
      </c>
      <c r="V586" s="59" t="str">
        <f>TEXT(F586/24,"H AM/PM")</f>
        <v>3 PM</v>
      </c>
      <c r="W586" s="59" t="str">
        <f>IF(H586=6,"Saturday",IF(H586=0,"Sunday",IF(H586=1,"Monday",IF(H586=2,"Tuesday",IF(H586=3,"Wednesday",IF(H586=4,"Thursday",IF(H586=5,"Friday")))))))</f>
        <v>Wednesday</v>
      </c>
      <c r="X586" s="59" t="str">
        <f>IF(G586=FALSE,"Working day", IF(G586=TRUE,"Holiday"))</f>
        <v>Working day</v>
      </c>
    </row>
    <row r="587" spans="1:24" x14ac:dyDescent="0.25">
      <c r="A587" s="32">
        <v>586</v>
      </c>
      <c r="B587" s="33">
        <v>40569</v>
      </c>
      <c r="C587" s="26">
        <v>1</v>
      </c>
      <c r="D587" s="26">
        <v>0</v>
      </c>
      <c r="E587" s="26">
        <v>1</v>
      </c>
      <c r="F587" s="26">
        <v>16</v>
      </c>
      <c r="G587" s="26" t="b">
        <v>0</v>
      </c>
      <c r="H587" s="26">
        <v>3</v>
      </c>
      <c r="I587" s="26">
        <v>4</v>
      </c>
      <c r="J587" s="26">
        <v>0.22</v>
      </c>
      <c r="K587" s="26">
        <v>0.18179999999999999</v>
      </c>
      <c r="L587" s="26">
        <v>0.93</v>
      </c>
      <c r="M587">
        <v>0.32840000000000003</v>
      </c>
      <c r="N587" s="26">
        <v>1</v>
      </c>
      <c r="O587" s="26">
        <v>35</v>
      </c>
      <c r="P587" s="26">
        <v>36</v>
      </c>
      <c r="Q587" s="34" t="str">
        <f t="shared" si="27"/>
        <v>Heavy Rain</v>
      </c>
      <c r="R587" s="41" t="str">
        <f>IF(I587=1,"Normal",IF(I587=2,"Yellow Alert",IF(I587=3,"Orange Alert",IF(I587=4,"Red Alert"))))</f>
        <v>Red Alert</v>
      </c>
      <c r="S587" s="60">
        <f t="shared" si="28"/>
        <v>26</v>
      </c>
      <c r="T587" s="60">
        <f>MONTH(dataset_1!B:B)</f>
        <v>1</v>
      </c>
      <c r="U587" s="60">
        <f t="shared" si="29"/>
        <v>2011</v>
      </c>
      <c r="V587" s="59" t="str">
        <f>TEXT(F587/24,"H AM/PM")</f>
        <v>4 PM</v>
      </c>
      <c r="W587" s="59" t="str">
        <f>IF(H587=6,"Saturday",IF(H587=0,"Sunday",IF(H587=1,"Monday",IF(H587=2,"Tuesday",IF(H587=3,"Wednesday",IF(H587=4,"Thursday",IF(H587=5,"Friday")))))))</f>
        <v>Wednesday</v>
      </c>
      <c r="X587" s="59" t="str">
        <f>IF(G587=FALSE,"Working day", IF(G587=TRUE,"Holiday"))</f>
        <v>Working day</v>
      </c>
    </row>
    <row r="588" spans="1:24" x14ac:dyDescent="0.25">
      <c r="A588" s="32">
        <v>587</v>
      </c>
      <c r="B588" s="33">
        <v>40569</v>
      </c>
      <c r="C588" s="26">
        <v>1</v>
      </c>
      <c r="D588" s="26">
        <v>0</v>
      </c>
      <c r="E588" s="26">
        <v>1</v>
      </c>
      <c r="F588" s="26">
        <v>17</v>
      </c>
      <c r="G588" s="26" t="b">
        <v>0</v>
      </c>
      <c r="H588" s="26">
        <v>3</v>
      </c>
      <c r="I588" s="26">
        <v>3</v>
      </c>
      <c r="J588" s="26">
        <v>0.2</v>
      </c>
      <c r="K588" s="26">
        <v>0.2273</v>
      </c>
      <c r="L588" s="26">
        <v>0.93</v>
      </c>
      <c r="M588">
        <v>0.35820000000000002</v>
      </c>
      <c r="N588" s="26">
        <v>0</v>
      </c>
      <c r="O588" s="26">
        <v>26</v>
      </c>
      <c r="P588" s="26">
        <v>26</v>
      </c>
      <c r="Q588" s="34" t="str">
        <f t="shared" si="27"/>
        <v>Light Rain</v>
      </c>
      <c r="R588" s="41" t="str">
        <f>IF(I588=1,"Normal",IF(I588=2,"Yellow Alert",IF(I588=3,"Orange Alert",IF(I588=4,"Red Alert"))))</f>
        <v>Orange Alert</v>
      </c>
      <c r="S588" s="60">
        <f t="shared" si="28"/>
        <v>26</v>
      </c>
      <c r="T588" s="60">
        <f>MONTH(dataset_1!B:B)</f>
        <v>1</v>
      </c>
      <c r="U588" s="60">
        <f t="shared" si="29"/>
        <v>2011</v>
      </c>
      <c r="V588" s="59" t="str">
        <f>TEXT(F588/24,"H AM/PM")</f>
        <v>5 PM</v>
      </c>
      <c r="W588" s="59" t="str">
        <f>IF(H588=6,"Saturday",IF(H588=0,"Sunday",IF(H588=1,"Monday",IF(H588=2,"Tuesday",IF(H588=3,"Wednesday",IF(H588=4,"Thursday",IF(H588=5,"Friday")))))))</f>
        <v>Wednesday</v>
      </c>
      <c r="X588" s="59" t="str">
        <f>IF(G588=FALSE,"Working day", IF(G588=TRUE,"Holiday"))</f>
        <v>Working day</v>
      </c>
    </row>
    <row r="589" spans="1:24" x14ac:dyDescent="0.25">
      <c r="A589" s="32">
        <v>588</v>
      </c>
      <c r="B589" s="33">
        <v>40570</v>
      </c>
      <c r="C589" s="26">
        <v>1</v>
      </c>
      <c r="D589" s="26">
        <v>0</v>
      </c>
      <c r="E589" s="26">
        <v>1</v>
      </c>
      <c r="F589" s="26">
        <v>16</v>
      </c>
      <c r="G589" s="26" t="b">
        <v>0</v>
      </c>
      <c r="H589" s="26">
        <v>4</v>
      </c>
      <c r="I589" s="26">
        <v>1</v>
      </c>
      <c r="J589" s="26">
        <v>0.22</v>
      </c>
      <c r="K589" s="26">
        <v>0.2424</v>
      </c>
      <c r="L589" s="26">
        <v>0.55000000000000004</v>
      </c>
      <c r="M589">
        <v>0.19400000000000001</v>
      </c>
      <c r="N589" s="26">
        <v>1</v>
      </c>
      <c r="O589" s="26">
        <v>23</v>
      </c>
      <c r="P589" s="26">
        <v>24</v>
      </c>
      <c r="Q589" s="34" t="str">
        <f t="shared" si="27"/>
        <v>Clear</v>
      </c>
      <c r="R589" s="41" t="str">
        <f>IF(I589=1,"Normal",IF(I589=2,"Yellow Alert",IF(I589=3,"Orange Alert",IF(I589=4,"Red Alert"))))</f>
        <v>Normal</v>
      </c>
      <c r="S589" s="60">
        <f t="shared" si="28"/>
        <v>27</v>
      </c>
      <c r="T589" s="60">
        <f>MONTH(dataset_1!B:B)</f>
        <v>1</v>
      </c>
      <c r="U589" s="60">
        <f t="shared" si="29"/>
        <v>2011</v>
      </c>
      <c r="V589" s="59" t="str">
        <f>TEXT(F589/24,"H AM/PM")</f>
        <v>4 PM</v>
      </c>
      <c r="W589" s="59" t="str">
        <f>IF(H589=6,"Saturday",IF(H589=0,"Sunday",IF(H589=1,"Monday",IF(H589=2,"Tuesday",IF(H589=3,"Wednesday",IF(H589=4,"Thursday",IF(H589=5,"Friday")))))))</f>
        <v>Thursday</v>
      </c>
      <c r="X589" s="59" t="str">
        <f>IF(G589=FALSE,"Working day", IF(G589=TRUE,"Holiday"))</f>
        <v>Working day</v>
      </c>
    </row>
    <row r="590" spans="1:24" x14ac:dyDescent="0.25">
      <c r="A590" s="32">
        <v>589</v>
      </c>
      <c r="B590" s="33">
        <v>40570</v>
      </c>
      <c r="C590" s="26">
        <v>1</v>
      </c>
      <c r="D590" s="26">
        <v>0</v>
      </c>
      <c r="E590" s="26">
        <v>1</v>
      </c>
      <c r="F590" s="26">
        <v>17</v>
      </c>
      <c r="G590" s="26" t="b">
        <v>0</v>
      </c>
      <c r="H590" s="26">
        <v>4</v>
      </c>
      <c r="I590" s="26">
        <v>1</v>
      </c>
      <c r="J590" s="26">
        <v>0.22</v>
      </c>
      <c r="K590" s="26">
        <v>0.2273</v>
      </c>
      <c r="L590" s="26">
        <v>0.55000000000000004</v>
      </c>
      <c r="M590">
        <v>0.1045</v>
      </c>
      <c r="N590" s="26">
        <v>2</v>
      </c>
      <c r="O590" s="26">
        <v>82</v>
      </c>
      <c r="P590" s="26">
        <v>84</v>
      </c>
      <c r="Q590" s="34" t="str">
        <f t="shared" si="27"/>
        <v>Clear</v>
      </c>
      <c r="R590" s="41" t="str">
        <f>IF(I590=1,"Normal",IF(I590=2,"Yellow Alert",IF(I590=3,"Orange Alert",IF(I590=4,"Red Alert"))))</f>
        <v>Normal</v>
      </c>
      <c r="S590" s="60">
        <f t="shared" si="28"/>
        <v>27</v>
      </c>
      <c r="T590" s="60">
        <f>MONTH(dataset_1!B:B)</f>
        <v>1</v>
      </c>
      <c r="U590" s="60">
        <f t="shared" si="29"/>
        <v>2011</v>
      </c>
      <c r="V590" s="59" t="str">
        <f>TEXT(F590/24,"H AM/PM")</f>
        <v>5 PM</v>
      </c>
      <c r="W590" s="59" t="str">
        <f>IF(H590=6,"Saturday",IF(H590=0,"Sunday",IF(H590=1,"Monday",IF(H590=2,"Tuesday",IF(H590=3,"Wednesday",IF(H590=4,"Thursday",IF(H590=5,"Friday")))))))</f>
        <v>Thursday</v>
      </c>
      <c r="X590" s="59" t="str">
        <f>IF(G590=FALSE,"Working day", IF(G590=TRUE,"Holiday"))</f>
        <v>Working day</v>
      </c>
    </row>
    <row r="591" spans="1:24" x14ac:dyDescent="0.25">
      <c r="A591" s="32">
        <v>590</v>
      </c>
      <c r="B591" s="33">
        <v>40570</v>
      </c>
      <c r="C591" s="26">
        <v>1</v>
      </c>
      <c r="D591" s="26">
        <v>0</v>
      </c>
      <c r="E591" s="26">
        <v>1</v>
      </c>
      <c r="F591" s="26">
        <v>18</v>
      </c>
      <c r="G591" s="26" t="b">
        <v>0</v>
      </c>
      <c r="H591" s="26">
        <v>4</v>
      </c>
      <c r="I591" s="26">
        <v>1</v>
      </c>
      <c r="J591" s="26">
        <v>0.2</v>
      </c>
      <c r="K591" s="26">
        <v>0.2273</v>
      </c>
      <c r="L591" s="26">
        <v>0.69</v>
      </c>
      <c r="M591">
        <v>8.9599999999999999E-2</v>
      </c>
      <c r="N591" s="26">
        <v>3</v>
      </c>
      <c r="O591" s="26">
        <v>101</v>
      </c>
      <c r="P591" s="26">
        <v>104</v>
      </c>
      <c r="Q591" s="34" t="str">
        <f t="shared" si="27"/>
        <v>Clear</v>
      </c>
      <c r="R591" s="41" t="str">
        <f>IF(I591=1,"Normal",IF(I591=2,"Yellow Alert",IF(I591=3,"Orange Alert",IF(I591=4,"Red Alert"))))</f>
        <v>Normal</v>
      </c>
      <c r="S591" s="60">
        <f t="shared" si="28"/>
        <v>27</v>
      </c>
      <c r="T591" s="60">
        <f>MONTH(dataset_1!B:B)</f>
        <v>1</v>
      </c>
      <c r="U591" s="60">
        <f t="shared" si="29"/>
        <v>2011</v>
      </c>
      <c r="V591" s="59" t="str">
        <f>TEXT(F591/24,"H AM/PM")</f>
        <v>6 PM</v>
      </c>
      <c r="W591" s="59" t="str">
        <f>IF(H591=6,"Saturday",IF(H591=0,"Sunday",IF(H591=1,"Monday",IF(H591=2,"Tuesday",IF(H591=3,"Wednesday",IF(H591=4,"Thursday",IF(H591=5,"Friday")))))))</f>
        <v>Thursday</v>
      </c>
      <c r="X591" s="59" t="str">
        <f>IF(G591=FALSE,"Working day", IF(G591=TRUE,"Holiday"))</f>
        <v>Working day</v>
      </c>
    </row>
    <row r="592" spans="1:24" x14ac:dyDescent="0.25">
      <c r="A592" s="32">
        <v>591</v>
      </c>
      <c r="B592" s="33">
        <v>40570</v>
      </c>
      <c r="C592" s="26">
        <v>1</v>
      </c>
      <c r="D592" s="26">
        <v>0</v>
      </c>
      <c r="E592" s="26">
        <v>1</v>
      </c>
      <c r="F592" s="26">
        <v>19</v>
      </c>
      <c r="G592" s="26" t="b">
        <v>0</v>
      </c>
      <c r="H592" s="26">
        <v>4</v>
      </c>
      <c r="I592" s="26">
        <v>1</v>
      </c>
      <c r="J592" s="26">
        <v>0.2</v>
      </c>
      <c r="K592" s="26">
        <v>0.21210000000000001</v>
      </c>
      <c r="L592" s="26">
        <v>0.69</v>
      </c>
      <c r="M592">
        <v>8.9599999999999999E-2</v>
      </c>
      <c r="N592" s="26">
        <v>3</v>
      </c>
      <c r="O592" s="26">
        <v>76</v>
      </c>
      <c r="P592" s="26">
        <v>79</v>
      </c>
      <c r="Q592" s="34" t="str">
        <f t="shared" si="27"/>
        <v>Clear</v>
      </c>
      <c r="R592" s="41" t="str">
        <f>IF(I592=1,"Normal",IF(I592=2,"Yellow Alert",IF(I592=3,"Orange Alert",IF(I592=4,"Red Alert"))))</f>
        <v>Normal</v>
      </c>
      <c r="S592" s="60">
        <f t="shared" si="28"/>
        <v>27</v>
      </c>
      <c r="T592" s="60">
        <f>MONTH(dataset_1!B:B)</f>
        <v>1</v>
      </c>
      <c r="U592" s="60">
        <f t="shared" si="29"/>
        <v>2011</v>
      </c>
      <c r="V592" s="59" t="str">
        <f>TEXT(F592/24,"H AM/PM")</f>
        <v>7 PM</v>
      </c>
      <c r="W592" s="59" t="str">
        <f>IF(H592=6,"Saturday",IF(H592=0,"Sunday",IF(H592=1,"Monday",IF(H592=2,"Tuesday",IF(H592=3,"Wednesday",IF(H592=4,"Thursday",IF(H592=5,"Friday")))))))</f>
        <v>Thursday</v>
      </c>
      <c r="X592" s="59" t="str">
        <f>IF(G592=FALSE,"Working day", IF(G592=TRUE,"Holiday"))</f>
        <v>Working day</v>
      </c>
    </row>
    <row r="593" spans="1:24" x14ac:dyDescent="0.25">
      <c r="A593" s="32">
        <v>592</v>
      </c>
      <c r="B593" s="33">
        <v>40570</v>
      </c>
      <c r="C593" s="26">
        <v>1</v>
      </c>
      <c r="D593" s="26">
        <v>0</v>
      </c>
      <c r="E593" s="26">
        <v>1</v>
      </c>
      <c r="F593" s="26">
        <v>20</v>
      </c>
      <c r="G593" s="26" t="b">
        <v>0</v>
      </c>
      <c r="H593" s="26">
        <v>4</v>
      </c>
      <c r="I593" s="26">
        <v>1</v>
      </c>
      <c r="J593" s="26">
        <v>0.18</v>
      </c>
      <c r="K593" s="26">
        <v>0.21210000000000001</v>
      </c>
      <c r="L593" s="26">
        <v>0.74</v>
      </c>
      <c r="M593">
        <v>8.9599999999999999E-2</v>
      </c>
      <c r="N593" s="26">
        <v>4</v>
      </c>
      <c r="O593" s="26">
        <v>55</v>
      </c>
      <c r="P593" s="26">
        <v>59</v>
      </c>
      <c r="Q593" s="34" t="str">
        <f t="shared" si="27"/>
        <v>Clear</v>
      </c>
      <c r="R593" s="41" t="str">
        <f>IF(I593=1,"Normal",IF(I593=2,"Yellow Alert",IF(I593=3,"Orange Alert",IF(I593=4,"Red Alert"))))</f>
        <v>Normal</v>
      </c>
      <c r="S593" s="60">
        <f t="shared" si="28"/>
        <v>27</v>
      </c>
      <c r="T593" s="60">
        <f>MONTH(dataset_1!B:B)</f>
        <v>1</v>
      </c>
      <c r="U593" s="60">
        <f t="shared" si="29"/>
        <v>2011</v>
      </c>
      <c r="V593" s="59" t="str">
        <f>TEXT(F593/24,"H AM/PM")</f>
        <v>8 PM</v>
      </c>
      <c r="W593" s="59" t="str">
        <f>IF(H593=6,"Saturday",IF(H593=0,"Sunday",IF(H593=1,"Monday",IF(H593=2,"Tuesday",IF(H593=3,"Wednesday",IF(H593=4,"Thursday",IF(H593=5,"Friday")))))))</f>
        <v>Thursday</v>
      </c>
      <c r="X593" s="59" t="str">
        <f>IF(G593=FALSE,"Working day", IF(G593=TRUE,"Holiday"))</f>
        <v>Working day</v>
      </c>
    </row>
    <row r="594" spans="1:24" x14ac:dyDescent="0.25">
      <c r="A594" s="32">
        <v>593</v>
      </c>
      <c r="B594" s="33">
        <v>40570</v>
      </c>
      <c r="C594" s="26">
        <v>1</v>
      </c>
      <c r="D594" s="26">
        <v>0</v>
      </c>
      <c r="E594" s="26">
        <v>1</v>
      </c>
      <c r="F594" s="26">
        <v>21</v>
      </c>
      <c r="G594" s="26" t="b">
        <v>0</v>
      </c>
      <c r="H594" s="26">
        <v>4</v>
      </c>
      <c r="I594" s="26">
        <v>1</v>
      </c>
      <c r="J594" s="26">
        <v>0.18</v>
      </c>
      <c r="K594" s="26">
        <v>0.21210000000000001</v>
      </c>
      <c r="L594" s="26">
        <v>0.74</v>
      </c>
      <c r="M594">
        <v>8.9599999999999999E-2</v>
      </c>
      <c r="N594" s="26">
        <v>2</v>
      </c>
      <c r="O594" s="26">
        <v>36</v>
      </c>
      <c r="P594" s="26">
        <v>38</v>
      </c>
      <c r="Q594" s="34" t="str">
        <f t="shared" si="27"/>
        <v>Clear</v>
      </c>
      <c r="R594" s="41" t="str">
        <f>IF(I594=1,"Normal",IF(I594=2,"Yellow Alert",IF(I594=3,"Orange Alert",IF(I594=4,"Red Alert"))))</f>
        <v>Normal</v>
      </c>
      <c r="S594" s="60">
        <f t="shared" si="28"/>
        <v>27</v>
      </c>
      <c r="T594" s="60">
        <f>MONTH(dataset_1!B:B)</f>
        <v>1</v>
      </c>
      <c r="U594" s="60">
        <f t="shared" si="29"/>
        <v>2011</v>
      </c>
      <c r="V594" s="59" t="str">
        <f>TEXT(F594/24,"H AM/PM")</f>
        <v>9 PM</v>
      </c>
      <c r="W594" s="59" t="str">
        <f>IF(H594=6,"Saturday",IF(H594=0,"Sunday",IF(H594=1,"Monday",IF(H594=2,"Tuesday",IF(H594=3,"Wednesday",IF(H594=4,"Thursday",IF(H594=5,"Friday")))))))</f>
        <v>Thursday</v>
      </c>
      <c r="X594" s="59" t="str">
        <f>IF(G594=FALSE,"Working day", IF(G594=TRUE,"Holiday"))</f>
        <v>Working day</v>
      </c>
    </row>
    <row r="595" spans="1:24" x14ac:dyDescent="0.25">
      <c r="A595" s="32">
        <v>594</v>
      </c>
      <c r="B595" s="33">
        <v>40570</v>
      </c>
      <c r="C595" s="26">
        <v>1</v>
      </c>
      <c r="D595" s="26">
        <v>0</v>
      </c>
      <c r="E595" s="26">
        <v>1</v>
      </c>
      <c r="F595" s="26">
        <v>22</v>
      </c>
      <c r="G595" s="26" t="b">
        <v>0</v>
      </c>
      <c r="H595" s="26">
        <v>4</v>
      </c>
      <c r="I595" s="26">
        <v>1</v>
      </c>
      <c r="J595" s="26">
        <v>0.18</v>
      </c>
      <c r="K595" s="26">
        <v>0.19700000000000001</v>
      </c>
      <c r="L595" s="26">
        <v>0.74</v>
      </c>
      <c r="M595">
        <v>8.9599999999999999E-2</v>
      </c>
      <c r="N595" s="26">
        <v>0</v>
      </c>
      <c r="O595" s="26">
        <v>27</v>
      </c>
      <c r="P595" s="26">
        <v>27</v>
      </c>
      <c r="Q595" s="34" t="str">
        <f t="shared" si="27"/>
        <v>Clear</v>
      </c>
      <c r="R595" s="41" t="str">
        <f>IF(I595=1,"Normal",IF(I595=2,"Yellow Alert",IF(I595=3,"Orange Alert",IF(I595=4,"Red Alert"))))</f>
        <v>Normal</v>
      </c>
      <c r="S595" s="60">
        <f t="shared" si="28"/>
        <v>27</v>
      </c>
      <c r="T595" s="60">
        <f>MONTH(dataset_1!B:B)</f>
        <v>1</v>
      </c>
      <c r="U595" s="60">
        <f t="shared" si="29"/>
        <v>2011</v>
      </c>
      <c r="V595" s="59" t="str">
        <f>TEXT(F595/24,"H AM/PM")</f>
        <v>10 PM</v>
      </c>
      <c r="W595" s="59" t="str">
        <f>IF(H595=6,"Saturday",IF(H595=0,"Sunday",IF(H595=1,"Monday",IF(H595=2,"Tuesday",IF(H595=3,"Wednesday",IF(H595=4,"Thursday",IF(H595=5,"Friday")))))))</f>
        <v>Thursday</v>
      </c>
      <c r="X595" s="59" t="str">
        <f>IF(G595=FALSE,"Working day", IF(G595=TRUE,"Holiday"))</f>
        <v>Working day</v>
      </c>
    </row>
    <row r="596" spans="1:24" x14ac:dyDescent="0.25">
      <c r="A596" s="32">
        <v>595</v>
      </c>
      <c r="B596" s="33">
        <v>40570</v>
      </c>
      <c r="C596" s="26">
        <v>1</v>
      </c>
      <c r="D596" s="26">
        <v>0</v>
      </c>
      <c r="E596" s="26">
        <v>1</v>
      </c>
      <c r="F596" s="26">
        <v>23</v>
      </c>
      <c r="G596" s="26" t="b">
        <v>0</v>
      </c>
      <c r="H596" s="26">
        <v>4</v>
      </c>
      <c r="I596" s="26">
        <v>1</v>
      </c>
      <c r="J596" s="26">
        <v>0.18</v>
      </c>
      <c r="K596" s="26">
        <v>0.21210000000000001</v>
      </c>
      <c r="L596" s="26">
        <v>0.8</v>
      </c>
      <c r="M596">
        <v>0.16420000000000001</v>
      </c>
      <c r="N596" s="26">
        <v>0</v>
      </c>
      <c r="O596" s="26">
        <v>16</v>
      </c>
      <c r="P596" s="26">
        <v>16</v>
      </c>
      <c r="Q596" s="34" t="str">
        <f t="shared" si="27"/>
        <v>Clear</v>
      </c>
      <c r="R596" s="41" t="str">
        <f>IF(I596=1,"Normal",IF(I596=2,"Yellow Alert",IF(I596=3,"Orange Alert",IF(I596=4,"Red Alert"))))</f>
        <v>Normal</v>
      </c>
      <c r="S596" s="60">
        <f t="shared" si="28"/>
        <v>27</v>
      </c>
      <c r="T596" s="60">
        <f>MONTH(dataset_1!B:B)</f>
        <v>1</v>
      </c>
      <c r="U596" s="60">
        <f t="shared" si="29"/>
        <v>2011</v>
      </c>
      <c r="V596" s="59" t="str">
        <f>TEXT(F596/24,"H AM/PM")</f>
        <v>11 PM</v>
      </c>
      <c r="W596" s="59" t="str">
        <f>IF(H596=6,"Saturday",IF(H596=0,"Sunday",IF(H596=1,"Monday",IF(H596=2,"Tuesday",IF(H596=3,"Wednesday",IF(H596=4,"Thursday",IF(H596=5,"Friday")))))))</f>
        <v>Thursday</v>
      </c>
      <c r="X596" s="59" t="str">
        <f>IF(G596=FALSE,"Working day", IF(G596=TRUE,"Holiday"))</f>
        <v>Working day</v>
      </c>
    </row>
    <row r="597" spans="1:24" x14ac:dyDescent="0.25">
      <c r="A597" s="32">
        <v>596</v>
      </c>
      <c r="B597" s="33">
        <v>40571</v>
      </c>
      <c r="C597" s="26">
        <v>1</v>
      </c>
      <c r="D597" s="26">
        <v>0</v>
      </c>
      <c r="E597" s="26">
        <v>1</v>
      </c>
      <c r="F597" s="26">
        <v>0</v>
      </c>
      <c r="G597" s="26" t="b">
        <v>0</v>
      </c>
      <c r="H597" s="26">
        <v>5</v>
      </c>
      <c r="I597" s="26">
        <v>2</v>
      </c>
      <c r="J597" s="26">
        <v>0.2</v>
      </c>
      <c r="K597" s="26">
        <v>0.21210000000000001</v>
      </c>
      <c r="L597" s="26">
        <v>0.75</v>
      </c>
      <c r="M597">
        <v>0.1343</v>
      </c>
      <c r="N597" s="26">
        <v>0</v>
      </c>
      <c r="O597" s="26">
        <v>9</v>
      </c>
      <c r="P597" s="26">
        <v>9</v>
      </c>
      <c r="Q597" s="34" t="str">
        <f t="shared" si="27"/>
        <v>Cloudy</v>
      </c>
      <c r="R597" s="41" t="str">
        <f>IF(I597=1,"Normal",IF(I597=2,"Yellow Alert",IF(I597=3,"Orange Alert",IF(I597=4,"Red Alert"))))</f>
        <v>Yellow Alert</v>
      </c>
      <c r="S597" s="60">
        <f t="shared" si="28"/>
        <v>28</v>
      </c>
      <c r="T597" s="60">
        <f>MONTH(dataset_1!B:B)</f>
        <v>1</v>
      </c>
      <c r="U597" s="60">
        <f t="shared" si="29"/>
        <v>2011</v>
      </c>
      <c r="V597" s="59" t="str">
        <f>TEXT(F597/24,"H AM/PM")</f>
        <v>12 AM</v>
      </c>
      <c r="W597" s="59" t="str">
        <f>IF(H597=6,"Saturday",IF(H597=0,"Sunday",IF(H597=1,"Monday",IF(H597=2,"Tuesday",IF(H597=3,"Wednesday",IF(H597=4,"Thursday",IF(H597=5,"Friday")))))))</f>
        <v>Friday</v>
      </c>
      <c r="X597" s="59" t="str">
        <f>IF(G597=FALSE,"Working day", IF(G597=TRUE,"Holiday"))</f>
        <v>Working day</v>
      </c>
    </row>
    <row r="598" spans="1:24" x14ac:dyDescent="0.25">
      <c r="A598" s="32">
        <v>597</v>
      </c>
      <c r="B598" s="33">
        <v>40571</v>
      </c>
      <c r="C598" s="26">
        <v>1</v>
      </c>
      <c r="D598" s="26">
        <v>0</v>
      </c>
      <c r="E598" s="26">
        <v>1</v>
      </c>
      <c r="F598" s="26">
        <v>1</v>
      </c>
      <c r="G598" s="26" t="b">
        <v>0</v>
      </c>
      <c r="H598" s="26">
        <v>5</v>
      </c>
      <c r="I598" s="26">
        <v>2</v>
      </c>
      <c r="J598" s="26">
        <v>0.2</v>
      </c>
      <c r="K598" s="26">
        <v>0.21210000000000001</v>
      </c>
      <c r="L598" s="26">
        <v>0.75</v>
      </c>
      <c r="M598">
        <v>0.1343</v>
      </c>
      <c r="N598" s="26">
        <v>1</v>
      </c>
      <c r="O598" s="26">
        <v>2</v>
      </c>
      <c r="P598" s="26">
        <v>3</v>
      </c>
      <c r="Q598" s="34" t="str">
        <f t="shared" si="27"/>
        <v>Cloudy</v>
      </c>
      <c r="R598" s="41" t="str">
        <f>IF(I598=1,"Normal",IF(I598=2,"Yellow Alert",IF(I598=3,"Orange Alert",IF(I598=4,"Red Alert"))))</f>
        <v>Yellow Alert</v>
      </c>
      <c r="S598" s="60">
        <f t="shared" si="28"/>
        <v>28</v>
      </c>
      <c r="T598" s="60">
        <f>MONTH(dataset_1!B:B)</f>
        <v>1</v>
      </c>
      <c r="U598" s="60">
        <f t="shared" si="29"/>
        <v>2011</v>
      </c>
      <c r="V598" s="59" t="str">
        <f>TEXT(F598/24,"H AM/PM")</f>
        <v>1 AM</v>
      </c>
      <c r="W598" s="59" t="str">
        <f>IF(H598=6,"Saturday",IF(H598=0,"Sunday",IF(H598=1,"Monday",IF(H598=2,"Tuesday",IF(H598=3,"Wednesday",IF(H598=4,"Thursday",IF(H598=5,"Friday")))))))</f>
        <v>Friday</v>
      </c>
      <c r="X598" s="59" t="str">
        <f>IF(G598=FALSE,"Working day", IF(G598=TRUE,"Holiday"))</f>
        <v>Working day</v>
      </c>
    </row>
    <row r="599" spans="1:24" x14ac:dyDescent="0.25">
      <c r="A599" s="32">
        <v>598</v>
      </c>
      <c r="B599" s="33">
        <v>40571</v>
      </c>
      <c r="C599" s="26">
        <v>1</v>
      </c>
      <c r="D599" s="26">
        <v>0</v>
      </c>
      <c r="E599" s="26">
        <v>1</v>
      </c>
      <c r="F599" s="26">
        <v>2</v>
      </c>
      <c r="G599" s="26" t="b">
        <v>0</v>
      </c>
      <c r="H599" s="26">
        <v>5</v>
      </c>
      <c r="I599" s="26">
        <v>2</v>
      </c>
      <c r="J599" s="26">
        <v>0.2</v>
      </c>
      <c r="K599" s="26">
        <v>0.2273</v>
      </c>
      <c r="L599" s="26">
        <v>0.75</v>
      </c>
      <c r="M599">
        <v>0.16420000000000001</v>
      </c>
      <c r="N599" s="26">
        <v>0</v>
      </c>
      <c r="O599" s="26">
        <v>2</v>
      </c>
      <c r="P599" s="26">
        <v>2</v>
      </c>
      <c r="Q599" s="34" t="str">
        <f t="shared" si="27"/>
        <v>Cloudy</v>
      </c>
      <c r="R599" s="41" t="str">
        <f>IF(I599=1,"Normal",IF(I599=2,"Yellow Alert",IF(I599=3,"Orange Alert",IF(I599=4,"Red Alert"))))</f>
        <v>Yellow Alert</v>
      </c>
      <c r="S599" s="60">
        <f t="shared" si="28"/>
        <v>28</v>
      </c>
      <c r="T599" s="60">
        <f>MONTH(dataset_1!B:B)</f>
        <v>1</v>
      </c>
      <c r="U599" s="60">
        <f t="shared" si="29"/>
        <v>2011</v>
      </c>
      <c r="V599" s="59" t="str">
        <f>TEXT(F599/24,"H AM/PM")</f>
        <v>2 AM</v>
      </c>
      <c r="W599" s="59" t="str">
        <f>IF(H599=6,"Saturday",IF(H599=0,"Sunday",IF(H599=1,"Monday",IF(H599=2,"Tuesday",IF(H599=3,"Wednesday",IF(H599=4,"Thursday",IF(H599=5,"Friday")))))))</f>
        <v>Friday</v>
      </c>
      <c r="X599" s="59" t="str">
        <f>IF(G599=FALSE,"Working day", IF(G599=TRUE,"Holiday"))</f>
        <v>Working day</v>
      </c>
    </row>
    <row r="600" spans="1:24" x14ac:dyDescent="0.25">
      <c r="A600" s="32">
        <v>599</v>
      </c>
      <c r="B600" s="33">
        <v>40571</v>
      </c>
      <c r="C600" s="26">
        <v>1</v>
      </c>
      <c r="D600" s="26">
        <v>0</v>
      </c>
      <c r="E600" s="26">
        <v>1</v>
      </c>
      <c r="F600" s="26">
        <v>3</v>
      </c>
      <c r="G600" s="26" t="b">
        <v>0</v>
      </c>
      <c r="H600" s="26">
        <v>5</v>
      </c>
      <c r="I600" s="26">
        <v>2</v>
      </c>
      <c r="J600" s="26">
        <v>0.2</v>
      </c>
      <c r="K600" s="26">
        <v>0.21210000000000001</v>
      </c>
      <c r="L600" s="26">
        <v>0.75</v>
      </c>
      <c r="M600">
        <v>0.1045</v>
      </c>
      <c r="N600" s="26">
        <v>1</v>
      </c>
      <c r="O600" s="26">
        <v>0</v>
      </c>
      <c r="P600" s="26">
        <v>1</v>
      </c>
      <c r="Q600" s="34" t="str">
        <f t="shared" si="27"/>
        <v>Cloudy</v>
      </c>
      <c r="R600" s="41" t="str">
        <f>IF(I600=1,"Normal",IF(I600=2,"Yellow Alert",IF(I600=3,"Orange Alert",IF(I600=4,"Red Alert"))))</f>
        <v>Yellow Alert</v>
      </c>
      <c r="S600" s="60">
        <f t="shared" si="28"/>
        <v>28</v>
      </c>
      <c r="T600" s="60">
        <f>MONTH(dataset_1!B:B)</f>
        <v>1</v>
      </c>
      <c r="U600" s="60">
        <f t="shared" si="29"/>
        <v>2011</v>
      </c>
      <c r="V600" s="59" t="str">
        <f>TEXT(F600/24,"H AM/PM")</f>
        <v>3 AM</v>
      </c>
      <c r="W600" s="59" t="str">
        <f>IF(H600=6,"Saturday",IF(H600=0,"Sunday",IF(H600=1,"Monday",IF(H600=2,"Tuesday",IF(H600=3,"Wednesday",IF(H600=4,"Thursday",IF(H600=5,"Friday")))))))</f>
        <v>Friday</v>
      </c>
      <c r="X600" s="59" t="str">
        <f>IF(G600=FALSE,"Working day", IF(G600=TRUE,"Holiday"))</f>
        <v>Working day</v>
      </c>
    </row>
    <row r="601" spans="1:24" x14ac:dyDescent="0.25">
      <c r="A601" s="32">
        <v>600</v>
      </c>
      <c r="B601" s="33">
        <v>40571</v>
      </c>
      <c r="C601" s="26">
        <v>1</v>
      </c>
      <c r="D601" s="26">
        <v>0</v>
      </c>
      <c r="E601" s="26">
        <v>1</v>
      </c>
      <c r="F601" s="26">
        <v>5</v>
      </c>
      <c r="G601" s="26" t="b">
        <v>0</v>
      </c>
      <c r="H601" s="26">
        <v>5</v>
      </c>
      <c r="I601" s="26">
        <v>2</v>
      </c>
      <c r="J601" s="26">
        <v>0.18</v>
      </c>
      <c r="K601" s="26">
        <v>0.19700000000000001</v>
      </c>
      <c r="L601" s="26">
        <v>0.8</v>
      </c>
      <c r="M601">
        <v>0.1045</v>
      </c>
      <c r="N601" s="26">
        <v>0</v>
      </c>
      <c r="O601" s="26">
        <v>4</v>
      </c>
      <c r="P601" s="26">
        <v>4</v>
      </c>
      <c r="Q601" s="34" t="str">
        <f t="shared" si="27"/>
        <v>Cloudy</v>
      </c>
      <c r="R601" s="41" t="str">
        <f>IF(I601=1,"Normal",IF(I601=2,"Yellow Alert",IF(I601=3,"Orange Alert",IF(I601=4,"Red Alert"))))</f>
        <v>Yellow Alert</v>
      </c>
      <c r="S601" s="60">
        <f t="shared" si="28"/>
        <v>28</v>
      </c>
      <c r="T601" s="60">
        <f>MONTH(dataset_1!B:B)</f>
        <v>1</v>
      </c>
      <c r="U601" s="60">
        <f t="shared" si="29"/>
        <v>2011</v>
      </c>
      <c r="V601" s="59" t="str">
        <f>TEXT(F601/24,"H AM/PM")</f>
        <v>5 AM</v>
      </c>
      <c r="W601" s="59" t="str">
        <f>IF(H601=6,"Saturday",IF(H601=0,"Sunday",IF(H601=1,"Monday",IF(H601=2,"Tuesday",IF(H601=3,"Wednesday",IF(H601=4,"Thursday",IF(H601=5,"Friday")))))))</f>
        <v>Friday</v>
      </c>
      <c r="X601" s="59" t="str">
        <f>IF(G601=FALSE,"Working day", IF(G601=TRUE,"Holiday"))</f>
        <v>Working day</v>
      </c>
    </row>
    <row r="602" spans="1:24" x14ac:dyDescent="0.25">
      <c r="A602" s="32">
        <v>601</v>
      </c>
      <c r="B602" s="33">
        <v>40571</v>
      </c>
      <c r="C602" s="26">
        <v>1</v>
      </c>
      <c r="D602" s="26">
        <v>0</v>
      </c>
      <c r="E602" s="26">
        <v>1</v>
      </c>
      <c r="F602" s="26">
        <v>6</v>
      </c>
      <c r="G602" s="26" t="b">
        <v>0</v>
      </c>
      <c r="H602" s="26">
        <v>5</v>
      </c>
      <c r="I602" s="26">
        <v>2</v>
      </c>
      <c r="J602" s="26">
        <v>0.18</v>
      </c>
      <c r="K602" s="26">
        <v>0.19700000000000001</v>
      </c>
      <c r="L602" s="26">
        <v>0.8</v>
      </c>
      <c r="M602">
        <v>0.1343</v>
      </c>
      <c r="N602" s="26">
        <v>0</v>
      </c>
      <c r="O602" s="26">
        <v>16</v>
      </c>
      <c r="P602" s="26">
        <v>16</v>
      </c>
      <c r="Q602" s="34" t="str">
        <f t="shared" si="27"/>
        <v>Cloudy</v>
      </c>
      <c r="R602" s="41" t="str">
        <f>IF(I602=1,"Normal",IF(I602=2,"Yellow Alert",IF(I602=3,"Orange Alert",IF(I602=4,"Red Alert"))))</f>
        <v>Yellow Alert</v>
      </c>
      <c r="S602" s="60">
        <f t="shared" si="28"/>
        <v>28</v>
      </c>
      <c r="T602" s="60">
        <f>MONTH(dataset_1!B:B)</f>
        <v>1</v>
      </c>
      <c r="U602" s="60">
        <f t="shared" si="29"/>
        <v>2011</v>
      </c>
      <c r="V602" s="59" t="str">
        <f>TEXT(F602/24,"H AM/PM")</f>
        <v>6 AM</v>
      </c>
      <c r="W602" s="59" t="str">
        <f>IF(H602=6,"Saturday",IF(H602=0,"Sunday",IF(H602=1,"Monday",IF(H602=2,"Tuesday",IF(H602=3,"Wednesday",IF(H602=4,"Thursday",IF(H602=5,"Friday")))))))</f>
        <v>Friday</v>
      </c>
      <c r="X602" s="59" t="str">
        <f>IF(G602=FALSE,"Working day", IF(G602=TRUE,"Holiday"))</f>
        <v>Working day</v>
      </c>
    </row>
    <row r="603" spans="1:24" x14ac:dyDescent="0.25">
      <c r="A603" s="32">
        <v>602</v>
      </c>
      <c r="B603" s="33">
        <v>40571</v>
      </c>
      <c r="C603" s="26">
        <v>1</v>
      </c>
      <c r="D603" s="26">
        <v>0</v>
      </c>
      <c r="E603" s="26">
        <v>1</v>
      </c>
      <c r="F603" s="26">
        <v>7</v>
      </c>
      <c r="G603" s="26" t="b">
        <v>0</v>
      </c>
      <c r="H603" s="26">
        <v>5</v>
      </c>
      <c r="I603" s="26">
        <v>2</v>
      </c>
      <c r="J603" s="26">
        <v>0.16</v>
      </c>
      <c r="K603" s="26">
        <v>0.19700000000000001</v>
      </c>
      <c r="L603" s="26">
        <v>0.86</v>
      </c>
      <c r="M603">
        <v>8.9599999999999999E-2</v>
      </c>
      <c r="N603" s="26">
        <v>2</v>
      </c>
      <c r="O603" s="26">
        <v>58</v>
      </c>
      <c r="P603" s="26">
        <v>60</v>
      </c>
      <c r="Q603" s="34" t="str">
        <f t="shared" si="27"/>
        <v>Cloudy</v>
      </c>
      <c r="R603" s="41" t="str">
        <f>IF(I603=1,"Normal",IF(I603=2,"Yellow Alert",IF(I603=3,"Orange Alert",IF(I603=4,"Red Alert"))))</f>
        <v>Yellow Alert</v>
      </c>
      <c r="S603" s="60">
        <f t="shared" si="28"/>
        <v>28</v>
      </c>
      <c r="T603" s="60">
        <f>MONTH(dataset_1!B:B)</f>
        <v>1</v>
      </c>
      <c r="U603" s="60">
        <f t="shared" si="29"/>
        <v>2011</v>
      </c>
      <c r="V603" s="59" t="str">
        <f>TEXT(F603/24,"H AM/PM")</f>
        <v>7 AM</v>
      </c>
      <c r="W603" s="59" t="str">
        <f>IF(H603=6,"Saturday",IF(H603=0,"Sunday",IF(H603=1,"Monday",IF(H603=2,"Tuesday",IF(H603=3,"Wednesday",IF(H603=4,"Thursday",IF(H603=5,"Friday")))))))</f>
        <v>Friday</v>
      </c>
      <c r="X603" s="59" t="str">
        <f>IF(G603=FALSE,"Working day", IF(G603=TRUE,"Holiday"))</f>
        <v>Working day</v>
      </c>
    </row>
    <row r="604" spans="1:24" x14ac:dyDescent="0.25">
      <c r="A604" s="32">
        <v>603</v>
      </c>
      <c r="B604" s="33">
        <v>40571</v>
      </c>
      <c r="C604" s="26">
        <v>1</v>
      </c>
      <c r="D604" s="26">
        <v>0</v>
      </c>
      <c r="E604" s="26">
        <v>1</v>
      </c>
      <c r="F604" s="26">
        <v>8</v>
      </c>
      <c r="G604" s="26" t="b">
        <v>0</v>
      </c>
      <c r="H604" s="26">
        <v>5</v>
      </c>
      <c r="I604" s="26">
        <v>2</v>
      </c>
      <c r="J604" s="26">
        <v>0.16</v>
      </c>
      <c r="K604" s="26">
        <v>0.21210000000000001</v>
      </c>
      <c r="L604" s="26">
        <v>0.86</v>
      </c>
      <c r="M604">
        <v>8.9599999999999999E-2</v>
      </c>
      <c r="N604" s="26">
        <v>2</v>
      </c>
      <c r="O604" s="26">
        <v>155</v>
      </c>
      <c r="P604" s="26">
        <v>157</v>
      </c>
      <c r="Q604" s="34" t="str">
        <f t="shared" si="27"/>
        <v>Cloudy</v>
      </c>
      <c r="R604" s="41" t="str">
        <f>IF(I604=1,"Normal",IF(I604=2,"Yellow Alert",IF(I604=3,"Orange Alert",IF(I604=4,"Red Alert"))))</f>
        <v>Yellow Alert</v>
      </c>
      <c r="S604" s="60">
        <f t="shared" si="28"/>
        <v>28</v>
      </c>
      <c r="T604" s="60">
        <f>MONTH(dataset_1!B:B)</f>
        <v>1</v>
      </c>
      <c r="U604" s="60">
        <f t="shared" si="29"/>
        <v>2011</v>
      </c>
      <c r="V604" s="59" t="str">
        <f>TEXT(F604/24,"H AM/PM")</f>
        <v>8 AM</v>
      </c>
      <c r="W604" s="59" t="str">
        <f>IF(H604=6,"Saturday",IF(H604=0,"Sunday",IF(H604=1,"Monday",IF(H604=2,"Tuesday",IF(H604=3,"Wednesday",IF(H604=4,"Thursday",IF(H604=5,"Friday")))))))</f>
        <v>Friday</v>
      </c>
      <c r="X604" s="59" t="str">
        <f>IF(G604=FALSE,"Working day", IF(G604=TRUE,"Holiday"))</f>
        <v>Working day</v>
      </c>
    </row>
    <row r="605" spans="1:24" x14ac:dyDescent="0.25">
      <c r="A605" s="32">
        <v>604</v>
      </c>
      <c r="B605" s="33">
        <v>40571</v>
      </c>
      <c r="C605" s="26">
        <v>1</v>
      </c>
      <c r="D605" s="26">
        <v>0</v>
      </c>
      <c r="E605" s="26">
        <v>1</v>
      </c>
      <c r="F605" s="26">
        <v>9</v>
      </c>
      <c r="G605" s="26" t="b">
        <v>0</v>
      </c>
      <c r="H605" s="26">
        <v>5</v>
      </c>
      <c r="I605" s="26">
        <v>3</v>
      </c>
      <c r="J605" s="26">
        <v>0.18</v>
      </c>
      <c r="K605" s="26">
        <v>0.21210000000000001</v>
      </c>
      <c r="L605" s="26">
        <v>0.86</v>
      </c>
      <c r="M605">
        <v>8.9599999999999999E-2</v>
      </c>
      <c r="N605" s="26">
        <v>6</v>
      </c>
      <c r="O605" s="26">
        <v>95</v>
      </c>
      <c r="P605" s="26">
        <v>101</v>
      </c>
      <c r="Q605" s="34" t="str">
        <f t="shared" si="27"/>
        <v>Light Rain</v>
      </c>
      <c r="R605" s="41" t="str">
        <f>IF(I605=1,"Normal",IF(I605=2,"Yellow Alert",IF(I605=3,"Orange Alert",IF(I605=4,"Red Alert"))))</f>
        <v>Orange Alert</v>
      </c>
      <c r="S605" s="60">
        <f t="shared" si="28"/>
        <v>28</v>
      </c>
      <c r="T605" s="60">
        <f>MONTH(dataset_1!B:B)</f>
        <v>1</v>
      </c>
      <c r="U605" s="60">
        <f t="shared" si="29"/>
        <v>2011</v>
      </c>
      <c r="V605" s="59" t="str">
        <f>TEXT(F605/24,"H AM/PM")</f>
        <v>9 AM</v>
      </c>
      <c r="W605" s="59" t="str">
        <f>IF(H605=6,"Saturday",IF(H605=0,"Sunday",IF(H605=1,"Monday",IF(H605=2,"Tuesday",IF(H605=3,"Wednesday",IF(H605=4,"Thursday",IF(H605=5,"Friday")))))))</f>
        <v>Friday</v>
      </c>
      <c r="X605" s="59" t="str">
        <f>IF(G605=FALSE,"Working day", IF(G605=TRUE,"Holiday"))</f>
        <v>Working day</v>
      </c>
    </row>
    <row r="606" spans="1:24" x14ac:dyDescent="0.25">
      <c r="A606" s="32">
        <v>605</v>
      </c>
      <c r="B606" s="33">
        <v>40571</v>
      </c>
      <c r="C606" s="26">
        <v>1</v>
      </c>
      <c r="D606" s="26">
        <v>0</v>
      </c>
      <c r="E606" s="26">
        <v>1</v>
      </c>
      <c r="F606" s="26">
        <v>10</v>
      </c>
      <c r="G606" s="26" t="b">
        <v>0</v>
      </c>
      <c r="H606" s="26">
        <v>5</v>
      </c>
      <c r="I606" s="26">
        <v>3</v>
      </c>
      <c r="J606" s="26">
        <v>0.18</v>
      </c>
      <c r="K606" s="26">
        <v>0.21210000000000001</v>
      </c>
      <c r="L606" s="26">
        <v>0.86</v>
      </c>
      <c r="M606">
        <v>0.1045</v>
      </c>
      <c r="N606" s="26">
        <v>0</v>
      </c>
      <c r="O606" s="26">
        <v>49</v>
      </c>
      <c r="P606" s="26">
        <v>49</v>
      </c>
      <c r="Q606" s="34" t="str">
        <f t="shared" si="27"/>
        <v>Light Rain</v>
      </c>
      <c r="R606" s="41" t="str">
        <f>IF(I606=1,"Normal",IF(I606=2,"Yellow Alert",IF(I606=3,"Orange Alert",IF(I606=4,"Red Alert"))))</f>
        <v>Orange Alert</v>
      </c>
      <c r="S606" s="60">
        <f t="shared" si="28"/>
        <v>28</v>
      </c>
      <c r="T606" s="60">
        <f>MONTH(dataset_1!B:B)</f>
        <v>1</v>
      </c>
      <c r="U606" s="60">
        <f t="shared" si="29"/>
        <v>2011</v>
      </c>
      <c r="V606" s="59" t="str">
        <f>TEXT(F606/24,"H AM/PM")</f>
        <v>10 AM</v>
      </c>
      <c r="W606" s="59" t="str">
        <f>IF(H606=6,"Saturday",IF(H606=0,"Sunday",IF(H606=1,"Monday",IF(H606=2,"Tuesday",IF(H606=3,"Wednesday",IF(H606=4,"Thursday",IF(H606=5,"Friday")))))))</f>
        <v>Friday</v>
      </c>
      <c r="X606" s="59" t="str">
        <f>IF(G606=FALSE,"Working day", IF(G606=TRUE,"Holiday"))</f>
        <v>Working day</v>
      </c>
    </row>
    <row r="607" spans="1:24" x14ac:dyDescent="0.25">
      <c r="A607" s="32">
        <v>606</v>
      </c>
      <c r="B607" s="33">
        <v>40571</v>
      </c>
      <c r="C607" s="26">
        <v>1</v>
      </c>
      <c r="D607" s="26">
        <v>0</v>
      </c>
      <c r="E607" s="26">
        <v>1</v>
      </c>
      <c r="F607" s="26">
        <v>11</v>
      </c>
      <c r="G607" s="26" t="b">
        <v>0</v>
      </c>
      <c r="H607" s="26">
        <v>5</v>
      </c>
      <c r="I607" s="26">
        <v>3</v>
      </c>
      <c r="J607" s="26">
        <v>0.18</v>
      </c>
      <c r="K607" s="26">
        <v>0.21210000000000001</v>
      </c>
      <c r="L607" s="26">
        <v>0.93</v>
      </c>
      <c r="M607">
        <v>0.1045</v>
      </c>
      <c r="N607" s="26">
        <v>0</v>
      </c>
      <c r="O607" s="26">
        <v>30</v>
      </c>
      <c r="P607" s="26">
        <v>30</v>
      </c>
      <c r="Q607" s="34" t="str">
        <f t="shared" si="27"/>
        <v>Light Rain</v>
      </c>
      <c r="R607" s="41" t="str">
        <f>IF(I607=1,"Normal",IF(I607=2,"Yellow Alert",IF(I607=3,"Orange Alert",IF(I607=4,"Red Alert"))))</f>
        <v>Orange Alert</v>
      </c>
      <c r="S607" s="60">
        <f t="shared" si="28"/>
        <v>28</v>
      </c>
      <c r="T607" s="60">
        <f>MONTH(dataset_1!B:B)</f>
        <v>1</v>
      </c>
      <c r="U607" s="60">
        <f t="shared" si="29"/>
        <v>2011</v>
      </c>
      <c r="V607" s="59" t="str">
        <f>TEXT(F607/24,"H AM/PM")</f>
        <v>11 AM</v>
      </c>
      <c r="W607" s="59" t="str">
        <f>IF(H607=6,"Saturday",IF(H607=0,"Sunday",IF(H607=1,"Monday",IF(H607=2,"Tuesday",IF(H607=3,"Wednesday",IF(H607=4,"Thursday",IF(H607=5,"Friday")))))))</f>
        <v>Friday</v>
      </c>
      <c r="X607" s="59" t="str">
        <f>IF(G607=FALSE,"Working day", IF(G607=TRUE,"Holiday"))</f>
        <v>Working day</v>
      </c>
    </row>
    <row r="608" spans="1:24" x14ac:dyDescent="0.25">
      <c r="A608" s="32">
        <v>607</v>
      </c>
      <c r="B608" s="33">
        <v>40571</v>
      </c>
      <c r="C608" s="26">
        <v>1</v>
      </c>
      <c r="D608" s="26">
        <v>0</v>
      </c>
      <c r="E608" s="26">
        <v>1</v>
      </c>
      <c r="F608" s="26">
        <v>12</v>
      </c>
      <c r="G608" s="26" t="b">
        <v>0</v>
      </c>
      <c r="H608" s="26">
        <v>5</v>
      </c>
      <c r="I608" s="26">
        <v>3</v>
      </c>
      <c r="J608" s="26">
        <v>0.18</v>
      </c>
      <c r="K608" s="26">
        <v>0.21210000000000001</v>
      </c>
      <c r="L608" s="26">
        <v>0.93</v>
      </c>
      <c r="M608">
        <v>0.1045</v>
      </c>
      <c r="N608" s="26">
        <v>1</v>
      </c>
      <c r="O608" s="26">
        <v>28</v>
      </c>
      <c r="P608" s="26">
        <v>29</v>
      </c>
      <c r="Q608" s="34" t="str">
        <f t="shared" si="27"/>
        <v>Light Rain</v>
      </c>
      <c r="R608" s="41" t="str">
        <f>IF(I608=1,"Normal",IF(I608=2,"Yellow Alert",IF(I608=3,"Orange Alert",IF(I608=4,"Red Alert"))))</f>
        <v>Orange Alert</v>
      </c>
      <c r="S608" s="60">
        <f t="shared" si="28"/>
        <v>28</v>
      </c>
      <c r="T608" s="60">
        <f>MONTH(dataset_1!B:B)</f>
        <v>1</v>
      </c>
      <c r="U608" s="60">
        <f t="shared" si="29"/>
        <v>2011</v>
      </c>
      <c r="V608" s="59" t="str">
        <f>TEXT(F608/24,"H AM/PM")</f>
        <v>12 PM</v>
      </c>
      <c r="W608" s="59" t="str">
        <f>IF(H608=6,"Saturday",IF(H608=0,"Sunday",IF(H608=1,"Monday",IF(H608=2,"Tuesday",IF(H608=3,"Wednesday",IF(H608=4,"Thursday",IF(H608=5,"Friday")))))))</f>
        <v>Friday</v>
      </c>
      <c r="X608" s="59" t="str">
        <f>IF(G608=FALSE,"Working day", IF(G608=TRUE,"Holiday"))</f>
        <v>Working day</v>
      </c>
    </row>
    <row r="609" spans="1:24" x14ac:dyDescent="0.25">
      <c r="A609" s="32">
        <v>608</v>
      </c>
      <c r="B609" s="33">
        <v>40571</v>
      </c>
      <c r="C609" s="26">
        <v>1</v>
      </c>
      <c r="D609" s="26">
        <v>0</v>
      </c>
      <c r="E609" s="26">
        <v>1</v>
      </c>
      <c r="F609" s="26">
        <v>13</v>
      </c>
      <c r="G609" s="26" t="b">
        <v>0</v>
      </c>
      <c r="H609" s="26">
        <v>5</v>
      </c>
      <c r="I609" s="26">
        <v>3</v>
      </c>
      <c r="J609" s="26">
        <v>0.18</v>
      </c>
      <c r="K609" s="26">
        <v>0.2727</v>
      </c>
      <c r="L609" s="26">
        <v>0.93</v>
      </c>
      <c r="M609">
        <v>0.1045</v>
      </c>
      <c r="N609" s="26">
        <v>0</v>
      </c>
      <c r="O609" s="26">
        <v>31</v>
      </c>
      <c r="P609" s="26">
        <v>31</v>
      </c>
      <c r="Q609" s="34" t="str">
        <f t="shared" si="27"/>
        <v>Light Rain</v>
      </c>
      <c r="R609" s="41" t="str">
        <f>IF(I609=1,"Normal",IF(I609=2,"Yellow Alert",IF(I609=3,"Orange Alert",IF(I609=4,"Red Alert"))))</f>
        <v>Orange Alert</v>
      </c>
      <c r="S609" s="60">
        <f t="shared" si="28"/>
        <v>28</v>
      </c>
      <c r="T609" s="60">
        <f>MONTH(dataset_1!B:B)</f>
        <v>1</v>
      </c>
      <c r="U609" s="60">
        <f t="shared" si="29"/>
        <v>2011</v>
      </c>
      <c r="V609" s="59" t="str">
        <f>TEXT(F609/24,"H AM/PM")</f>
        <v>1 PM</v>
      </c>
      <c r="W609" s="59" t="str">
        <f>IF(H609=6,"Saturday",IF(H609=0,"Sunday",IF(H609=1,"Monday",IF(H609=2,"Tuesday",IF(H609=3,"Wednesday",IF(H609=4,"Thursday",IF(H609=5,"Friday")))))))</f>
        <v>Friday</v>
      </c>
      <c r="X609" s="59" t="str">
        <f>IF(G609=FALSE,"Working day", IF(G609=TRUE,"Holiday"))</f>
        <v>Working day</v>
      </c>
    </row>
    <row r="610" spans="1:24" x14ac:dyDescent="0.25">
      <c r="A610" s="32">
        <v>609</v>
      </c>
      <c r="B610" s="33">
        <v>40571</v>
      </c>
      <c r="C610" s="26">
        <v>1</v>
      </c>
      <c r="D610" s="26">
        <v>0</v>
      </c>
      <c r="E610" s="26">
        <v>1</v>
      </c>
      <c r="F610" s="26">
        <v>14</v>
      </c>
      <c r="G610" s="26" t="b">
        <v>0</v>
      </c>
      <c r="H610" s="26">
        <v>5</v>
      </c>
      <c r="I610" s="26">
        <v>3</v>
      </c>
      <c r="J610" s="26">
        <v>0.22</v>
      </c>
      <c r="K610" s="26">
        <v>0.2576</v>
      </c>
      <c r="L610" s="26">
        <v>0.8</v>
      </c>
      <c r="M610">
        <v>0</v>
      </c>
      <c r="N610" s="26">
        <v>2</v>
      </c>
      <c r="O610" s="26">
        <v>36</v>
      </c>
      <c r="P610" s="26">
        <v>38</v>
      </c>
      <c r="Q610" s="34" t="str">
        <f t="shared" si="27"/>
        <v>Light Rain</v>
      </c>
      <c r="R610" s="41" t="str">
        <f>IF(I610=1,"Normal",IF(I610=2,"Yellow Alert",IF(I610=3,"Orange Alert",IF(I610=4,"Red Alert"))))</f>
        <v>Orange Alert</v>
      </c>
      <c r="S610" s="60">
        <f t="shared" si="28"/>
        <v>28</v>
      </c>
      <c r="T610" s="60">
        <f>MONTH(dataset_1!B:B)</f>
        <v>1</v>
      </c>
      <c r="U610" s="60">
        <f t="shared" si="29"/>
        <v>2011</v>
      </c>
      <c r="V610" s="59" t="str">
        <f>TEXT(F610/24,"H AM/PM")</f>
        <v>2 PM</v>
      </c>
      <c r="W610" s="59" t="str">
        <f>IF(H610=6,"Saturday",IF(H610=0,"Sunday",IF(H610=1,"Monday",IF(H610=2,"Tuesday",IF(H610=3,"Wednesday",IF(H610=4,"Thursday",IF(H610=5,"Friday")))))))</f>
        <v>Friday</v>
      </c>
      <c r="X610" s="59" t="str">
        <f>IF(G610=FALSE,"Working day", IF(G610=TRUE,"Holiday"))</f>
        <v>Working day</v>
      </c>
    </row>
    <row r="611" spans="1:24" x14ac:dyDescent="0.25">
      <c r="A611" s="32">
        <v>610</v>
      </c>
      <c r="B611" s="33">
        <v>40571</v>
      </c>
      <c r="C611" s="26">
        <v>1</v>
      </c>
      <c r="D611" s="26">
        <v>0</v>
      </c>
      <c r="E611" s="26">
        <v>1</v>
      </c>
      <c r="F611" s="26">
        <v>15</v>
      </c>
      <c r="G611" s="26" t="b">
        <v>0</v>
      </c>
      <c r="H611" s="26">
        <v>5</v>
      </c>
      <c r="I611" s="26">
        <v>2</v>
      </c>
      <c r="J611" s="26">
        <v>0.2</v>
      </c>
      <c r="K611" s="26">
        <v>0.19700000000000001</v>
      </c>
      <c r="L611" s="26">
        <v>0.86</v>
      </c>
      <c r="M611">
        <v>0</v>
      </c>
      <c r="N611" s="26">
        <v>1</v>
      </c>
      <c r="O611" s="26">
        <v>40</v>
      </c>
      <c r="P611" s="26">
        <v>41</v>
      </c>
      <c r="Q611" s="34" t="str">
        <f t="shared" si="27"/>
        <v>Cloudy</v>
      </c>
      <c r="R611" s="41" t="str">
        <f>IF(I611=1,"Normal",IF(I611=2,"Yellow Alert",IF(I611=3,"Orange Alert",IF(I611=4,"Red Alert"))))</f>
        <v>Yellow Alert</v>
      </c>
      <c r="S611" s="60">
        <f t="shared" si="28"/>
        <v>28</v>
      </c>
      <c r="T611" s="60">
        <f>MONTH(dataset_1!B:B)</f>
        <v>1</v>
      </c>
      <c r="U611" s="60">
        <f t="shared" si="29"/>
        <v>2011</v>
      </c>
      <c r="V611" s="59" t="str">
        <f>TEXT(F611/24,"H AM/PM")</f>
        <v>3 PM</v>
      </c>
      <c r="W611" s="59" t="str">
        <f>IF(H611=6,"Saturday",IF(H611=0,"Sunday",IF(H611=1,"Monday",IF(H611=2,"Tuesday",IF(H611=3,"Wednesday",IF(H611=4,"Thursday",IF(H611=5,"Friday")))))))</f>
        <v>Friday</v>
      </c>
      <c r="X611" s="59" t="str">
        <f>IF(G611=FALSE,"Working day", IF(G611=TRUE,"Holiday"))</f>
        <v>Working day</v>
      </c>
    </row>
    <row r="612" spans="1:24" x14ac:dyDescent="0.25">
      <c r="A612" s="32">
        <v>611</v>
      </c>
      <c r="B612" s="33">
        <v>40571</v>
      </c>
      <c r="C612" s="26">
        <v>1</v>
      </c>
      <c r="D612" s="26">
        <v>0</v>
      </c>
      <c r="E612" s="26">
        <v>1</v>
      </c>
      <c r="F612" s="26">
        <v>16</v>
      </c>
      <c r="G612" s="26" t="b">
        <v>0</v>
      </c>
      <c r="H612" s="26">
        <v>5</v>
      </c>
      <c r="I612" s="26">
        <v>1</v>
      </c>
      <c r="J612" s="26">
        <v>0.22</v>
      </c>
      <c r="K612" s="26">
        <v>0.2727</v>
      </c>
      <c r="L612" s="26">
        <v>0.8</v>
      </c>
      <c r="M612">
        <v>0</v>
      </c>
      <c r="N612" s="26">
        <v>10</v>
      </c>
      <c r="O612" s="26">
        <v>70</v>
      </c>
      <c r="P612" s="26">
        <v>80</v>
      </c>
      <c r="Q612" s="34" t="str">
        <f t="shared" si="27"/>
        <v>Clear</v>
      </c>
      <c r="R612" s="41" t="str">
        <f>IF(I612=1,"Normal",IF(I612=2,"Yellow Alert",IF(I612=3,"Orange Alert",IF(I612=4,"Red Alert"))))</f>
        <v>Normal</v>
      </c>
      <c r="S612" s="60">
        <f t="shared" si="28"/>
        <v>28</v>
      </c>
      <c r="T612" s="61">
        <f>MONTH(dataset_1!B:B)</f>
        <v>1</v>
      </c>
      <c r="U612" s="61">
        <f t="shared" si="29"/>
        <v>2011</v>
      </c>
      <c r="V612" s="59" t="str">
        <f>TEXT(F612/24,"H AM/PM")</f>
        <v>4 PM</v>
      </c>
      <c r="W612" s="59" t="str">
        <f>IF(H612=6,"Saturday",IF(H612=0,"Sunday",IF(H612=1,"Monday",IF(H612=2,"Tuesday",IF(H612=3,"Wednesday",IF(H612=4,"Thursday",IF(H612=5,"Friday")))))))</f>
        <v>Friday</v>
      </c>
      <c r="X612" s="59" t="str">
        <f>IF(G612=FALSE,"Working day", IF(G612=TRUE,"Holiday"))</f>
        <v>Working day</v>
      </c>
    </row>
    <row r="613" spans="1:24" x14ac:dyDescent="0.25">
      <c r="A613" s="32">
        <v>612</v>
      </c>
      <c r="B613" s="33">
        <v>40571</v>
      </c>
      <c r="C613" s="26">
        <v>1</v>
      </c>
      <c r="D613" s="26">
        <v>0</v>
      </c>
      <c r="E613" s="26">
        <v>1</v>
      </c>
      <c r="F613" s="26">
        <v>17</v>
      </c>
      <c r="G613" s="26" t="b">
        <v>0</v>
      </c>
      <c r="H613" s="26">
        <v>5</v>
      </c>
      <c r="I613" s="26">
        <v>1</v>
      </c>
      <c r="J613" s="26">
        <v>0.24</v>
      </c>
      <c r="K613" s="26">
        <v>0.2424</v>
      </c>
      <c r="L613" s="26">
        <v>0.75</v>
      </c>
      <c r="M613">
        <v>0.1343</v>
      </c>
      <c r="N613" s="26">
        <v>2</v>
      </c>
      <c r="O613" s="26">
        <v>147</v>
      </c>
      <c r="P613" s="26">
        <v>149</v>
      </c>
      <c r="Q613" s="34" t="str">
        <f t="shared" si="27"/>
        <v>Clear</v>
      </c>
      <c r="R613" s="41" t="str">
        <f>IF(I613=1,"Normal",IF(I613=2,"Yellow Alert",IF(I613=3,"Orange Alert",IF(I613=4,"Red Alert"))))</f>
        <v>Normal</v>
      </c>
      <c r="S613" s="60">
        <f t="shared" si="28"/>
        <v>28</v>
      </c>
      <c r="T613" s="61">
        <f>MONTH(dataset_1!B:B)</f>
        <v>1</v>
      </c>
      <c r="U613" s="61">
        <f t="shared" si="29"/>
        <v>2011</v>
      </c>
      <c r="V613" s="59" t="str">
        <f>TEXT(F613/24,"H AM/PM")</f>
        <v>5 PM</v>
      </c>
      <c r="W613" s="59" t="str">
        <f>IF(H613=6,"Saturday",IF(H613=0,"Sunday",IF(H613=1,"Monday",IF(H613=2,"Tuesday",IF(H613=3,"Wednesday",IF(H613=4,"Thursday",IF(H613=5,"Friday")))))))</f>
        <v>Friday</v>
      </c>
      <c r="X613" s="59" t="str">
        <f>IF(G613=FALSE,"Working day", IF(G613=TRUE,"Holiday"))</f>
        <v>Working day</v>
      </c>
    </row>
    <row r="614" spans="1:24" x14ac:dyDescent="0.25">
      <c r="A614" s="32">
        <v>613</v>
      </c>
      <c r="B614" s="33">
        <v>40571</v>
      </c>
      <c r="C614" s="26">
        <v>1</v>
      </c>
      <c r="D614" s="26">
        <v>0</v>
      </c>
      <c r="E614" s="26">
        <v>1</v>
      </c>
      <c r="F614" s="26">
        <v>18</v>
      </c>
      <c r="G614" s="26" t="b">
        <v>0</v>
      </c>
      <c r="H614" s="26">
        <v>5</v>
      </c>
      <c r="I614" s="26">
        <v>1</v>
      </c>
      <c r="J614" s="26">
        <v>0.24</v>
      </c>
      <c r="K614" s="26">
        <v>0.2273</v>
      </c>
      <c r="L614" s="26">
        <v>0.75</v>
      </c>
      <c r="M614">
        <v>0.19400000000000001</v>
      </c>
      <c r="N614" s="26">
        <v>2</v>
      </c>
      <c r="O614" s="26">
        <v>107</v>
      </c>
      <c r="P614" s="26">
        <v>109</v>
      </c>
      <c r="Q614" s="34" t="str">
        <f t="shared" si="27"/>
        <v>Clear</v>
      </c>
      <c r="R614" s="41" t="str">
        <f>IF(I614=1,"Normal",IF(I614=2,"Yellow Alert",IF(I614=3,"Orange Alert",IF(I614=4,"Red Alert"))))</f>
        <v>Normal</v>
      </c>
      <c r="S614" s="60">
        <f t="shared" si="28"/>
        <v>28</v>
      </c>
      <c r="T614" s="61">
        <f>MONTH(dataset_1!B:B)</f>
        <v>1</v>
      </c>
      <c r="U614" s="61">
        <f t="shared" si="29"/>
        <v>2011</v>
      </c>
      <c r="V614" s="59" t="str">
        <f>TEXT(F614/24,"H AM/PM")</f>
        <v>6 PM</v>
      </c>
      <c r="W614" s="59" t="str">
        <f>IF(H614=6,"Saturday",IF(H614=0,"Sunday",IF(H614=1,"Monday",IF(H614=2,"Tuesday",IF(H614=3,"Wednesday",IF(H614=4,"Thursday",IF(H614=5,"Friday")))))))</f>
        <v>Friday</v>
      </c>
      <c r="X614" s="59" t="str">
        <f>IF(G614=FALSE,"Working day", IF(G614=TRUE,"Holiday"))</f>
        <v>Working day</v>
      </c>
    </row>
    <row r="615" spans="1:24" x14ac:dyDescent="0.25">
      <c r="A615" s="32">
        <v>614</v>
      </c>
      <c r="B615" s="33">
        <v>40571</v>
      </c>
      <c r="C615" s="26">
        <v>1</v>
      </c>
      <c r="D615" s="26">
        <v>0</v>
      </c>
      <c r="E615" s="26">
        <v>1</v>
      </c>
      <c r="F615" s="26">
        <v>19</v>
      </c>
      <c r="G615" s="26" t="b">
        <v>0</v>
      </c>
      <c r="H615" s="26">
        <v>5</v>
      </c>
      <c r="I615" s="26">
        <v>2</v>
      </c>
      <c r="J615" s="26">
        <v>0.24</v>
      </c>
      <c r="K615" s="26">
        <v>0.2424</v>
      </c>
      <c r="L615" s="26">
        <v>0.75</v>
      </c>
      <c r="M615">
        <v>0.1343</v>
      </c>
      <c r="N615" s="26">
        <v>5</v>
      </c>
      <c r="O615" s="26">
        <v>84</v>
      </c>
      <c r="P615" s="26">
        <v>89</v>
      </c>
      <c r="Q615" s="34" t="str">
        <f t="shared" si="27"/>
        <v>Cloudy</v>
      </c>
      <c r="R615" s="41" t="str">
        <f>IF(I615=1,"Normal",IF(I615=2,"Yellow Alert",IF(I615=3,"Orange Alert",IF(I615=4,"Red Alert"))))</f>
        <v>Yellow Alert</v>
      </c>
      <c r="S615" s="60">
        <f t="shared" si="28"/>
        <v>28</v>
      </c>
      <c r="T615" s="61">
        <f>MONTH(dataset_1!B:B)</f>
        <v>1</v>
      </c>
      <c r="U615" s="61">
        <f t="shared" si="29"/>
        <v>2011</v>
      </c>
      <c r="V615" s="59" t="str">
        <f>TEXT(F615/24,"H AM/PM")</f>
        <v>7 PM</v>
      </c>
      <c r="W615" s="59" t="str">
        <f>IF(H615=6,"Saturday",IF(H615=0,"Sunday",IF(H615=1,"Monday",IF(H615=2,"Tuesday",IF(H615=3,"Wednesday",IF(H615=4,"Thursday",IF(H615=5,"Friday")))))))</f>
        <v>Friday</v>
      </c>
      <c r="X615" s="59" t="str">
        <f>IF(G615=FALSE,"Working day", IF(G615=TRUE,"Holiday"))</f>
        <v>Working day</v>
      </c>
    </row>
    <row r="616" spans="1:24" x14ac:dyDescent="0.25">
      <c r="A616" s="32">
        <v>615</v>
      </c>
      <c r="B616" s="33">
        <v>40571</v>
      </c>
      <c r="C616" s="26">
        <v>1</v>
      </c>
      <c r="D616" s="26">
        <v>0</v>
      </c>
      <c r="E616" s="26">
        <v>1</v>
      </c>
      <c r="F616" s="26">
        <v>20</v>
      </c>
      <c r="G616" s="26" t="b">
        <v>0</v>
      </c>
      <c r="H616" s="26">
        <v>5</v>
      </c>
      <c r="I616" s="26">
        <v>2</v>
      </c>
      <c r="J616" s="26">
        <v>0.24</v>
      </c>
      <c r="K616" s="26">
        <v>0.2273</v>
      </c>
      <c r="L616" s="26">
        <v>0.7</v>
      </c>
      <c r="M616">
        <v>0.19400000000000001</v>
      </c>
      <c r="N616" s="26">
        <v>1</v>
      </c>
      <c r="O616" s="26">
        <v>61</v>
      </c>
      <c r="P616" s="26">
        <v>62</v>
      </c>
      <c r="Q616" s="34" t="str">
        <f t="shared" si="27"/>
        <v>Cloudy</v>
      </c>
      <c r="R616" s="41" t="str">
        <f>IF(I616=1,"Normal",IF(I616=2,"Yellow Alert",IF(I616=3,"Orange Alert",IF(I616=4,"Red Alert"))))</f>
        <v>Yellow Alert</v>
      </c>
      <c r="S616" s="60">
        <f t="shared" si="28"/>
        <v>28</v>
      </c>
      <c r="T616" s="61">
        <f>MONTH(dataset_1!B:B)</f>
        <v>1</v>
      </c>
      <c r="U616" s="61">
        <f t="shared" si="29"/>
        <v>2011</v>
      </c>
      <c r="V616" s="59" t="str">
        <f>TEXT(F616/24,"H AM/PM")</f>
        <v>8 PM</v>
      </c>
      <c r="W616" s="59" t="str">
        <f>IF(H616=6,"Saturday",IF(H616=0,"Sunday",IF(H616=1,"Monday",IF(H616=2,"Tuesday",IF(H616=3,"Wednesday",IF(H616=4,"Thursday",IF(H616=5,"Friday")))))))</f>
        <v>Friday</v>
      </c>
      <c r="X616" s="59" t="str">
        <f>IF(G616=FALSE,"Working day", IF(G616=TRUE,"Holiday"))</f>
        <v>Working day</v>
      </c>
    </row>
    <row r="617" spans="1:24" x14ac:dyDescent="0.25">
      <c r="A617" s="32">
        <v>616</v>
      </c>
      <c r="B617" s="33">
        <v>40571</v>
      </c>
      <c r="C617" s="26">
        <v>1</v>
      </c>
      <c r="D617" s="26">
        <v>0</v>
      </c>
      <c r="E617" s="26">
        <v>1</v>
      </c>
      <c r="F617" s="26">
        <v>21</v>
      </c>
      <c r="G617" s="26" t="b">
        <v>0</v>
      </c>
      <c r="H617" s="26">
        <v>5</v>
      </c>
      <c r="I617" s="26">
        <v>2</v>
      </c>
      <c r="J617" s="26">
        <v>0.22</v>
      </c>
      <c r="K617" s="26">
        <v>0.2273</v>
      </c>
      <c r="L617" s="26">
        <v>0.75</v>
      </c>
      <c r="M617">
        <v>0.1343</v>
      </c>
      <c r="N617" s="26">
        <v>1</v>
      </c>
      <c r="O617" s="26">
        <v>57</v>
      </c>
      <c r="P617" s="26">
        <v>58</v>
      </c>
      <c r="Q617" s="34" t="str">
        <f t="shared" si="27"/>
        <v>Cloudy</v>
      </c>
      <c r="R617" s="41" t="str">
        <f>IF(I617=1,"Normal",IF(I617=2,"Yellow Alert",IF(I617=3,"Orange Alert",IF(I617=4,"Red Alert"))))</f>
        <v>Yellow Alert</v>
      </c>
      <c r="S617" s="60">
        <f t="shared" si="28"/>
        <v>28</v>
      </c>
      <c r="T617" s="61">
        <f>MONTH(dataset_1!B:B)</f>
        <v>1</v>
      </c>
      <c r="U617" s="61">
        <f t="shared" si="29"/>
        <v>2011</v>
      </c>
      <c r="V617" s="59" t="str">
        <f>TEXT(F617/24,"H AM/PM")</f>
        <v>9 PM</v>
      </c>
      <c r="W617" s="59" t="str">
        <f>IF(H617=6,"Saturday",IF(H617=0,"Sunday",IF(H617=1,"Monday",IF(H617=2,"Tuesday",IF(H617=3,"Wednesday",IF(H617=4,"Thursday",IF(H617=5,"Friday")))))))</f>
        <v>Friday</v>
      </c>
      <c r="X617" s="59" t="str">
        <f>IF(G617=FALSE,"Working day", IF(G617=TRUE,"Holiday"))</f>
        <v>Working day</v>
      </c>
    </row>
    <row r="618" spans="1:24" x14ac:dyDescent="0.25">
      <c r="A618" s="32">
        <v>617</v>
      </c>
      <c r="B618" s="33">
        <v>40571</v>
      </c>
      <c r="C618" s="26">
        <v>1</v>
      </c>
      <c r="D618" s="26">
        <v>0</v>
      </c>
      <c r="E618" s="26">
        <v>1</v>
      </c>
      <c r="F618" s="26">
        <v>22</v>
      </c>
      <c r="G618" s="26" t="b">
        <v>0</v>
      </c>
      <c r="H618" s="26">
        <v>5</v>
      </c>
      <c r="I618" s="26">
        <v>1</v>
      </c>
      <c r="J618" s="26">
        <v>0.24</v>
      </c>
      <c r="K618" s="26">
        <v>0.21210000000000001</v>
      </c>
      <c r="L618" s="26">
        <v>0.65</v>
      </c>
      <c r="M618">
        <v>0.35820000000000002</v>
      </c>
      <c r="N618" s="26">
        <v>0</v>
      </c>
      <c r="O618" s="26">
        <v>26</v>
      </c>
      <c r="P618" s="26">
        <v>26</v>
      </c>
      <c r="Q618" s="34" t="str">
        <f t="shared" si="27"/>
        <v>Clear</v>
      </c>
      <c r="R618" s="41" t="str">
        <f>IF(I618=1,"Normal",IF(I618=2,"Yellow Alert",IF(I618=3,"Orange Alert",IF(I618=4,"Red Alert"))))</f>
        <v>Normal</v>
      </c>
      <c r="S618" s="60">
        <f t="shared" si="28"/>
        <v>28</v>
      </c>
      <c r="T618" s="61">
        <f>MONTH(dataset_1!B:B)</f>
        <v>1</v>
      </c>
      <c r="U618" s="61">
        <f t="shared" si="29"/>
        <v>2011</v>
      </c>
      <c r="V618" s="59" t="str">
        <f>TEXT(F618/24,"H AM/PM")</f>
        <v>10 PM</v>
      </c>
      <c r="W618" s="59" t="str">
        <f>IF(H618=6,"Saturday",IF(H618=0,"Sunday",IF(H618=1,"Monday",IF(H618=2,"Tuesday",IF(H618=3,"Wednesday",IF(H618=4,"Thursday",IF(H618=5,"Friday")))))))</f>
        <v>Friday</v>
      </c>
      <c r="X618" s="59" t="str">
        <f>IF(G618=FALSE,"Working day", IF(G618=TRUE,"Holiday"))</f>
        <v>Working day</v>
      </c>
    </row>
    <row r="619" spans="1:24" x14ac:dyDescent="0.25">
      <c r="A619" s="32">
        <v>618</v>
      </c>
      <c r="B619" s="33">
        <v>40571</v>
      </c>
      <c r="C619" s="26">
        <v>1</v>
      </c>
      <c r="D619" s="26">
        <v>0</v>
      </c>
      <c r="E619" s="26">
        <v>1</v>
      </c>
      <c r="F619" s="26">
        <v>23</v>
      </c>
      <c r="G619" s="26" t="b">
        <v>0</v>
      </c>
      <c r="H619" s="26">
        <v>5</v>
      </c>
      <c r="I619" s="26">
        <v>1</v>
      </c>
      <c r="J619" s="26">
        <v>0.24</v>
      </c>
      <c r="K619" s="26">
        <v>0.2273</v>
      </c>
      <c r="L619" s="26">
        <v>0.6</v>
      </c>
      <c r="M619">
        <v>0.22389999999999999</v>
      </c>
      <c r="N619" s="26">
        <v>1</v>
      </c>
      <c r="O619" s="26">
        <v>22</v>
      </c>
      <c r="P619" s="26">
        <v>23</v>
      </c>
      <c r="Q619" s="34" t="str">
        <f t="shared" si="27"/>
        <v>Clear</v>
      </c>
      <c r="R619" s="41" t="str">
        <f>IF(I619=1,"Normal",IF(I619=2,"Yellow Alert",IF(I619=3,"Orange Alert",IF(I619=4,"Red Alert"))))</f>
        <v>Normal</v>
      </c>
      <c r="S619" s="60">
        <f t="shared" si="28"/>
        <v>28</v>
      </c>
      <c r="T619" s="61">
        <f>MONTH(dataset_1!B:B)</f>
        <v>1</v>
      </c>
      <c r="U619" s="61">
        <f t="shared" si="29"/>
        <v>2011</v>
      </c>
      <c r="V619" s="59" t="str">
        <f>TEXT(F619/24,"H AM/PM")</f>
        <v>11 PM</v>
      </c>
      <c r="W619" s="59" t="str">
        <f>IF(H619=6,"Saturday",IF(H619=0,"Sunday",IF(H619=1,"Monday",IF(H619=2,"Tuesday",IF(H619=3,"Wednesday",IF(H619=4,"Thursday",IF(H619=5,"Friday")))))))</f>
        <v>Friday</v>
      </c>
      <c r="X619" s="59" t="str">
        <f>IF(G619=FALSE,"Working day", IF(G619=TRUE,"Holiday"))</f>
        <v>Working day</v>
      </c>
    </row>
    <row r="620" spans="1:24" x14ac:dyDescent="0.25">
      <c r="A620" s="32">
        <v>620</v>
      </c>
      <c r="B620" s="33">
        <v>40572</v>
      </c>
      <c r="C620" s="26">
        <v>1</v>
      </c>
      <c r="D620" s="26">
        <v>0</v>
      </c>
      <c r="E620" s="26">
        <v>1</v>
      </c>
      <c r="F620" s="26">
        <v>1</v>
      </c>
      <c r="G620" s="26" t="b">
        <v>0</v>
      </c>
      <c r="H620" s="26">
        <v>6</v>
      </c>
      <c r="I620" s="26">
        <v>1</v>
      </c>
      <c r="J620" s="26">
        <v>0.22</v>
      </c>
      <c r="K620" s="26">
        <v>0.2273</v>
      </c>
      <c r="L620" s="26">
        <v>0.64</v>
      </c>
      <c r="M620">
        <v>0.19400000000000001</v>
      </c>
      <c r="N620" s="26">
        <v>0</v>
      </c>
      <c r="O620" s="26">
        <v>20</v>
      </c>
      <c r="P620" s="26">
        <v>20</v>
      </c>
      <c r="Q620" s="34" t="str">
        <f t="shared" si="27"/>
        <v>Clear</v>
      </c>
      <c r="R620" s="41" t="str">
        <f>IF(I620=1,"Normal",IF(I620=2,"Yellow Alert",IF(I620=3,"Orange Alert",IF(I620=4,"Red Alert"))))</f>
        <v>Normal</v>
      </c>
      <c r="S620" s="60">
        <f t="shared" si="28"/>
        <v>29</v>
      </c>
      <c r="T620" s="61">
        <f>MONTH(dataset_1!B:B)</f>
        <v>1</v>
      </c>
      <c r="U620" s="61">
        <f t="shared" si="29"/>
        <v>2011</v>
      </c>
      <c r="V620" s="59" t="str">
        <f>TEXT(F620/24,"H AM/PM")</f>
        <v>1 AM</v>
      </c>
      <c r="W620" s="59" t="str">
        <f>IF(H620=6,"Saturday",IF(H620=0,"Sunday",IF(H620=1,"Monday",IF(H620=2,"Tuesday",IF(H620=3,"Wednesday",IF(H620=4,"Thursday",IF(H620=5,"Friday")))))))</f>
        <v>Saturday</v>
      </c>
      <c r="X620" s="59" t="str">
        <f>IF(G620=FALSE,"Working day", IF(G620=TRUE,"Holiday"))</f>
        <v>Working day</v>
      </c>
    </row>
    <row r="621" spans="1:24" x14ac:dyDescent="0.25">
      <c r="A621" s="32">
        <v>621</v>
      </c>
      <c r="B621" s="33">
        <v>40572</v>
      </c>
      <c r="C621" s="26">
        <v>1</v>
      </c>
      <c r="D621" s="26">
        <v>0</v>
      </c>
      <c r="E621" s="26">
        <v>1</v>
      </c>
      <c r="F621" s="26">
        <v>2</v>
      </c>
      <c r="G621" s="26" t="b">
        <v>0</v>
      </c>
      <c r="H621" s="26">
        <v>6</v>
      </c>
      <c r="I621" s="26">
        <v>1</v>
      </c>
      <c r="J621" s="26">
        <v>0.22</v>
      </c>
      <c r="K621" s="26">
        <v>0.2273</v>
      </c>
      <c r="L621" s="26">
        <v>0.64</v>
      </c>
      <c r="M621">
        <v>0.16420000000000001</v>
      </c>
      <c r="N621" s="26">
        <v>0</v>
      </c>
      <c r="O621" s="26">
        <v>15</v>
      </c>
      <c r="P621" s="26">
        <v>15</v>
      </c>
      <c r="Q621" s="34" t="str">
        <f t="shared" si="27"/>
        <v>Clear</v>
      </c>
      <c r="R621" s="41" t="str">
        <f>IF(I621=1,"Normal",IF(I621=2,"Yellow Alert",IF(I621=3,"Orange Alert",IF(I621=4,"Red Alert"))))</f>
        <v>Normal</v>
      </c>
      <c r="S621" s="60">
        <f t="shared" si="28"/>
        <v>29</v>
      </c>
      <c r="T621" s="61">
        <f>MONTH(dataset_1!B:B)</f>
        <v>1</v>
      </c>
      <c r="U621" s="61">
        <f t="shared" si="29"/>
        <v>2011</v>
      </c>
      <c r="V621" s="59" t="str">
        <f>TEXT(F621/24,"H AM/PM")</f>
        <v>2 AM</v>
      </c>
      <c r="W621" s="59" t="str">
        <f>IF(H621=6,"Saturday",IF(H621=0,"Sunday",IF(H621=1,"Monday",IF(H621=2,"Tuesday",IF(H621=3,"Wednesday",IF(H621=4,"Thursday",IF(H621=5,"Friday")))))))</f>
        <v>Saturday</v>
      </c>
      <c r="X621" s="59" t="str">
        <f>IF(G621=FALSE,"Working day", IF(G621=TRUE,"Holiday"))</f>
        <v>Working day</v>
      </c>
    </row>
    <row r="622" spans="1:24" x14ac:dyDescent="0.25">
      <c r="A622" s="32">
        <v>622</v>
      </c>
      <c r="B622" s="33">
        <v>40572</v>
      </c>
      <c r="C622" s="26">
        <v>1</v>
      </c>
      <c r="D622" s="26">
        <v>0</v>
      </c>
      <c r="E622" s="26">
        <v>1</v>
      </c>
      <c r="F622" s="26">
        <v>3</v>
      </c>
      <c r="G622" s="26" t="b">
        <v>0</v>
      </c>
      <c r="H622" s="26">
        <v>6</v>
      </c>
      <c r="I622" s="26">
        <v>1</v>
      </c>
      <c r="J622" s="26">
        <v>0.2</v>
      </c>
      <c r="K622" s="26">
        <v>0.21210000000000001</v>
      </c>
      <c r="L622" s="26">
        <v>0.64</v>
      </c>
      <c r="M622">
        <v>0.1343</v>
      </c>
      <c r="N622" s="26">
        <v>3</v>
      </c>
      <c r="O622" s="26">
        <v>5</v>
      </c>
      <c r="P622" s="26">
        <v>8</v>
      </c>
      <c r="Q622" s="34" t="str">
        <f t="shared" si="27"/>
        <v>Clear</v>
      </c>
      <c r="R622" s="41" t="str">
        <f>IF(I622=1,"Normal",IF(I622=2,"Yellow Alert",IF(I622=3,"Orange Alert",IF(I622=4,"Red Alert"))))</f>
        <v>Normal</v>
      </c>
      <c r="S622" s="60">
        <f t="shared" si="28"/>
        <v>29</v>
      </c>
      <c r="T622" s="61">
        <f>MONTH(dataset_1!B:B)</f>
        <v>1</v>
      </c>
      <c r="U622" s="61">
        <f t="shared" si="29"/>
        <v>2011</v>
      </c>
      <c r="V622" s="59" t="str">
        <f>TEXT(F622/24,"H AM/PM")</f>
        <v>3 AM</v>
      </c>
      <c r="W622" s="59" t="str">
        <f>IF(H622=6,"Saturday",IF(H622=0,"Sunday",IF(H622=1,"Monday",IF(H622=2,"Tuesday",IF(H622=3,"Wednesday",IF(H622=4,"Thursday",IF(H622=5,"Friday")))))))</f>
        <v>Saturday</v>
      </c>
      <c r="X622" s="59" t="str">
        <f>IF(G622=FALSE,"Working day", IF(G622=TRUE,"Holiday"))</f>
        <v>Working day</v>
      </c>
    </row>
    <row r="623" spans="1:24" x14ac:dyDescent="0.25">
      <c r="A623" s="32">
        <v>623</v>
      </c>
      <c r="B623" s="33">
        <v>40572</v>
      </c>
      <c r="C623" s="26">
        <v>1</v>
      </c>
      <c r="D623" s="26">
        <v>0</v>
      </c>
      <c r="E623" s="26">
        <v>1</v>
      </c>
      <c r="F623" s="26">
        <v>4</v>
      </c>
      <c r="G623" s="26" t="b">
        <v>0</v>
      </c>
      <c r="H623" s="26">
        <v>6</v>
      </c>
      <c r="I623" s="26">
        <v>1</v>
      </c>
      <c r="J623" s="26">
        <v>0.16</v>
      </c>
      <c r="K623" s="26">
        <v>0.18179999999999999</v>
      </c>
      <c r="L623" s="26">
        <v>0.69</v>
      </c>
      <c r="M623">
        <v>0.1045</v>
      </c>
      <c r="N623" s="26">
        <v>1</v>
      </c>
      <c r="O623" s="26">
        <v>2</v>
      </c>
      <c r="P623" s="26">
        <v>3</v>
      </c>
      <c r="Q623" s="34" t="str">
        <f t="shared" si="27"/>
        <v>Clear</v>
      </c>
      <c r="R623" s="41" t="str">
        <f>IF(I623=1,"Normal",IF(I623=2,"Yellow Alert",IF(I623=3,"Orange Alert",IF(I623=4,"Red Alert"))))</f>
        <v>Normal</v>
      </c>
      <c r="S623" s="60">
        <f t="shared" si="28"/>
        <v>29</v>
      </c>
      <c r="T623" s="61">
        <f>MONTH(dataset_1!B:B)</f>
        <v>1</v>
      </c>
      <c r="U623" s="61">
        <f t="shared" si="29"/>
        <v>2011</v>
      </c>
      <c r="V623" s="59" t="str">
        <f>TEXT(F623/24,"H AM/PM")</f>
        <v>4 AM</v>
      </c>
      <c r="W623" s="59" t="str">
        <f>IF(H623=6,"Saturday",IF(H623=0,"Sunday",IF(H623=1,"Monday",IF(H623=2,"Tuesday",IF(H623=3,"Wednesday",IF(H623=4,"Thursday",IF(H623=5,"Friday")))))))</f>
        <v>Saturday</v>
      </c>
      <c r="X623" s="59" t="str">
        <f>IF(G623=FALSE,"Working day", IF(G623=TRUE,"Holiday"))</f>
        <v>Working day</v>
      </c>
    </row>
    <row r="624" spans="1:24" x14ac:dyDescent="0.25">
      <c r="A624" s="32">
        <v>624</v>
      </c>
      <c r="B624" s="33">
        <v>40572</v>
      </c>
      <c r="C624" s="26">
        <v>1</v>
      </c>
      <c r="D624" s="26">
        <v>0</v>
      </c>
      <c r="E624" s="26">
        <v>1</v>
      </c>
      <c r="F624" s="26">
        <v>6</v>
      </c>
      <c r="G624" s="26" t="b">
        <v>0</v>
      </c>
      <c r="H624" s="26">
        <v>6</v>
      </c>
      <c r="I624" s="26">
        <v>1</v>
      </c>
      <c r="J624" s="26">
        <v>0.16</v>
      </c>
      <c r="K624" s="26">
        <v>0.18179999999999999</v>
      </c>
      <c r="L624" s="26">
        <v>0.64</v>
      </c>
      <c r="M624">
        <v>0.1343</v>
      </c>
      <c r="N624" s="26">
        <v>0</v>
      </c>
      <c r="O624" s="26">
        <v>2</v>
      </c>
      <c r="P624" s="26">
        <v>2</v>
      </c>
      <c r="Q624" s="34" t="str">
        <f t="shared" si="27"/>
        <v>Clear</v>
      </c>
      <c r="R624" s="41" t="str">
        <f>IF(I624=1,"Normal",IF(I624=2,"Yellow Alert",IF(I624=3,"Orange Alert",IF(I624=4,"Red Alert"))))</f>
        <v>Normal</v>
      </c>
      <c r="S624" s="60">
        <f t="shared" si="28"/>
        <v>29</v>
      </c>
      <c r="T624" s="61">
        <f>MONTH(dataset_1!B:B)</f>
        <v>1</v>
      </c>
      <c r="U624" s="61">
        <f t="shared" si="29"/>
        <v>2011</v>
      </c>
      <c r="V624" s="59" t="str">
        <f>TEXT(F624/24,"H AM/PM")</f>
        <v>6 AM</v>
      </c>
      <c r="W624" s="59" t="str">
        <f>IF(H624=6,"Saturday",IF(H624=0,"Sunday",IF(H624=1,"Monday",IF(H624=2,"Tuesday",IF(H624=3,"Wednesday",IF(H624=4,"Thursday",IF(H624=5,"Friday")))))))</f>
        <v>Saturday</v>
      </c>
      <c r="X624" s="59" t="str">
        <f>IF(G624=FALSE,"Working day", IF(G624=TRUE,"Holiday"))</f>
        <v>Working day</v>
      </c>
    </row>
    <row r="625" spans="1:24" x14ac:dyDescent="0.25">
      <c r="A625" s="32">
        <v>625</v>
      </c>
      <c r="B625" s="33">
        <v>40572</v>
      </c>
      <c r="C625" s="26">
        <v>1</v>
      </c>
      <c r="D625" s="26">
        <v>0</v>
      </c>
      <c r="E625" s="26">
        <v>1</v>
      </c>
      <c r="F625" s="26">
        <v>7</v>
      </c>
      <c r="G625" s="26" t="b">
        <v>0</v>
      </c>
      <c r="H625" s="26">
        <v>6</v>
      </c>
      <c r="I625" s="26">
        <v>1</v>
      </c>
      <c r="J625" s="26">
        <v>0.16</v>
      </c>
      <c r="K625" s="26">
        <v>0.18179999999999999</v>
      </c>
      <c r="L625" s="26">
        <v>0.59</v>
      </c>
      <c r="M625">
        <v>0.1045</v>
      </c>
      <c r="N625" s="26">
        <v>1</v>
      </c>
      <c r="O625" s="26">
        <v>4</v>
      </c>
      <c r="P625" s="26">
        <v>5</v>
      </c>
      <c r="Q625" s="34" t="str">
        <f t="shared" si="27"/>
        <v>Clear</v>
      </c>
      <c r="R625" s="41" t="str">
        <f>IF(I625=1,"Normal",IF(I625=2,"Yellow Alert",IF(I625=3,"Orange Alert",IF(I625=4,"Red Alert"))))</f>
        <v>Normal</v>
      </c>
      <c r="S625" s="60">
        <f t="shared" si="28"/>
        <v>29</v>
      </c>
      <c r="T625" s="61">
        <f>MONTH(dataset_1!B:B)</f>
        <v>1</v>
      </c>
      <c r="U625" s="61">
        <f t="shared" si="29"/>
        <v>2011</v>
      </c>
      <c r="V625" s="59" t="str">
        <f>TEXT(F625/24,"H AM/PM")</f>
        <v>7 AM</v>
      </c>
      <c r="W625" s="59" t="str">
        <f>IF(H625=6,"Saturday",IF(H625=0,"Sunday",IF(H625=1,"Monday",IF(H625=2,"Tuesday",IF(H625=3,"Wednesday",IF(H625=4,"Thursday",IF(H625=5,"Friday")))))))</f>
        <v>Saturday</v>
      </c>
      <c r="X625" s="59" t="str">
        <f>IF(G625=FALSE,"Working day", IF(G625=TRUE,"Holiday"))</f>
        <v>Working day</v>
      </c>
    </row>
    <row r="626" spans="1:24" x14ac:dyDescent="0.25">
      <c r="A626" s="32">
        <v>626</v>
      </c>
      <c r="B626" s="33">
        <v>40572</v>
      </c>
      <c r="C626" s="26">
        <v>1</v>
      </c>
      <c r="D626" s="26">
        <v>0</v>
      </c>
      <c r="E626" s="26">
        <v>1</v>
      </c>
      <c r="F626" s="26">
        <v>8</v>
      </c>
      <c r="G626" s="26" t="b">
        <v>0</v>
      </c>
      <c r="H626" s="26">
        <v>6</v>
      </c>
      <c r="I626" s="26">
        <v>1</v>
      </c>
      <c r="J626" s="26">
        <v>0.18</v>
      </c>
      <c r="K626" s="26">
        <v>0.19700000000000001</v>
      </c>
      <c r="L626" s="26">
        <v>0.55000000000000004</v>
      </c>
      <c r="M626">
        <v>0.16420000000000001</v>
      </c>
      <c r="N626" s="26">
        <v>3</v>
      </c>
      <c r="O626" s="26">
        <v>31</v>
      </c>
      <c r="P626" s="26">
        <v>34</v>
      </c>
      <c r="Q626" s="34" t="str">
        <f t="shared" si="27"/>
        <v>Clear</v>
      </c>
      <c r="R626" s="41" t="str">
        <f>IF(I626=1,"Normal",IF(I626=2,"Yellow Alert",IF(I626=3,"Orange Alert",IF(I626=4,"Red Alert"))))</f>
        <v>Normal</v>
      </c>
      <c r="S626" s="60">
        <f t="shared" si="28"/>
        <v>29</v>
      </c>
      <c r="T626" s="61">
        <f>MONTH(dataset_1!B:B)</f>
        <v>1</v>
      </c>
      <c r="U626" s="61">
        <f t="shared" si="29"/>
        <v>2011</v>
      </c>
      <c r="V626" s="59" t="str">
        <f>TEXT(F626/24,"H AM/PM")</f>
        <v>8 AM</v>
      </c>
      <c r="W626" s="59" t="str">
        <f>IF(H626=6,"Saturday",IF(H626=0,"Sunday",IF(H626=1,"Monday",IF(H626=2,"Tuesday",IF(H626=3,"Wednesday",IF(H626=4,"Thursday",IF(H626=5,"Friday")))))))</f>
        <v>Saturday</v>
      </c>
      <c r="X626" s="59" t="str">
        <f>IF(G626=FALSE,"Working day", IF(G626=TRUE,"Holiday"))</f>
        <v>Working day</v>
      </c>
    </row>
    <row r="627" spans="1:24" x14ac:dyDescent="0.25">
      <c r="A627" s="32">
        <v>627</v>
      </c>
      <c r="B627" s="33">
        <v>40572</v>
      </c>
      <c r="C627" s="26">
        <v>1</v>
      </c>
      <c r="D627" s="26">
        <v>0</v>
      </c>
      <c r="E627" s="26">
        <v>1</v>
      </c>
      <c r="F627" s="26">
        <v>9</v>
      </c>
      <c r="G627" s="26" t="b">
        <v>0</v>
      </c>
      <c r="H627" s="26">
        <v>6</v>
      </c>
      <c r="I627" s="26">
        <v>1</v>
      </c>
      <c r="J627" s="26">
        <v>0.18</v>
      </c>
      <c r="K627" s="26">
        <v>0.21210000000000001</v>
      </c>
      <c r="L627" s="26">
        <v>0.59</v>
      </c>
      <c r="M627">
        <v>8.9599999999999999E-2</v>
      </c>
      <c r="N627" s="26">
        <v>0</v>
      </c>
      <c r="O627" s="26">
        <v>34</v>
      </c>
      <c r="P627" s="26">
        <v>34</v>
      </c>
      <c r="Q627" s="34" t="str">
        <f t="shared" si="27"/>
        <v>Clear</v>
      </c>
      <c r="R627" s="41" t="str">
        <f>IF(I627=1,"Normal",IF(I627=2,"Yellow Alert",IF(I627=3,"Orange Alert",IF(I627=4,"Red Alert"))))</f>
        <v>Normal</v>
      </c>
      <c r="S627" s="60">
        <f t="shared" si="28"/>
        <v>29</v>
      </c>
      <c r="T627" s="61">
        <f>MONTH(dataset_1!B:B)</f>
        <v>1</v>
      </c>
      <c r="U627" s="61">
        <f t="shared" si="29"/>
        <v>2011</v>
      </c>
      <c r="V627" s="59" t="str">
        <f>TEXT(F627/24,"H AM/PM")</f>
        <v>9 AM</v>
      </c>
      <c r="W627" s="59" t="str">
        <f>IF(H627=6,"Saturday",IF(H627=0,"Sunday",IF(H627=1,"Monday",IF(H627=2,"Tuesday",IF(H627=3,"Wednesday",IF(H627=4,"Thursday",IF(H627=5,"Friday")))))))</f>
        <v>Saturday</v>
      </c>
      <c r="X627" s="59" t="str">
        <f>IF(G627=FALSE,"Working day", IF(G627=TRUE,"Holiday"))</f>
        <v>Working day</v>
      </c>
    </row>
    <row r="628" spans="1:24" x14ac:dyDescent="0.25">
      <c r="A628" s="32">
        <v>628</v>
      </c>
      <c r="B628" s="33">
        <v>40572</v>
      </c>
      <c r="C628" s="26">
        <v>1</v>
      </c>
      <c r="D628" s="26">
        <v>0</v>
      </c>
      <c r="E628" s="26">
        <v>1</v>
      </c>
      <c r="F628" s="26">
        <v>10</v>
      </c>
      <c r="G628" s="26" t="b">
        <v>0</v>
      </c>
      <c r="H628" s="26">
        <v>6</v>
      </c>
      <c r="I628" s="26">
        <v>2</v>
      </c>
      <c r="J628" s="26">
        <v>0.18</v>
      </c>
      <c r="K628" s="26">
        <v>0.21210000000000001</v>
      </c>
      <c r="L628" s="26">
        <v>0.64</v>
      </c>
      <c r="M628">
        <v>0.1045</v>
      </c>
      <c r="N628" s="26">
        <v>4</v>
      </c>
      <c r="O628" s="26">
        <v>51</v>
      </c>
      <c r="P628" s="26">
        <v>55</v>
      </c>
      <c r="Q628" s="34" t="str">
        <f t="shared" si="27"/>
        <v>Cloudy</v>
      </c>
      <c r="R628" s="41" t="str">
        <f>IF(I628=1,"Normal",IF(I628=2,"Yellow Alert",IF(I628=3,"Orange Alert",IF(I628=4,"Red Alert"))))</f>
        <v>Yellow Alert</v>
      </c>
      <c r="S628" s="60">
        <f t="shared" si="28"/>
        <v>29</v>
      </c>
      <c r="T628" s="61">
        <f>MONTH(dataset_1!B:B)</f>
        <v>1</v>
      </c>
      <c r="U628" s="61">
        <f t="shared" si="29"/>
        <v>2011</v>
      </c>
      <c r="V628" s="59" t="str">
        <f>TEXT(F628/24,"H AM/PM")</f>
        <v>10 AM</v>
      </c>
      <c r="W628" s="59" t="str">
        <f>IF(H628=6,"Saturday",IF(H628=0,"Sunday",IF(H628=1,"Monday",IF(H628=2,"Tuesday",IF(H628=3,"Wednesday",IF(H628=4,"Thursday",IF(H628=5,"Friday")))))))</f>
        <v>Saturday</v>
      </c>
      <c r="X628" s="59" t="str">
        <f>IF(G628=FALSE,"Working day", IF(G628=TRUE,"Holiday"))</f>
        <v>Working day</v>
      </c>
    </row>
    <row r="629" spans="1:24" x14ac:dyDescent="0.25">
      <c r="A629" s="32">
        <v>629</v>
      </c>
      <c r="B629" s="33">
        <v>40572</v>
      </c>
      <c r="C629" s="26">
        <v>1</v>
      </c>
      <c r="D629" s="26">
        <v>0</v>
      </c>
      <c r="E629" s="26">
        <v>1</v>
      </c>
      <c r="F629" s="26">
        <v>11</v>
      </c>
      <c r="G629" s="26" t="b">
        <v>0</v>
      </c>
      <c r="H629" s="26">
        <v>6</v>
      </c>
      <c r="I629" s="26">
        <v>2</v>
      </c>
      <c r="J629" s="26">
        <v>0.18</v>
      </c>
      <c r="K629" s="26">
        <v>0.19700000000000001</v>
      </c>
      <c r="L629" s="26">
        <v>0.64</v>
      </c>
      <c r="M629">
        <v>0.1343</v>
      </c>
      <c r="N629" s="26">
        <v>4</v>
      </c>
      <c r="O629" s="26">
        <v>60</v>
      </c>
      <c r="P629" s="26">
        <v>64</v>
      </c>
      <c r="Q629" s="34" t="str">
        <f t="shared" si="27"/>
        <v>Cloudy</v>
      </c>
      <c r="R629" s="41" t="str">
        <f>IF(I629=1,"Normal",IF(I629=2,"Yellow Alert",IF(I629=3,"Orange Alert",IF(I629=4,"Red Alert"))))</f>
        <v>Yellow Alert</v>
      </c>
      <c r="S629" s="60">
        <f t="shared" si="28"/>
        <v>29</v>
      </c>
      <c r="T629" s="61">
        <f>MONTH(dataset_1!B:B)</f>
        <v>1</v>
      </c>
      <c r="U629" s="61">
        <f t="shared" si="29"/>
        <v>2011</v>
      </c>
      <c r="V629" s="59" t="str">
        <f>TEXT(F629/24,"H AM/PM")</f>
        <v>11 AM</v>
      </c>
      <c r="W629" s="59" t="str">
        <f>IF(H629=6,"Saturday",IF(H629=0,"Sunday",IF(H629=1,"Monday",IF(H629=2,"Tuesday",IF(H629=3,"Wednesday",IF(H629=4,"Thursday",IF(H629=5,"Friday")))))))</f>
        <v>Saturday</v>
      </c>
      <c r="X629" s="59" t="str">
        <f>IF(G629=FALSE,"Working day", IF(G629=TRUE,"Holiday"))</f>
        <v>Working day</v>
      </c>
    </row>
    <row r="630" spans="1:24" x14ac:dyDescent="0.25">
      <c r="A630" s="32">
        <v>630</v>
      </c>
      <c r="B630" s="33">
        <v>40572</v>
      </c>
      <c r="C630" s="26">
        <v>1</v>
      </c>
      <c r="D630" s="26">
        <v>0</v>
      </c>
      <c r="E630" s="26">
        <v>1</v>
      </c>
      <c r="F630" s="26">
        <v>12</v>
      </c>
      <c r="G630" s="26" t="b">
        <v>0</v>
      </c>
      <c r="H630" s="26">
        <v>6</v>
      </c>
      <c r="I630" s="26">
        <v>2</v>
      </c>
      <c r="J630" s="26">
        <v>0.2</v>
      </c>
      <c r="K630" s="26">
        <v>0.19700000000000001</v>
      </c>
      <c r="L630" s="26">
        <v>0.59</v>
      </c>
      <c r="M630">
        <v>0.19400000000000001</v>
      </c>
      <c r="N630" s="26">
        <v>12</v>
      </c>
      <c r="O630" s="26">
        <v>66</v>
      </c>
      <c r="P630" s="26">
        <v>78</v>
      </c>
      <c r="Q630" s="34" t="str">
        <f t="shared" si="27"/>
        <v>Cloudy</v>
      </c>
      <c r="R630" s="41" t="str">
        <f>IF(I630=1,"Normal",IF(I630=2,"Yellow Alert",IF(I630=3,"Orange Alert",IF(I630=4,"Red Alert"))))</f>
        <v>Yellow Alert</v>
      </c>
      <c r="S630" s="60">
        <f t="shared" si="28"/>
        <v>29</v>
      </c>
      <c r="T630" s="61">
        <f>MONTH(dataset_1!B:B)</f>
        <v>1</v>
      </c>
      <c r="U630" s="61">
        <f t="shared" si="29"/>
        <v>2011</v>
      </c>
      <c r="V630" s="59" t="str">
        <f>TEXT(F630/24,"H AM/PM")</f>
        <v>12 PM</v>
      </c>
      <c r="W630" s="59" t="str">
        <f>IF(H630=6,"Saturday",IF(H630=0,"Sunday",IF(H630=1,"Monday",IF(H630=2,"Tuesday",IF(H630=3,"Wednesday",IF(H630=4,"Thursday",IF(H630=5,"Friday")))))))</f>
        <v>Saturday</v>
      </c>
      <c r="X630" s="59" t="str">
        <f>IF(G630=FALSE,"Working day", IF(G630=TRUE,"Holiday"))</f>
        <v>Working day</v>
      </c>
    </row>
    <row r="631" spans="1:24" x14ac:dyDescent="0.25">
      <c r="A631" s="32">
        <v>631</v>
      </c>
      <c r="B631" s="33">
        <v>40572</v>
      </c>
      <c r="C631" s="26">
        <v>1</v>
      </c>
      <c r="D631" s="26">
        <v>0</v>
      </c>
      <c r="E631" s="26">
        <v>1</v>
      </c>
      <c r="F631" s="26">
        <v>13</v>
      </c>
      <c r="G631" s="26" t="b">
        <v>0</v>
      </c>
      <c r="H631" s="26">
        <v>6</v>
      </c>
      <c r="I631" s="26">
        <v>2</v>
      </c>
      <c r="J631" s="26">
        <v>0.22</v>
      </c>
      <c r="K631" s="26">
        <v>0.2273</v>
      </c>
      <c r="L631" s="26">
        <v>0.55000000000000004</v>
      </c>
      <c r="M631">
        <v>0.16420000000000001</v>
      </c>
      <c r="N631" s="26">
        <v>9</v>
      </c>
      <c r="O631" s="26">
        <v>56</v>
      </c>
      <c r="P631" s="26">
        <v>65</v>
      </c>
      <c r="Q631" s="34" t="str">
        <f t="shared" si="27"/>
        <v>Cloudy</v>
      </c>
      <c r="R631" s="41" t="str">
        <f>IF(I631=1,"Normal",IF(I631=2,"Yellow Alert",IF(I631=3,"Orange Alert",IF(I631=4,"Red Alert"))))</f>
        <v>Yellow Alert</v>
      </c>
      <c r="S631" s="60">
        <f t="shared" si="28"/>
        <v>29</v>
      </c>
      <c r="T631" s="61">
        <f>MONTH(dataset_1!B:B)</f>
        <v>1</v>
      </c>
      <c r="U631" s="61">
        <f t="shared" si="29"/>
        <v>2011</v>
      </c>
      <c r="V631" s="59" t="str">
        <f>TEXT(F631/24,"H AM/PM")</f>
        <v>1 PM</v>
      </c>
      <c r="W631" s="59" t="str">
        <f>IF(H631=6,"Saturday",IF(H631=0,"Sunday",IF(H631=1,"Monday",IF(H631=2,"Tuesday",IF(H631=3,"Wednesday",IF(H631=4,"Thursday",IF(H631=5,"Friday")))))))</f>
        <v>Saturday</v>
      </c>
      <c r="X631" s="59" t="str">
        <f>IF(G631=FALSE,"Working day", IF(G631=TRUE,"Holiday"))</f>
        <v>Working day</v>
      </c>
    </row>
    <row r="632" spans="1:24" x14ac:dyDescent="0.25">
      <c r="A632" s="32">
        <v>632</v>
      </c>
      <c r="B632" s="33">
        <v>40572</v>
      </c>
      <c r="C632" s="26">
        <v>1</v>
      </c>
      <c r="D632" s="26">
        <v>0</v>
      </c>
      <c r="E632" s="26">
        <v>1</v>
      </c>
      <c r="F632" s="26">
        <v>14</v>
      </c>
      <c r="G632" s="26" t="b">
        <v>0</v>
      </c>
      <c r="H632" s="26">
        <v>6</v>
      </c>
      <c r="I632" s="26">
        <v>2</v>
      </c>
      <c r="J632" s="26">
        <v>0.22</v>
      </c>
      <c r="K632" s="26">
        <v>0.2273</v>
      </c>
      <c r="L632" s="26">
        <v>0.6</v>
      </c>
      <c r="M632">
        <v>0.1343</v>
      </c>
      <c r="N632" s="26">
        <v>10</v>
      </c>
      <c r="O632" s="26">
        <v>89</v>
      </c>
      <c r="P632" s="26">
        <v>99</v>
      </c>
      <c r="Q632" s="34" t="str">
        <f t="shared" si="27"/>
        <v>Cloudy</v>
      </c>
      <c r="R632" s="41" t="str">
        <f>IF(I632=1,"Normal",IF(I632=2,"Yellow Alert",IF(I632=3,"Orange Alert",IF(I632=4,"Red Alert"))))</f>
        <v>Yellow Alert</v>
      </c>
      <c r="S632" s="60">
        <f t="shared" si="28"/>
        <v>29</v>
      </c>
      <c r="T632" s="61">
        <f>MONTH(dataset_1!B:B)</f>
        <v>1</v>
      </c>
      <c r="U632" s="61">
        <f t="shared" si="29"/>
        <v>2011</v>
      </c>
      <c r="V632" s="59" t="str">
        <f>TEXT(F632/24,"H AM/PM")</f>
        <v>2 PM</v>
      </c>
      <c r="W632" s="59" t="str">
        <f>IF(H632=6,"Saturday",IF(H632=0,"Sunday",IF(H632=1,"Monday",IF(H632=2,"Tuesday",IF(H632=3,"Wednesday",IF(H632=4,"Thursday",IF(H632=5,"Friday")))))))</f>
        <v>Saturday</v>
      </c>
      <c r="X632" s="59" t="str">
        <f>IF(G632=FALSE,"Working day", IF(G632=TRUE,"Holiday"))</f>
        <v>Working day</v>
      </c>
    </row>
    <row r="633" spans="1:24" x14ac:dyDescent="0.25">
      <c r="A633" s="32">
        <v>633</v>
      </c>
      <c r="B633" s="33">
        <v>40572</v>
      </c>
      <c r="C633" s="26">
        <v>1</v>
      </c>
      <c r="D633" s="26">
        <v>0</v>
      </c>
      <c r="E633" s="26">
        <v>1</v>
      </c>
      <c r="F633" s="26">
        <v>15</v>
      </c>
      <c r="G633" s="26" t="b">
        <v>0</v>
      </c>
      <c r="H633" s="26">
        <v>6</v>
      </c>
      <c r="I633" s="26">
        <v>1</v>
      </c>
      <c r="J633" s="26">
        <v>0.22</v>
      </c>
      <c r="K633" s="26">
        <v>0.21210000000000001</v>
      </c>
      <c r="L633" s="26">
        <v>0.69</v>
      </c>
      <c r="M633">
        <v>0.25369999999999998</v>
      </c>
      <c r="N633" s="26">
        <v>22</v>
      </c>
      <c r="O633" s="26">
        <v>98</v>
      </c>
      <c r="P633" s="26">
        <v>120</v>
      </c>
      <c r="Q633" s="34" t="str">
        <f t="shared" si="27"/>
        <v>Clear</v>
      </c>
      <c r="R633" s="41" t="str">
        <f>IF(I633=1,"Normal",IF(I633=2,"Yellow Alert",IF(I633=3,"Orange Alert",IF(I633=4,"Red Alert"))))</f>
        <v>Normal</v>
      </c>
      <c r="S633" s="60">
        <f t="shared" si="28"/>
        <v>29</v>
      </c>
      <c r="T633" s="61">
        <f>MONTH(dataset_1!B:B)</f>
        <v>1</v>
      </c>
      <c r="U633" s="61">
        <f t="shared" si="29"/>
        <v>2011</v>
      </c>
      <c r="V633" s="59" t="str">
        <f>TEXT(F633/24,"H AM/PM")</f>
        <v>3 PM</v>
      </c>
      <c r="W633" s="59" t="str">
        <f>IF(H633=6,"Saturday",IF(H633=0,"Sunday",IF(H633=1,"Monday",IF(H633=2,"Tuesday",IF(H633=3,"Wednesday",IF(H633=4,"Thursday",IF(H633=5,"Friday")))))))</f>
        <v>Saturday</v>
      </c>
      <c r="X633" s="59" t="str">
        <f>IF(G633=FALSE,"Working day", IF(G633=TRUE,"Holiday"))</f>
        <v>Working day</v>
      </c>
    </row>
    <row r="634" spans="1:24" x14ac:dyDescent="0.25">
      <c r="A634" s="32">
        <v>634</v>
      </c>
      <c r="B634" s="33">
        <v>40572</v>
      </c>
      <c r="C634" s="26">
        <v>1</v>
      </c>
      <c r="D634" s="26">
        <v>0</v>
      </c>
      <c r="E634" s="26">
        <v>1</v>
      </c>
      <c r="F634" s="26">
        <v>16</v>
      </c>
      <c r="G634" s="26" t="b">
        <v>0</v>
      </c>
      <c r="H634" s="26">
        <v>6</v>
      </c>
      <c r="I634" s="26">
        <v>1</v>
      </c>
      <c r="J634" s="26">
        <v>0.24</v>
      </c>
      <c r="K634" s="26">
        <v>0.2424</v>
      </c>
      <c r="L634" s="26">
        <v>0.6</v>
      </c>
      <c r="M634">
        <v>0.16420000000000001</v>
      </c>
      <c r="N634" s="26">
        <v>19</v>
      </c>
      <c r="O634" s="26">
        <v>88</v>
      </c>
      <c r="P634" s="26">
        <v>107</v>
      </c>
      <c r="Q634" s="34" t="str">
        <f t="shared" si="27"/>
        <v>Clear</v>
      </c>
      <c r="R634" s="41" t="str">
        <f>IF(I634=1,"Normal",IF(I634=2,"Yellow Alert",IF(I634=3,"Orange Alert",IF(I634=4,"Red Alert"))))</f>
        <v>Normal</v>
      </c>
      <c r="S634" s="60">
        <f t="shared" si="28"/>
        <v>29</v>
      </c>
      <c r="T634" s="61">
        <f>MONTH(dataset_1!B:B)</f>
        <v>1</v>
      </c>
      <c r="U634" s="61">
        <f t="shared" si="29"/>
        <v>2011</v>
      </c>
      <c r="V634" s="59" t="str">
        <f>TEXT(F634/24,"H AM/PM")</f>
        <v>4 PM</v>
      </c>
      <c r="W634" s="59" t="str">
        <f>IF(H634=6,"Saturday",IF(H634=0,"Sunday",IF(H634=1,"Monday",IF(H634=2,"Tuesday",IF(H634=3,"Wednesday",IF(H634=4,"Thursday",IF(H634=5,"Friday")))))))</f>
        <v>Saturday</v>
      </c>
      <c r="X634" s="59" t="str">
        <f>IF(G634=FALSE,"Working day", IF(G634=TRUE,"Holiday"))</f>
        <v>Working day</v>
      </c>
    </row>
    <row r="635" spans="1:24" x14ac:dyDescent="0.25">
      <c r="A635" s="32">
        <v>635</v>
      </c>
      <c r="B635" s="33">
        <v>40572</v>
      </c>
      <c r="C635" s="26">
        <v>1</v>
      </c>
      <c r="D635" s="26">
        <v>0</v>
      </c>
      <c r="E635" s="26">
        <v>1</v>
      </c>
      <c r="F635" s="26">
        <v>17</v>
      </c>
      <c r="G635" s="26" t="b">
        <v>0</v>
      </c>
      <c r="H635" s="26">
        <v>6</v>
      </c>
      <c r="I635" s="26">
        <v>1</v>
      </c>
      <c r="J635" s="26">
        <v>0.24</v>
      </c>
      <c r="K635" s="26">
        <v>0.28789999999999999</v>
      </c>
      <c r="L635" s="26">
        <v>0.6</v>
      </c>
      <c r="M635">
        <v>0</v>
      </c>
      <c r="N635" s="26">
        <v>9</v>
      </c>
      <c r="O635" s="26">
        <v>82</v>
      </c>
      <c r="P635" s="26">
        <v>91</v>
      </c>
      <c r="Q635" s="34" t="str">
        <f t="shared" si="27"/>
        <v>Clear</v>
      </c>
      <c r="R635" s="41" t="str">
        <f>IF(I635=1,"Normal",IF(I635=2,"Yellow Alert",IF(I635=3,"Orange Alert",IF(I635=4,"Red Alert"))))</f>
        <v>Normal</v>
      </c>
      <c r="S635" s="60">
        <f t="shared" si="28"/>
        <v>29</v>
      </c>
      <c r="T635" s="61">
        <f>MONTH(dataset_1!B:B)</f>
        <v>1</v>
      </c>
      <c r="U635" s="61">
        <f t="shared" si="29"/>
        <v>2011</v>
      </c>
      <c r="V635" s="59" t="str">
        <f>TEXT(F635/24,"H AM/PM")</f>
        <v>5 PM</v>
      </c>
      <c r="W635" s="59" t="str">
        <f>IF(H635=6,"Saturday",IF(H635=0,"Sunday",IF(H635=1,"Monday",IF(H635=2,"Tuesday",IF(H635=3,"Wednesday",IF(H635=4,"Thursday",IF(H635=5,"Friday")))))))</f>
        <v>Saturday</v>
      </c>
      <c r="X635" s="59" t="str">
        <f>IF(G635=FALSE,"Working day", IF(G635=TRUE,"Holiday"))</f>
        <v>Working day</v>
      </c>
    </row>
    <row r="636" spans="1:24" x14ac:dyDescent="0.25">
      <c r="A636" s="32">
        <v>636</v>
      </c>
      <c r="B636" s="33">
        <v>40572</v>
      </c>
      <c r="C636" s="26">
        <v>1</v>
      </c>
      <c r="D636" s="26">
        <v>0</v>
      </c>
      <c r="E636" s="26">
        <v>1</v>
      </c>
      <c r="F636" s="26">
        <v>18</v>
      </c>
      <c r="G636" s="26" t="b">
        <v>0</v>
      </c>
      <c r="H636" s="26">
        <v>6</v>
      </c>
      <c r="I636" s="26">
        <v>1</v>
      </c>
      <c r="J636" s="26">
        <v>0.22</v>
      </c>
      <c r="K636" s="26">
        <v>0.2273</v>
      </c>
      <c r="L636" s="26">
        <v>0.69</v>
      </c>
      <c r="M636">
        <v>0.1343</v>
      </c>
      <c r="N636" s="26">
        <v>9</v>
      </c>
      <c r="O636" s="26">
        <v>59</v>
      </c>
      <c r="P636" s="26">
        <v>68</v>
      </c>
      <c r="Q636" s="34" t="str">
        <f t="shared" si="27"/>
        <v>Clear</v>
      </c>
      <c r="R636" s="41" t="str">
        <f>IF(I636=1,"Normal",IF(I636=2,"Yellow Alert",IF(I636=3,"Orange Alert",IF(I636=4,"Red Alert"))))</f>
        <v>Normal</v>
      </c>
      <c r="S636" s="60">
        <f t="shared" si="28"/>
        <v>29</v>
      </c>
      <c r="T636" s="61">
        <f>MONTH(dataset_1!B:B)</f>
        <v>1</v>
      </c>
      <c r="U636" s="61">
        <f t="shared" si="29"/>
        <v>2011</v>
      </c>
      <c r="V636" s="59" t="str">
        <f>TEXT(F636/24,"H AM/PM")</f>
        <v>6 PM</v>
      </c>
      <c r="W636" s="59" t="str">
        <f>IF(H636=6,"Saturday",IF(H636=0,"Sunday",IF(H636=1,"Monday",IF(H636=2,"Tuesday",IF(H636=3,"Wednesday",IF(H636=4,"Thursday",IF(H636=5,"Friday")))))))</f>
        <v>Saturday</v>
      </c>
      <c r="X636" s="59" t="str">
        <f>IF(G636=FALSE,"Working day", IF(G636=TRUE,"Holiday"))</f>
        <v>Working day</v>
      </c>
    </row>
    <row r="637" spans="1:24" x14ac:dyDescent="0.25">
      <c r="A637" s="32">
        <v>637</v>
      </c>
      <c r="B637" s="33">
        <v>40572</v>
      </c>
      <c r="C637" s="26">
        <v>1</v>
      </c>
      <c r="D637" s="26">
        <v>0</v>
      </c>
      <c r="E637" s="26">
        <v>1</v>
      </c>
      <c r="F637" s="26">
        <v>19</v>
      </c>
      <c r="G637" s="26" t="b">
        <v>0</v>
      </c>
      <c r="H637" s="26">
        <v>6</v>
      </c>
      <c r="I637" s="26">
        <v>2</v>
      </c>
      <c r="J637" s="26">
        <v>0.22</v>
      </c>
      <c r="K637" s="26">
        <v>0.21210000000000001</v>
      </c>
      <c r="L637" s="26">
        <v>0.69</v>
      </c>
      <c r="M637">
        <v>0.25369999999999998</v>
      </c>
      <c r="N637" s="26">
        <v>6</v>
      </c>
      <c r="O637" s="26">
        <v>52</v>
      </c>
      <c r="P637" s="26">
        <v>58</v>
      </c>
      <c r="Q637" s="34" t="str">
        <f t="shared" si="27"/>
        <v>Cloudy</v>
      </c>
      <c r="R637" s="41" t="str">
        <f>IF(I637=1,"Normal",IF(I637=2,"Yellow Alert",IF(I637=3,"Orange Alert",IF(I637=4,"Red Alert"))))</f>
        <v>Yellow Alert</v>
      </c>
      <c r="S637" s="60">
        <f t="shared" si="28"/>
        <v>29</v>
      </c>
      <c r="T637" s="61">
        <f>MONTH(dataset_1!B:B)</f>
        <v>1</v>
      </c>
      <c r="U637" s="61">
        <f t="shared" si="29"/>
        <v>2011</v>
      </c>
      <c r="V637" s="59" t="str">
        <f>TEXT(F637/24,"H AM/PM")</f>
        <v>7 PM</v>
      </c>
      <c r="W637" s="59" t="str">
        <f>IF(H637=6,"Saturday",IF(H637=0,"Sunday",IF(H637=1,"Monday",IF(H637=2,"Tuesday",IF(H637=3,"Wednesday",IF(H637=4,"Thursday",IF(H637=5,"Friday")))))))</f>
        <v>Saturday</v>
      </c>
      <c r="X637" s="59" t="str">
        <f>IF(G637=FALSE,"Working day", IF(G637=TRUE,"Holiday"))</f>
        <v>Working day</v>
      </c>
    </row>
    <row r="638" spans="1:24" x14ac:dyDescent="0.25">
      <c r="A638" s="32">
        <v>638</v>
      </c>
      <c r="B638" s="33">
        <v>40572</v>
      </c>
      <c r="C638" s="26">
        <v>1</v>
      </c>
      <c r="D638" s="26">
        <v>0</v>
      </c>
      <c r="E638" s="26">
        <v>1</v>
      </c>
      <c r="F638" s="26">
        <v>20</v>
      </c>
      <c r="G638" s="26" t="b">
        <v>0</v>
      </c>
      <c r="H638" s="26">
        <v>6</v>
      </c>
      <c r="I638" s="26">
        <v>1</v>
      </c>
      <c r="J638" s="26">
        <v>0.18</v>
      </c>
      <c r="K638" s="26">
        <v>0.21210000000000001</v>
      </c>
      <c r="L638" s="26">
        <v>0.74</v>
      </c>
      <c r="M638">
        <v>8.9599999999999999E-2</v>
      </c>
      <c r="N638" s="26">
        <v>1</v>
      </c>
      <c r="O638" s="26">
        <v>42</v>
      </c>
      <c r="P638" s="26">
        <v>43</v>
      </c>
      <c r="Q638" s="34" t="str">
        <f t="shared" si="27"/>
        <v>Clear</v>
      </c>
      <c r="R638" s="41" t="str">
        <f>IF(I638=1,"Normal",IF(I638=2,"Yellow Alert",IF(I638=3,"Orange Alert",IF(I638=4,"Red Alert"))))</f>
        <v>Normal</v>
      </c>
      <c r="S638" s="60">
        <f t="shared" si="28"/>
        <v>29</v>
      </c>
      <c r="T638" s="61">
        <f>MONTH(dataset_1!B:B)</f>
        <v>1</v>
      </c>
      <c r="U638" s="61">
        <f t="shared" si="29"/>
        <v>2011</v>
      </c>
      <c r="V638" s="59" t="str">
        <f>TEXT(F638/24,"H AM/PM")</f>
        <v>8 PM</v>
      </c>
      <c r="W638" s="59" t="str">
        <f>IF(H638=6,"Saturday",IF(H638=0,"Sunday",IF(H638=1,"Monday",IF(H638=2,"Tuesday",IF(H638=3,"Wednesday",IF(H638=4,"Thursday",IF(H638=5,"Friday")))))))</f>
        <v>Saturday</v>
      </c>
      <c r="X638" s="59" t="str">
        <f>IF(G638=FALSE,"Working day", IF(G638=TRUE,"Holiday"))</f>
        <v>Working day</v>
      </c>
    </row>
    <row r="639" spans="1:24" x14ac:dyDescent="0.25">
      <c r="A639" s="32">
        <v>639</v>
      </c>
      <c r="B639" s="33">
        <v>40572</v>
      </c>
      <c r="C639" s="26">
        <v>1</v>
      </c>
      <c r="D639" s="26">
        <v>0</v>
      </c>
      <c r="E639" s="26">
        <v>1</v>
      </c>
      <c r="F639" s="26">
        <v>21</v>
      </c>
      <c r="G639" s="26" t="b">
        <v>0</v>
      </c>
      <c r="H639" s="26">
        <v>6</v>
      </c>
      <c r="I639" s="26">
        <v>1</v>
      </c>
      <c r="J639" s="26">
        <v>0.18</v>
      </c>
      <c r="K639" s="26">
        <v>0.21210000000000001</v>
      </c>
      <c r="L639" s="26">
        <v>0.74</v>
      </c>
      <c r="M639">
        <v>8.9599999999999999E-2</v>
      </c>
      <c r="N639" s="26">
        <v>1</v>
      </c>
      <c r="O639" s="26">
        <v>35</v>
      </c>
      <c r="P639" s="26">
        <v>36</v>
      </c>
      <c r="Q639" s="34" t="str">
        <f t="shared" si="27"/>
        <v>Clear</v>
      </c>
      <c r="R639" s="41" t="str">
        <f>IF(I639=1,"Normal",IF(I639=2,"Yellow Alert",IF(I639=3,"Orange Alert",IF(I639=4,"Red Alert"))))</f>
        <v>Normal</v>
      </c>
      <c r="S639" s="60">
        <f t="shared" si="28"/>
        <v>29</v>
      </c>
      <c r="T639" s="61">
        <f>MONTH(dataset_1!B:B)</f>
        <v>1</v>
      </c>
      <c r="U639" s="61">
        <f t="shared" si="29"/>
        <v>2011</v>
      </c>
      <c r="V639" s="59" t="str">
        <f>TEXT(F639/24,"H AM/PM")</f>
        <v>9 PM</v>
      </c>
      <c r="W639" s="59" t="str">
        <f>IF(H639=6,"Saturday",IF(H639=0,"Sunday",IF(H639=1,"Monday",IF(H639=2,"Tuesday",IF(H639=3,"Wednesday",IF(H639=4,"Thursday",IF(H639=5,"Friday")))))))</f>
        <v>Saturday</v>
      </c>
      <c r="X639" s="59" t="str">
        <f>IF(G639=FALSE,"Working day", IF(G639=TRUE,"Holiday"))</f>
        <v>Working day</v>
      </c>
    </row>
    <row r="640" spans="1:24" x14ac:dyDescent="0.25">
      <c r="A640" s="32">
        <v>640</v>
      </c>
      <c r="B640" s="33">
        <v>40572</v>
      </c>
      <c r="C640" s="26">
        <v>1</v>
      </c>
      <c r="D640" s="26">
        <v>0</v>
      </c>
      <c r="E640" s="26">
        <v>1</v>
      </c>
      <c r="F640" s="26">
        <v>22</v>
      </c>
      <c r="G640" s="26" t="b">
        <v>0</v>
      </c>
      <c r="H640" s="26">
        <v>6</v>
      </c>
      <c r="I640" s="26">
        <v>1</v>
      </c>
      <c r="J640" s="26">
        <v>0.16</v>
      </c>
      <c r="K640" s="26">
        <v>0.19700000000000001</v>
      </c>
      <c r="L640" s="26">
        <v>0.8</v>
      </c>
      <c r="M640">
        <v>8.9599999999999999E-2</v>
      </c>
      <c r="N640" s="26">
        <v>4</v>
      </c>
      <c r="O640" s="26">
        <v>28</v>
      </c>
      <c r="P640" s="26">
        <v>32</v>
      </c>
      <c r="Q640" s="34" t="str">
        <f t="shared" si="27"/>
        <v>Clear</v>
      </c>
      <c r="R640" s="41" t="str">
        <f>IF(I640=1,"Normal",IF(I640=2,"Yellow Alert",IF(I640=3,"Orange Alert",IF(I640=4,"Red Alert"))))</f>
        <v>Normal</v>
      </c>
      <c r="S640" s="60">
        <f t="shared" si="28"/>
        <v>29</v>
      </c>
      <c r="T640" s="61">
        <f>MONTH(dataset_1!B:B)</f>
        <v>1</v>
      </c>
      <c r="U640" s="61">
        <f t="shared" si="29"/>
        <v>2011</v>
      </c>
      <c r="V640" s="59" t="str">
        <f>TEXT(F640/24,"H AM/PM")</f>
        <v>10 PM</v>
      </c>
      <c r="W640" s="59" t="str">
        <f>IF(H640=6,"Saturday",IF(H640=0,"Sunday",IF(H640=1,"Monday",IF(H640=2,"Tuesday",IF(H640=3,"Wednesday",IF(H640=4,"Thursday",IF(H640=5,"Friday")))))))</f>
        <v>Saturday</v>
      </c>
      <c r="X640" s="59" t="str">
        <f>IF(G640=FALSE,"Working day", IF(G640=TRUE,"Holiday"))</f>
        <v>Working day</v>
      </c>
    </row>
    <row r="641" spans="1:24" x14ac:dyDescent="0.25">
      <c r="A641" s="32">
        <v>641</v>
      </c>
      <c r="B641" s="33">
        <v>40572</v>
      </c>
      <c r="C641" s="26">
        <v>1</v>
      </c>
      <c r="D641" s="26">
        <v>0</v>
      </c>
      <c r="E641" s="26">
        <v>1</v>
      </c>
      <c r="F641" s="26">
        <v>23</v>
      </c>
      <c r="G641" s="26" t="b">
        <v>0</v>
      </c>
      <c r="H641" s="26">
        <v>6</v>
      </c>
      <c r="I641" s="26">
        <v>1</v>
      </c>
      <c r="J641" s="26">
        <v>0.16</v>
      </c>
      <c r="K641" s="26">
        <v>0.19700000000000001</v>
      </c>
      <c r="L641" s="26">
        <v>0.8</v>
      </c>
      <c r="M641">
        <v>8.9599999999999999E-2</v>
      </c>
      <c r="N641" s="26">
        <v>3</v>
      </c>
      <c r="O641" s="26">
        <v>30</v>
      </c>
      <c r="P641" s="26">
        <v>33</v>
      </c>
      <c r="Q641" s="34" t="str">
        <f t="shared" si="27"/>
        <v>Clear</v>
      </c>
      <c r="R641" s="41" t="str">
        <f>IF(I641=1,"Normal",IF(I641=2,"Yellow Alert",IF(I641=3,"Orange Alert",IF(I641=4,"Red Alert"))))</f>
        <v>Normal</v>
      </c>
      <c r="S641" s="60">
        <f t="shared" si="28"/>
        <v>29</v>
      </c>
      <c r="T641" s="61">
        <f>MONTH(dataset_1!B:B)</f>
        <v>1</v>
      </c>
      <c r="U641" s="61">
        <f t="shared" si="29"/>
        <v>2011</v>
      </c>
      <c r="V641" s="59" t="str">
        <f>TEXT(F641/24,"H AM/PM")</f>
        <v>11 PM</v>
      </c>
      <c r="W641" s="59" t="str">
        <f>IF(H641=6,"Saturday",IF(H641=0,"Sunday",IF(H641=1,"Monday",IF(H641=2,"Tuesday",IF(H641=3,"Wednesday",IF(H641=4,"Thursday",IF(H641=5,"Friday")))))))</f>
        <v>Saturday</v>
      </c>
      <c r="X641" s="59" t="str">
        <f>IF(G641=FALSE,"Working day", IF(G641=TRUE,"Holiday"))</f>
        <v>Working day</v>
      </c>
    </row>
    <row r="642" spans="1:24" x14ac:dyDescent="0.25">
      <c r="A642" s="32">
        <v>619</v>
      </c>
      <c r="B642" s="33">
        <v>40572</v>
      </c>
      <c r="C642" s="26">
        <v>1</v>
      </c>
      <c r="D642" s="26">
        <v>0</v>
      </c>
      <c r="E642" s="26">
        <v>1</v>
      </c>
      <c r="F642" s="26">
        <v>0</v>
      </c>
      <c r="G642" s="26" t="b">
        <v>0</v>
      </c>
      <c r="H642" s="26">
        <v>6</v>
      </c>
      <c r="I642" s="26">
        <v>1</v>
      </c>
      <c r="J642" s="26">
        <v>0.22</v>
      </c>
      <c r="K642" s="26">
        <v>0.19700000000000001</v>
      </c>
      <c r="L642" s="26">
        <v>0.64</v>
      </c>
      <c r="M642">
        <v>0.35820000000000002</v>
      </c>
      <c r="N642" s="26">
        <v>2</v>
      </c>
      <c r="O642" s="26">
        <v>26</v>
      </c>
      <c r="P642" s="26">
        <v>28</v>
      </c>
      <c r="Q642" s="34" t="str">
        <f t="shared" ref="Q642:Q705" si="30">IF(I642=1,"Clear",IF(I642=2,"Cloudy",IF(I642=3,"Light Rain",IF(I642=4,"Heavy Rain"))))</f>
        <v>Clear</v>
      </c>
      <c r="R642" s="41" t="str">
        <f>IF(I642=1,"Normal",IF(I642=2,"Yellow Alert",IF(I642=3,"Orange Alert",IF(I642=4,"Red Alert"))))</f>
        <v>Normal</v>
      </c>
      <c r="S642" s="60">
        <f t="shared" ref="S642:S705" si="31">DAY(B:B)</f>
        <v>29</v>
      </c>
      <c r="T642" s="61">
        <f>MONTH(dataset_1!B:B)</f>
        <v>1</v>
      </c>
      <c r="U642" s="61">
        <f t="shared" ref="U642:U705" si="32">YEAR(B:B)</f>
        <v>2011</v>
      </c>
      <c r="V642" s="59" t="str">
        <f>TEXT(F642/24,"H AM/PM")</f>
        <v>12 AM</v>
      </c>
      <c r="W642" s="59" t="str">
        <f>IF(H642=6,"Saturday",IF(H642=0,"Sunday",IF(H642=1,"Monday",IF(H642=2,"Tuesday",IF(H642=3,"Wednesday",IF(H642=4,"Thursday",IF(H642=5,"Friday")))))))</f>
        <v>Saturday</v>
      </c>
      <c r="X642" s="59" t="str">
        <f>IF(G642=FALSE,"Working day", IF(G642=TRUE,"Holiday"))</f>
        <v>Working day</v>
      </c>
    </row>
    <row r="643" spans="1:24" x14ac:dyDescent="0.25">
      <c r="A643" s="32">
        <v>642</v>
      </c>
      <c r="B643" s="33">
        <v>40573</v>
      </c>
      <c r="C643" s="26">
        <v>1</v>
      </c>
      <c r="D643" s="26">
        <v>0</v>
      </c>
      <c r="E643" s="26">
        <v>1</v>
      </c>
      <c r="F643" s="26">
        <v>0</v>
      </c>
      <c r="G643" s="26" t="b">
        <v>0</v>
      </c>
      <c r="H643" s="26">
        <v>0</v>
      </c>
      <c r="I643" s="26">
        <v>1</v>
      </c>
      <c r="J643" s="26">
        <v>0.16</v>
      </c>
      <c r="K643" s="26">
        <v>0.18179999999999999</v>
      </c>
      <c r="L643" s="26">
        <v>0.8</v>
      </c>
      <c r="M643">
        <v>0.1045</v>
      </c>
      <c r="N643" s="26">
        <v>0</v>
      </c>
      <c r="O643" s="26">
        <v>33</v>
      </c>
      <c r="P643" s="26">
        <v>33</v>
      </c>
      <c r="Q643" s="34" t="str">
        <f t="shared" si="30"/>
        <v>Clear</v>
      </c>
      <c r="R643" s="41" t="str">
        <f>IF(I643=1,"Normal",IF(I643=2,"Yellow Alert",IF(I643=3,"Orange Alert",IF(I643=4,"Red Alert"))))</f>
        <v>Normal</v>
      </c>
      <c r="S643" s="60">
        <f t="shared" si="31"/>
        <v>30</v>
      </c>
      <c r="T643" s="61">
        <f>MONTH(dataset_1!B:B)</f>
        <v>1</v>
      </c>
      <c r="U643" s="61">
        <f t="shared" si="32"/>
        <v>2011</v>
      </c>
      <c r="V643" s="59" t="str">
        <f>TEXT(F643/24,"H AM/PM")</f>
        <v>12 AM</v>
      </c>
      <c r="W643" s="59" t="str">
        <f>IF(H643=6,"Saturday",IF(H643=0,"Sunday",IF(H643=1,"Monday",IF(H643=2,"Tuesday",IF(H643=3,"Wednesday",IF(H643=4,"Thursday",IF(H643=5,"Friday")))))))</f>
        <v>Sunday</v>
      </c>
      <c r="X643" s="59" t="str">
        <f>IF(G643=FALSE,"Working day", IF(G643=TRUE,"Holiday"))</f>
        <v>Working day</v>
      </c>
    </row>
    <row r="644" spans="1:24" x14ac:dyDescent="0.25">
      <c r="A644" s="32">
        <v>643</v>
      </c>
      <c r="B644" s="33">
        <v>40573</v>
      </c>
      <c r="C644" s="26">
        <v>1</v>
      </c>
      <c r="D644" s="26">
        <v>0</v>
      </c>
      <c r="E644" s="26">
        <v>1</v>
      </c>
      <c r="F644" s="26">
        <v>1</v>
      </c>
      <c r="G644" s="26" t="b">
        <v>0</v>
      </c>
      <c r="H644" s="26">
        <v>0</v>
      </c>
      <c r="I644" s="26">
        <v>1</v>
      </c>
      <c r="J644" s="26">
        <v>0.14000000000000001</v>
      </c>
      <c r="K644" s="26">
        <v>0.21210000000000001</v>
      </c>
      <c r="L644" s="26">
        <v>0.8</v>
      </c>
      <c r="M644">
        <v>0</v>
      </c>
      <c r="N644" s="26">
        <v>7</v>
      </c>
      <c r="O644" s="26">
        <v>22</v>
      </c>
      <c r="P644" s="26">
        <v>29</v>
      </c>
      <c r="Q644" s="34" t="str">
        <f t="shared" si="30"/>
        <v>Clear</v>
      </c>
      <c r="R644" s="41" t="str">
        <f>IF(I644=1,"Normal",IF(I644=2,"Yellow Alert",IF(I644=3,"Orange Alert",IF(I644=4,"Red Alert"))))</f>
        <v>Normal</v>
      </c>
      <c r="S644" s="60">
        <f t="shared" si="31"/>
        <v>30</v>
      </c>
      <c r="T644" s="61">
        <f>MONTH(dataset_1!B:B)</f>
        <v>1</v>
      </c>
      <c r="U644" s="61">
        <f t="shared" si="32"/>
        <v>2011</v>
      </c>
      <c r="V644" s="59" t="str">
        <f>TEXT(F644/24,"H AM/PM")</f>
        <v>1 AM</v>
      </c>
      <c r="W644" s="59" t="str">
        <f>IF(H644=6,"Saturday",IF(H644=0,"Sunday",IF(H644=1,"Monday",IF(H644=2,"Tuesday",IF(H644=3,"Wednesday",IF(H644=4,"Thursday",IF(H644=5,"Friday")))))))</f>
        <v>Sunday</v>
      </c>
      <c r="X644" s="59" t="str">
        <f>IF(G644=FALSE,"Working day", IF(G644=TRUE,"Holiday"))</f>
        <v>Working day</v>
      </c>
    </row>
    <row r="645" spans="1:24" x14ac:dyDescent="0.25">
      <c r="A645" s="32">
        <v>644</v>
      </c>
      <c r="B645" s="33">
        <v>40573</v>
      </c>
      <c r="C645" s="26">
        <v>1</v>
      </c>
      <c r="D645" s="26">
        <v>0</v>
      </c>
      <c r="E645" s="26">
        <v>1</v>
      </c>
      <c r="F645" s="26">
        <v>2</v>
      </c>
      <c r="G645" s="26" t="b">
        <v>0</v>
      </c>
      <c r="H645" s="26">
        <v>0</v>
      </c>
      <c r="I645" s="26">
        <v>1</v>
      </c>
      <c r="J645" s="26">
        <v>0.16</v>
      </c>
      <c r="K645" s="26">
        <v>0.2273</v>
      </c>
      <c r="L645" s="26">
        <v>0.8</v>
      </c>
      <c r="M645">
        <v>0</v>
      </c>
      <c r="N645" s="26">
        <v>1</v>
      </c>
      <c r="O645" s="26">
        <v>10</v>
      </c>
      <c r="P645" s="26">
        <v>11</v>
      </c>
      <c r="Q645" s="34" t="str">
        <f t="shared" si="30"/>
        <v>Clear</v>
      </c>
      <c r="R645" s="41" t="str">
        <f>IF(I645=1,"Normal",IF(I645=2,"Yellow Alert",IF(I645=3,"Orange Alert",IF(I645=4,"Red Alert"))))</f>
        <v>Normal</v>
      </c>
      <c r="S645" s="60">
        <f t="shared" si="31"/>
        <v>30</v>
      </c>
      <c r="T645" s="61">
        <f>MONTH(dataset_1!B:B)</f>
        <v>1</v>
      </c>
      <c r="U645" s="61">
        <f t="shared" si="32"/>
        <v>2011</v>
      </c>
      <c r="V645" s="59" t="str">
        <f>TEXT(F645/24,"H AM/PM")</f>
        <v>2 AM</v>
      </c>
      <c r="W645" s="59" t="str">
        <f>IF(H645=6,"Saturday",IF(H645=0,"Sunday",IF(H645=1,"Monday",IF(H645=2,"Tuesday",IF(H645=3,"Wednesday",IF(H645=4,"Thursday",IF(H645=5,"Friday")))))))</f>
        <v>Sunday</v>
      </c>
      <c r="X645" s="59" t="str">
        <f>IF(G645=FALSE,"Working day", IF(G645=TRUE,"Holiday"))</f>
        <v>Working day</v>
      </c>
    </row>
    <row r="646" spans="1:24" x14ac:dyDescent="0.25">
      <c r="A646" s="32">
        <v>645</v>
      </c>
      <c r="B646" s="33">
        <v>40573</v>
      </c>
      <c r="C646" s="26">
        <v>1</v>
      </c>
      <c r="D646" s="26">
        <v>0</v>
      </c>
      <c r="E646" s="26">
        <v>1</v>
      </c>
      <c r="F646" s="26">
        <v>3</v>
      </c>
      <c r="G646" s="26" t="b">
        <v>0</v>
      </c>
      <c r="H646" s="26">
        <v>0</v>
      </c>
      <c r="I646" s="26">
        <v>1</v>
      </c>
      <c r="J646" s="26">
        <v>0.14000000000000001</v>
      </c>
      <c r="K646" s="26">
        <v>0.21210000000000001</v>
      </c>
      <c r="L646" s="26">
        <v>0.93</v>
      </c>
      <c r="M646">
        <v>0</v>
      </c>
      <c r="N646" s="26">
        <v>1</v>
      </c>
      <c r="O646" s="26">
        <v>7</v>
      </c>
      <c r="P646" s="26">
        <v>8</v>
      </c>
      <c r="Q646" s="34" t="str">
        <f t="shared" si="30"/>
        <v>Clear</v>
      </c>
      <c r="R646" s="41" t="str">
        <f>IF(I646=1,"Normal",IF(I646=2,"Yellow Alert",IF(I646=3,"Orange Alert",IF(I646=4,"Red Alert"))))</f>
        <v>Normal</v>
      </c>
      <c r="S646" s="60">
        <f t="shared" si="31"/>
        <v>30</v>
      </c>
      <c r="T646" s="61">
        <f>MONTH(dataset_1!B:B)</f>
        <v>1</v>
      </c>
      <c r="U646" s="61">
        <f t="shared" si="32"/>
        <v>2011</v>
      </c>
      <c r="V646" s="59" t="str">
        <f>TEXT(F646/24,"H AM/PM")</f>
        <v>3 AM</v>
      </c>
      <c r="W646" s="59" t="str">
        <f>IF(H646=6,"Saturday",IF(H646=0,"Sunday",IF(H646=1,"Monday",IF(H646=2,"Tuesday",IF(H646=3,"Wednesday",IF(H646=4,"Thursday",IF(H646=5,"Friday")))))))</f>
        <v>Sunday</v>
      </c>
      <c r="X646" s="59" t="str">
        <f>IF(G646=FALSE,"Working day", IF(G646=TRUE,"Holiday"))</f>
        <v>Working day</v>
      </c>
    </row>
    <row r="647" spans="1:24" x14ac:dyDescent="0.25">
      <c r="A647" s="32">
        <v>646</v>
      </c>
      <c r="B647" s="33">
        <v>40573</v>
      </c>
      <c r="C647" s="26">
        <v>1</v>
      </c>
      <c r="D647" s="26">
        <v>0</v>
      </c>
      <c r="E647" s="26">
        <v>1</v>
      </c>
      <c r="F647" s="26">
        <v>4</v>
      </c>
      <c r="G647" s="26" t="b">
        <v>0</v>
      </c>
      <c r="H647" s="26">
        <v>0</v>
      </c>
      <c r="I647" s="26">
        <v>1</v>
      </c>
      <c r="J647" s="26">
        <v>0.14000000000000001</v>
      </c>
      <c r="K647" s="26">
        <v>0.21210000000000001</v>
      </c>
      <c r="L647" s="26">
        <v>0.93</v>
      </c>
      <c r="M647">
        <v>0</v>
      </c>
      <c r="N647" s="26">
        <v>0</v>
      </c>
      <c r="O647" s="26">
        <v>1</v>
      </c>
      <c r="P647" s="26">
        <v>1</v>
      </c>
      <c r="Q647" s="34" t="str">
        <f t="shared" si="30"/>
        <v>Clear</v>
      </c>
      <c r="R647" s="41" t="str">
        <f>IF(I647=1,"Normal",IF(I647=2,"Yellow Alert",IF(I647=3,"Orange Alert",IF(I647=4,"Red Alert"))))</f>
        <v>Normal</v>
      </c>
      <c r="S647" s="60">
        <f t="shared" si="31"/>
        <v>30</v>
      </c>
      <c r="T647" s="61">
        <f>MONTH(dataset_1!B:B)</f>
        <v>1</v>
      </c>
      <c r="U647" s="61">
        <f t="shared" si="32"/>
        <v>2011</v>
      </c>
      <c r="V647" s="59" t="str">
        <f>TEXT(F647/24,"H AM/PM")</f>
        <v>4 AM</v>
      </c>
      <c r="W647" s="59" t="str">
        <f>IF(H647=6,"Saturday",IF(H647=0,"Sunday",IF(H647=1,"Monday",IF(H647=2,"Tuesday",IF(H647=3,"Wednesday",IF(H647=4,"Thursday",IF(H647=5,"Friday")))))))</f>
        <v>Sunday</v>
      </c>
      <c r="X647" s="59" t="str">
        <f>IF(G647=FALSE,"Working day", IF(G647=TRUE,"Holiday"))</f>
        <v>Working day</v>
      </c>
    </row>
    <row r="648" spans="1:24" x14ac:dyDescent="0.25">
      <c r="A648" s="32">
        <v>647</v>
      </c>
      <c r="B648" s="33">
        <v>40573</v>
      </c>
      <c r="C648" s="26">
        <v>1</v>
      </c>
      <c r="D648" s="26">
        <v>0</v>
      </c>
      <c r="E648" s="26">
        <v>1</v>
      </c>
      <c r="F648" s="26">
        <v>5</v>
      </c>
      <c r="G648" s="26" t="b">
        <v>0</v>
      </c>
      <c r="H648" s="26">
        <v>0</v>
      </c>
      <c r="I648" s="26">
        <v>1</v>
      </c>
      <c r="J648" s="26">
        <v>0.14000000000000001</v>
      </c>
      <c r="K648" s="26">
        <v>0.21210000000000001</v>
      </c>
      <c r="L648" s="26">
        <v>0.86</v>
      </c>
      <c r="M648">
        <v>0</v>
      </c>
      <c r="N648" s="26">
        <v>0</v>
      </c>
      <c r="O648" s="26">
        <v>3</v>
      </c>
      <c r="P648" s="26">
        <v>3</v>
      </c>
      <c r="Q648" s="34" t="str">
        <f t="shared" si="30"/>
        <v>Clear</v>
      </c>
      <c r="R648" s="41" t="str">
        <f>IF(I648=1,"Normal",IF(I648=2,"Yellow Alert",IF(I648=3,"Orange Alert",IF(I648=4,"Red Alert"))))</f>
        <v>Normal</v>
      </c>
      <c r="S648" s="60">
        <f t="shared" si="31"/>
        <v>30</v>
      </c>
      <c r="T648" s="61">
        <f>MONTH(dataset_1!B:B)</f>
        <v>1</v>
      </c>
      <c r="U648" s="61">
        <f t="shared" si="32"/>
        <v>2011</v>
      </c>
      <c r="V648" s="59" t="str">
        <f>TEXT(F648/24,"H AM/PM")</f>
        <v>5 AM</v>
      </c>
      <c r="W648" s="59" t="str">
        <f>IF(H648=6,"Saturday",IF(H648=0,"Sunday",IF(H648=1,"Monday",IF(H648=2,"Tuesday",IF(H648=3,"Wednesday",IF(H648=4,"Thursday",IF(H648=5,"Friday")))))))</f>
        <v>Sunday</v>
      </c>
      <c r="X648" s="59" t="str">
        <f>IF(G648=FALSE,"Working day", IF(G648=TRUE,"Holiday"))</f>
        <v>Working day</v>
      </c>
    </row>
    <row r="649" spans="1:24" x14ac:dyDescent="0.25">
      <c r="A649" s="32">
        <v>648</v>
      </c>
      <c r="B649" s="33">
        <v>40573</v>
      </c>
      <c r="C649" s="26">
        <v>1</v>
      </c>
      <c r="D649" s="26">
        <v>0</v>
      </c>
      <c r="E649" s="26">
        <v>1</v>
      </c>
      <c r="F649" s="26">
        <v>7</v>
      </c>
      <c r="G649" s="26" t="b">
        <v>0</v>
      </c>
      <c r="H649" s="26">
        <v>0</v>
      </c>
      <c r="I649" s="26">
        <v>1</v>
      </c>
      <c r="J649" s="26">
        <v>0.14000000000000001</v>
      </c>
      <c r="K649" s="26">
        <v>0.21210000000000001</v>
      </c>
      <c r="L649" s="26">
        <v>0.86</v>
      </c>
      <c r="M649">
        <v>0</v>
      </c>
      <c r="N649" s="26">
        <v>0</v>
      </c>
      <c r="O649" s="26">
        <v>3</v>
      </c>
      <c r="P649" s="26">
        <v>3</v>
      </c>
      <c r="Q649" s="34" t="str">
        <f t="shared" si="30"/>
        <v>Clear</v>
      </c>
      <c r="R649" s="41" t="str">
        <f>IF(I649=1,"Normal",IF(I649=2,"Yellow Alert",IF(I649=3,"Orange Alert",IF(I649=4,"Red Alert"))))</f>
        <v>Normal</v>
      </c>
      <c r="S649" s="60">
        <f t="shared" si="31"/>
        <v>30</v>
      </c>
      <c r="T649" s="61">
        <f>MONTH(dataset_1!B:B)</f>
        <v>1</v>
      </c>
      <c r="U649" s="61">
        <f t="shared" si="32"/>
        <v>2011</v>
      </c>
      <c r="V649" s="59" t="str">
        <f>TEXT(F649/24,"H AM/PM")</f>
        <v>7 AM</v>
      </c>
      <c r="W649" s="59" t="str">
        <f>IF(H649=6,"Saturday",IF(H649=0,"Sunday",IF(H649=1,"Monday",IF(H649=2,"Tuesday",IF(H649=3,"Wednesday",IF(H649=4,"Thursday",IF(H649=5,"Friday")))))))</f>
        <v>Sunday</v>
      </c>
      <c r="X649" s="59" t="str">
        <f>IF(G649=FALSE,"Working day", IF(G649=TRUE,"Holiday"))</f>
        <v>Working day</v>
      </c>
    </row>
    <row r="650" spans="1:24" x14ac:dyDescent="0.25">
      <c r="A650" s="32">
        <v>649</v>
      </c>
      <c r="B650" s="33">
        <v>40573</v>
      </c>
      <c r="C650" s="26">
        <v>1</v>
      </c>
      <c r="D650" s="26">
        <v>0</v>
      </c>
      <c r="E650" s="26">
        <v>1</v>
      </c>
      <c r="F650" s="26">
        <v>8</v>
      </c>
      <c r="G650" s="26" t="b">
        <v>0</v>
      </c>
      <c r="H650" s="26">
        <v>0</v>
      </c>
      <c r="I650" s="26">
        <v>2</v>
      </c>
      <c r="J650" s="26">
        <v>0.14000000000000001</v>
      </c>
      <c r="K650" s="26">
        <v>0.21210000000000001</v>
      </c>
      <c r="L650" s="26">
        <v>0.86</v>
      </c>
      <c r="M650">
        <v>0</v>
      </c>
      <c r="N650" s="26">
        <v>1</v>
      </c>
      <c r="O650" s="26">
        <v>11</v>
      </c>
      <c r="P650" s="26">
        <v>12</v>
      </c>
      <c r="Q650" s="34" t="str">
        <f t="shared" si="30"/>
        <v>Cloudy</v>
      </c>
      <c r="R650" s="41" t="str">
        <f>IF(I650=1,"Normal",IF(I650=2,"Yellow Alert",IF(I650=3,"Orange Alert",IF(I650=4,"Red Alert"))))</f>
        <v>Yellow Alert</v>
      </c>
      <c r="S650" s="60">
        <f t="shared" si="31"/>
        <v>30</v>
      </c>
      <c r="T650" s="61">
        <f>MONTH(dataset_1!B:B)</f>
        <v>1</v>
      </c>
      <c r="U650" s="61">
        <f t="shared" si="32"/>
        <v>2011</v>
      </c>
      <c r="V650" s="59" t="str">
        <f>TEXT(F650/24,"H AM/PM")</f>
        <v>8 AM</v>
      </c>
      <c r="W650" s="59" t="str">
        <f>IF(H650=6,"Saturday",IF(H650=0,"Sunday",IF(H650=1,"Monday",IF(H650=2,"Tuesday",IF(H650=3,"Wednesday",IF(H650=4,"Thursday",IF(H650=5,"Friday")))))))</f>
        <v>Sunday</v>
      </c>
      <c r="X650" s="59" t="str">
        <f>IF(G650=FALSE,"Working day", IF(G650=TRUE,"Holiday"))</f>
        <v>Working day</v>
      </c>
    </row>
    <row r="651" spans="1:24" x14ac:dyDescent="0.25">
      <c r="A651" s="32">
        <v>650</v>
      </c>
      <c r="B651" s="33">
        <v>40573</v>
      </c>
      <c r="C651" s="26">
        <v>1</v>
      </c>
      <c r="D651" s="26">
        <v>0</v>
      </c>
      <c r="E651" s="26">
        <v>1</v>
      </c>
      <c r="F651" s="26">
        <v>9</v>
      </c>
      <c r="G651" s="26" t="b">
        <v>0</v>
      </c>
      <c r="H651" s="26">
        <v>0</v>
      </c>
      <c r="I651" s="26">
        <v>2</v>
      </c>
      <c r="J651" s="26">
        <v>0.16</v>
      </c>
      <c r="K651" s="26">
        <v>0.2273</v>
      </c>
      <c r="L651" s="26">
        <v>0.8</v>
      </c>
      <c r="M651">
        <v>0</v>
      </c>
      <c r="N651" s="26">
        <v>4</v>
      </c>
      <c r="O651" s="26">
        <v>34</v>
      </c>
      <c r="P651" s="26">
        <v>38</v>
      </c>
      <c r="Q651" s="34" t="str">
        <f t="shared" si="30"/>
        <v>Cloudy</v>
      </c>
      <c r="R651" s="41" t="str">
        <f>IF(I651=1,"Normal",IF(I651=2,"Yellow Alert",IF(I651=3,"Orange Alert",IF(I651=4,"Red Alert"))))</f>
        <v>Yellow Alert</v>
      </c>
      <c r="S651" s="60">
        <f t="shared" si="31"/>
        <v>30</v>
      </c>
      <c r="T651" s="61">
        <f>MONTH(dataset_1!B:B)</f>
        <v>1</v>
      </c>
      <c r="U651" s="61">
        <f t="shared" si="32"/>
        <v>2011</v>
      </c>
      <c r="V651" s="59" t="str">
        <f>TEXT(F651/24,"H AM/PM")</f>
        <v>9 AM</v>
      </c>
      <c r="W651" s="59" t="str">
        <f>IF(H651=6,"Saturday",IF(H651=0,"Sunday",IF(H651=1,"Monday",IF(H651=2,"Tuesday",IF(H651=3,"Wednesday",IF(H651=4,"Thursday",IF(H651=5,"Friday")))))))</f>
        <v>Sunday</v>
      </c>
      <c r="X651" s="59" t="str">
        <f>IF(G651=FALSE,"Working day", IF(G651=TRUE,"Holiday"))</f>
        <v>Working day</v>
      </c>
    </row>
    <row r="652" spans="1:24" x14ac:dyDescent="0.25">
      <c r="A652" s="32">
        <v>651</v>
      </c>
      <c r="B652" s="33">
        <v>40573</v>
      </c>
      <c r="C652" s="26">
        <v>1</v>
      </c>
      <c r="D652" s="26">
        <v>0</v>
      </c>
      <c r="E652" s="26">
        <v>1</v>
      </c>
      <c r="F652" s="26">
        <v>10</v>
      </c>
      <c r="G652" s="26" t="b">
        <v>0</v>
      </c>
      <c r="H652" s="26">
        <v>0</v>
      </c>
      <c r="I652" s="26">
        <v>2</v>
      </c>
      <c r="J652" s="26">
        <v>0.18</v>
      </c>
      <c r="K652" s="26">
        <v>0.2424</v>
      </c>
      <c r="L652" s="26">
        <v>0.8</v>
      </c>
      <c r="M652">
        <v>0</v>
      </c>
      <c r="N652" s="26">
        <v>7</v>
      </c>
      <c r="O652" s="26">
        <v>57</v>
      </c>
      <c r="P652" s="26">
        <v>64</v>
      </c>
      <c r="Q652" s="34" t="str">
        <f t="shared" si="30"/>
        <v>Cloudy</v>
      </c>
      <c r="R652" s="41" t="str">
        <f>IF(I652=1,"Normal",IF(I652=2,"Yellow Alert",IF(I652=3,"Orange Alert",IF(I652=4,"Red Alert"))))</f>
        <v>Yellow Alert</v>
      </c>
      <c r="S652" s="60">
        <f t="shared" si="31"/>
        <v>30</v>
      </c>
      <c r="T652" s="61">
        <f>MONTH(dataset_1!B:B)</f>
        <v>1</v>
      </c>
      <c r="U652" s="61">
        <f t="shared" si="32"/>
        <v>2011</v>
      </c>
      <c r="V652" s="59" t="str">
        <f>TEXT(F652/24,"H AM/PM")</f>
        <v>10 AM</v>
      </c>
      <c r="W652" s="59" t="str">
        <f>IF(H652=6,"Saturday",IF(H652=0,"Sunday",IF(H652=1,"Monday",IF(H652=2,"Tuesday",IF(H652=3,"Wednesday",IF(H652=4,"Thursday",IF(H652=5,"Friday")))))))</f>
        <v>Sunday</v>
      </c>
      <c r="X652" s="59" t="str">
        <f>IF(G652=FALSE,"Working day", IF(G652=TRUE,"Holiday"))</f>
        <v>Working day</v>
      </c>
    </row>
    <row r="653" spans="1:24" x14ac:dyDescent="0.25">
      <c r="A653" s="32">
        <v>652</v>
      </c>
      <c r="B653" s="33">
        <v>40573</v>
      </c>
      <c r="C653" s="26">
        <v>1</v>
      </c>
      <c r="D653" s="26">
        <v>0</v>
      </c>
      <c r="E653" s="26">
        <v>1</v>
      </c>
      <c r="F653" s="26">
        <v>11</v>
      </c>
      <c r="G653" s="26" t="b">
        <v>0</v>
      </c>
      <c r="H653" s="26">
        <v>0</v>
      </c>
      <c r="I653" s="26">
        <v>1</v>
      </c>
      <c r="J653" s="26">
        <v>0.22</v>
      </c>
      <c r="K653" s="26">
        <v>0.2727</v>
      </c>
      <c r="L653" s="26">
        <v>0.75</v>
      </c>
      <c r="M653">
        <v>0</v>
      </c>
      <c r="N653" s="26">
        <v>9</v>
      </c>
      <c r="O653" s="26">
        <v>50</v>
      </c>
      <c r="P653" s="26">
        <v>59</v>
      </c>
      <c r="Q653" s="34" t="str">
        <f t="shared" si="30"/>
        <v>Clear</v>
      </c>
      <c r="R653" s="41" t="str">
        <f>IF(I653=1,"Normal",IF(I653=2,"Yellow Alert",IF(I653=3,"Orange Alert",IF(I653=4,"Red Alert"))))</f>
        <v>Normal</v>
      </c>
      <c r="S653" s="60">
        <f t="shared" si="31"/>
        <v>30</v>
      </c>
      <c r="T653" s="61">
        <f>MONTH(dataset_1!B:B)</f>
        <v>1</v>
      </c>
      <c r="U653" s="61">
        <f t="shared" si="32"/>
        <v>2011</v>
      </c>
      <c r="V653" s="59" t="str">
        <f>TEXT(F653/24,"H AM/PM")</f>
        <v>11 AM</v>
      </c>
      <c r="W653" s="59" t="str">
        <f>IF(H653=6,"Saturday",IF(H653=0,"Sunday",IF(H653=1,"Monday",IF(H653=2,"Tuesday",IF(H653=3,"Wednesday",IF(H653=4,"Thursday",IF(H653=5,"Friday")))))))</f>
        <v>Sunday</v>
      </c>
      <c r="X653" s="59" t="str">
        <f>IF(G653=FALSE,"Working day", IF(G653=TRUE,"Holiday"))</f>
        <v>Working day</v>
      </c>
    </row>
    <row r="654" spans="1:24" x14ac:dyDescent="0.25">
      <c r="A654" s="32">
        <v>653</v>
      </c>
      <c r="B654" s="33">
        <v>40573</v>
      </c>
      <c r="C654" s="26">
        <v>1</v>
      </c>
      <c r="D654" s="26">
        <v>0</v>
      </c>
      <c r="E654" s="26">
        <v>1</v>
      </c>
      <c r="F654" s="26">
        <v>12</v>
      </c>
      <c r="G654" s="26" t="b">
        <v>0</v>
      </c>
      <c r="H654" s="26">
        <v>0</v>
      </c>
      <c r="I654" s="26">
        <v>1</v>
      </c>
      <c r="J654" s="26">
        <v>0.3</v>
      </c>
      <c r="K654" s="26">
        <v>0.31819999999999998</v>
      </c>
      <c r="L654" s="26">
        <v>0.52</v>
      </c>
      <c r="M654">
        <v>0.1045</v>
      </c>
      <c r="N654" s="26">
        <v>10</v>
      </c>
      <c r="O654" s="26">
        <v>87</v>
      </c>
      <c r="P654" s="26">
        <v>97</v>
      </c>
      <c r="Q654" s="34" t="str">
        <f t="shared" si="30"/>
        <v>Clear</v>
      </c>
      <c r="R654" s="41" t="str">
        <f>IF(I654=1,"Normal",IF(I654=2,"Yellow Alert",IF(I654=3,"Orange Alert",IF(I654=4,"Red Alert"))))</f>
        <v>Normal</v>
      </c>
      <c r="S654" s="60">
        <f t="shared" si="31"/>
        <v>30</v>
      </c>
      <c r="T654" s="61">
        <f>MONTH(dataset_1!B:B)</f>
        <v>1</v>
      </c>
      <c r="U654" s="61">
        <f t="shared" si="32"/>
        <v>2011</v>
      </c>
      <c r="V654" s="59" t="str">
        <f>TEXT(F654/24,"H AM/PM")</f>
        <v>12 PM</v>
      </c>
      <c r="W654" s="59" t="str">
        <f>IF(H654=6,"Saturday",IF(H654=0,"Sunday",IF(H654=1,"Monday",IF(H654=2,"Tuesday",IF(H654=3,"Wednesday",IF(H654=4,"Thursday",IF(H654=5,"Friday")))))))</f>
        <v>Sunday</v>
      </c>
      <c r="X654" s="59" t="str">
        <f>IF(G654=FALSE,"Working day", IF(G654=TRUE,"Holiday"))</f>
        <v>Working day</v>
      </c>
    </row>
    <row r="655" spans="1:24" x14ac:dyDescent="0.25">
      <c r="A655" s="32">
        <v>654</v>
      </c>
      <c r="B655" s="33">
        <v>40573</v>
      </c>
      <c r="C655" s="26">
        <v>1</v>
      </c>
      <c r="D655" s="26">
        <v>0</v>
      </c>
      <c r="E655" s="26">
        <v>1</v>
      </c>
      <c r="F655" s="26">
        <v>13</v>
      </c>
      <c r="G655" s="26" t="b">
        <v>0</v>
      </c>
      <c r="H655" s="26">
        <v>0</v>
      </c>
      <c r="I655" s="26">
        <v>1</v>
      </c>
      <c r="J655" s="26">
        <v>0.28000000000000003</v>
      </c>
      <c r="K655" s="26">
        <v>0.28789999999999999</v>
      </c>
      <c r="L655" s="26">
        <v>0.61</v>
      </c>
      <c r="M655">
        <v>0.1045</v>
      </c>
      <c r="N655" s="26">
        <v>13</v>
      </c>
      <c r="O655" s="26">
        <v>71</v>
      </c>
      <c r="P655" s="26">
        <v>84</v>
      </c>
      <c r="Q655" s="34" t="str">
        <f t="shared" si="30"/>
        <v>Clear</v>
      </c>
      <c r="R655" s="41" t="str">
        <f>IF(I655=1,"Normal",IF(I655=2,"Yellow Alert",IF(I655=3,"Orange Alert",IF(I655=4,"Red Alert"))))</f>
        <v>Normal</v>
      </c>
      <c r="S655" s="60">
        <f t="shared" si="31"/>
        <v>30</v>
      </c>
      <c r="T655" s="61">
        <f>MONTH(dataset_1!B:B)</f>
        <v>1</v>
      </c>
      <c r="U655" s="61">
        <f t="shared" si="32"/>
        <v>2011</v>
      </c>
      <c r="V655" s="59" t="str">
        <f>TEXT(F655/24,"H AM/PM")</f>
        <v>1 PM</v>
      </c>
      <c r="W655" s="59" t="str">
        <f>IF(H655=6,"Saturday",IF(H655=0,"Sunday",IF(H655=1,"Monday",IF(H655=2,"Tuesday",IF(H655=3,"Wednesday",IF(H655=4,"Thursday",IF(H655=5,"Friday")))))))</f>
        <v>Sunday</v>
      </c>
      <c r="X655" s="59" t="str">
        <f>IF(G655=FALSE,"Working day", IF(G655=TRUE,"Holiday"))</f>
        <v>Working day</v>
      </c>
    </row>
    <row r="656" spans="1:24" x14ac:dyDescent="0.25">
      <c r="A656" s="32">
        <v>655</v>
      </c>
      <c r="B656" s="33">
        <v>40573</v>
      </c>
      <c r="C656" s="26">
        <v>1</v>
      </c>
      <c r="D656" s="26">
        <v>0</v>
      </c>
      <c r="E656" s="26">
        <v>1</v>
      </c>
      <c r="F656" s="26">
        <v>14</v>
      </c>
      <c r="G656" s="26" t="b">
        <v>0</v>
      </c>
      <c r="H656" s="26">
        <v>0</v>
      </c>
      <c r="I656" s="26">
        <v>1</v>
      </c>
      <c r="J656" s="26">
        <v>0.28000000000000003</v>
      </c>
      <c r="K656" s="26">
        <v>0.30299999999999999</v>
      </c>
      <c r="L656" s="26">
        <v>0.61</v>
      </c>
      <c r="M656">
        <v>8.9599999999999999E-2</v>
      </c>
      <c r="N656" s="26">
        <v>18</v>
      </c>
      <c r="O656" s="26">
        <v>104</v>
      </c>
      <c r="P656" s="26">
        <v>122</v>
      </c>
      <c r="Q656" s="34" t="str">
        <f t="shared" si="30"/>
        <v>Clear</v>
      </c>
      <c r="R656" s="41" t="str">
        <f>IF(I656=1,"Normal",IF(I656=2,"Yellow Alert",IF(I656=3,"Orange Alert",IF(I656=4,"Red Alert"))))</f>
        <v>Normal</v>
      </c>
      <c r="S656" s="60">
        <f t="shared" si="31"/>
        <v>30</v>
      </c>
      <c r="T656" s="61">
        <f>MONTH(dataset_1!B:B)</f>
        <v>1</v>
      </c>
      <c r="U656" s="61">
        <f t="shared" si="32"/>
        <v>2011</v>
      </c>
      <c r="V656" s="59" t="str">
        <f>TEXT(F656/24,"H AM/PM")</f>
        <v>2 PM</v>
      </c>
      <c r="W656" s="59" t="str">
        <f>IF(H656=6,"Saturday",IF(H656=0,"Sunday",IF(H656=1,"Monday",IF(H656=2,"Tuesday",IF(H656=3,"Wednesday",IF(H656=4,"Thursday",IF(H656=5,"Friday")))))))</f>
        <v>Sunday</v>
      </c>
      <c r="X656" s="59" t="str">
        <f>IF(G656=FALSE,"Working day", IF(G656=TRUE,"Holiday"))</f>
        <v>Working day</v>
      </c>
    </row>
    <row r="657" spans="1:24" x14ac:dyDescent="0.25">
      <c r="A657" s="32">
        <v>656</v>
      </c>
      <c r="B657" s="33">
        <v>40573</v>
      </c>
      <c r="C657" s="26">
        <v>1</v>
      </c>
      <c r="D657" s="26">
        <v>0</v>
      </c>
      <c r="E657" s="26">
        <v>1</v>
      </c>
      <c r="F657" s="26">
        <v>15</v>
      </c>
      <c r="G657" s="26" t="b">
        <v>0</v>
      </c>
      <c r="H657" s="26">
        <v>0</v>
      </c>
      <c r="I657" s="26">
        <v>1</v>
      </c>
      <c r="J657" s="26">
        <v>0.3</v>
      </c>
      <c r="K657" s="26">
        <v>0.33329999999999999</v>
      </c>
      <c r="L657" s="26">
        <v>0.56000000000000005</v>
      </c>
      <c r="M657">
        <v>0</v>
      </c>
      <c r="N657" s="26">
        <v>14</v>
      </c>
      <c r="O657" s="26">
        <v>95</v>
      </c>
      <c r="P657" s="26">
        <v>109</v>
      </c>
      <c r="Q657" s="34" t="str">
        <f t="shared" si="30"/>
        <v>Clear</v>
      </c>
      <c r="R657" s="41" t="str">
        <f>IF(I657=1,"Normal",IF(I657=2,"Yellow Alert",IF(I657=3,"Orange Alert",IF(I657=4,"Red Alert"))))</f>
        <v>Normal</v>
      </c>
      <c r="S657" s="60">
        <f t="shared" si="31"/>
        <v>30</v>
      </c>
      <c r="T657" s="61">
        <f>MONTH(dataset_1!B:B)</f>
        <v>1</v>
      </c>
      <c r="U657" s="61">
        <f t="shared" si="32"/>
        <v>2011</v>
      </c>
      <c r="V657" s="59" t="str">
        <f>TEXT(F657/24,"H AM/PM")</f>
        <v>3 PM</v>
      </c>
      <c r="W657" s="59" t="str">
        <f>IF(H657=6,"Saturday",IF(H657=0,"Sunday",IF(H657=1,"Monday",IF(H657=2,"Tuesday",IF(H657=3,"Wednesday",IF(H657=4,"Thursday",IF(H657=5,"Friday")))))))</f>
        <v>Sunday</v>
      </c>
      <c r="X657" s="59" t="str">
        <f>IF(G657=FALSE,"Working day", IF(G657=TRUE,"Holiday"))</f>
        <v>Working day</v>
      </c>
    </row>
    <row r="658" spans="1:24" x14ac:dyDescent="0.25">
      <c r="A658" s="32">
        <v>657</v>
      </c>
      <c r="B658" s="33">
        <v>40573</v>
      </c>
      <c r="C658" s="26">
        <v>1</v>
      </c>
      <c r="D658" s="26">
        <v>0</v>
      </c>
      <c r="E658" s="26">
        <v>1</v>
      </c>
      <c r="F658" s="26">
        <v>16</v>
      </c>
      <c r="G658" s="26" t="b">
        <v>0</v>
      </c>
      <c r="H658" s="26">
        <v>0</v>
      </c>
      <c r="I658" s="26">
        <v>1</v>
      </c>
      <c r="J658" s="26">
        <v>0.3</v>
      </c>
      <c r="K658" s="26">
        <v>0.33329999999999999</v>
      </c>
      <c r="L658" s="26">
        <v>0.56000000000000005</v>
      </c>
      <c r="M658">
        <v>0</v>
      </c>
      <c r="N658" s="26">
        <v>19</v>
      </c>
      <c r="O658" s="26">
        <v>104</v>
      </c>
      <c r="P658" s="26">
        <v>123</v>
      </c>
      <c r="Q658" s="34" t="str">
        <f t="shared" si="30"/>
        <v>Clear</v>
      </c>
      <c r="R658" s="41" t="str">
        <f>IF(I658=1,"Normal",IF(I658=2,"Yellow Alert",IF(I658=3,"Orange Alert",IF(I658=4,"Red Alert"))))</f>
        <v>Normal</v>
      </c>
      <c r="S658" s="60">
        <f t="shared" si="31"/>
        <v>30</v>
      </c>
      <c r="T658" s="61">
        <f>MONTH(dataset_1!B:B)</f>
        <v>1</v>
      </c>
      <c r="U658" s="61">
        <f t="shared" si="32"/>
        <v>2011</v>
      </c>
      <c r="V658" s="59" t="str">
        <f>TEXT(F658/24,"H AM/PM")</f>
        <v>4 PM</v>
      </c>
      <c r="W658" s="59" t="str">
        <f>IF(H658=6,"Saturday",IF(H658=0,"Sunday",IF(H658=1,"Monday",IF(H658=2,"Tuesday",IF(H658=3,"Wednesday",IF(H658=4,"Thursday",IF(H658=5,"Friday")))))))</f>
        <v>Sunday</v>
      </c>
      <c r="X658" s="59" t="str">
        <f>IF(G658=FALSE,"Working day", IF(G658=TRUE,"Holiday"))</f>
        <v>Working day</v>
      </c>
    </row>
    <row r="659" spans="1:24" x14ac:dyDescent="0.25">
      <c r="A659" s="32">
        <v>658</v>
      </c>
      <c r="B659" s="33">
        <v>40573</v>
      </c>
      <c r="C659" s="26">
        <v>1</v>
      </c>
      <c r="D659" s="26">
        <v>0</v>
      </c>
      <c r="E659" s="26">
        <v>1</v>
      </c>
      <c r="F659" s="26">
        <v>17</v>
      </c>
      <c r="G659" s="26" t="b">
        <v>0</v>
      </c>
      <c r="H659" s="26">
        <v>0</v>
      </c>
      <c r="I659" s="26">
        <v>1</v>
      </c>
      <c r="J659" s="26">
        <v>0.3</v>
      </c>
      <c r="K659" s="26">
        <v>0.28789999999999999</v>
      </c>
      <c r="L659" s="26">
        <v>0.56000000000000005</v>
      </c>
      <c r="M659">
        <v>0.19400000000000001</v>
      </c>
      <c r="N659" s="26">
        <v>6</v>
      </c>
      <c r="O659" s="26">
        <v>71</v>
      </c>
      <c r="P659" s="26">
        <v>77</v>
      </c>
      <c r="Q659" s="34" t="str">
        <f t="shared" si="30"/>
        <v>Clear</v>
      </c>
      <c r="R659" s="41" t="str">
        <f>IF(I659=1,"Normal",IF(I659=2,"Yellow Alert",IF(I659=3,"Orange Alert",IF(I659=4,"Red Alert"))))</f>
        <v>Normal</v>
      </c>
      <c r="S659" s="60">
        <f t="shared" si="31"/>
        <v>30</v>
      </c>
      <c r="T659" s="61">
        <f>MONTH(dataset_1!B:B)</f>
        <v>1</v>
      </c>
      <c r="U659" s="61">
        <f t="shared" si="32"/>
        <v>2011</v>
      </c>
      <c r="V659" s="59" t="str">
        <f>TEXT(F659/24,"H AM/PM")</f>
        <v>5 PM</v>
      </c>
      <c r="W659" s="59" t="str">
        <f>IF(H659=6,"Saturday",IF(H659=0,"Sunday",IF(H659=1,"Monday",IF(H659=2,"Tuesday",IF(H659=3,"Wednesday",IF(H659=4,"Thursday",IF(H659=5,"Friday")))))))</f>
        <v>Sunday</v>
      </c>
      <c r="X659" s="59" t="str">
        <f>IF(G659=FALSE,"Working day", IF(G659=TRUE,"Holiday"))</f>
        <v>Working day</v>
      </c>
    </row>
    <row r="660" spans="1:24" x14ac:dyDescent="0.25">
      <c r="A660" s="32">
        <v>659</v>
      </c>
      <c r="B660" s="33">
        <v>40573</v>
      </c>
      <c r="C660" s="26">
        <v>1</v>
      </c>
      <c r="D660" s="26">
        <v>0</v>
      </c>
      <c r="E660" s="26">
        <v>1</v>
      </c>
      <c r="F660" s="26">
        <v>18</v>
      </c>
      <c r="G660" s="26" t="b">
        <v>0</v>
      </c>
      <c r="H660" s="26">
        <v>0</v>
      </c>
      <c r="I660" s="26">
        <v>1</v>
      </c>
      <c r="J660" s="26">
        <v>0.26</v>
      </c>
      <c r="K660" s="26">
        <v>0.2576</v>
      </c>
      <c r="L660" s="26">
        <v>0.65</v>
      </c>
      <c r="M660">
        <v>0.16420000000000001</v>
      </c>
      <c r="N660" s="26">
        <v>8</v>
      </c>
      <c r="O660" s="26">
        <v>57</v>
      </c>
      <c r="P660" s="26">
        <v>65</v>
      </c>
      <c r="Q660" s="34" t="str">
        <f t="shared" si="30"/>
        <v>Clear</v>
      </c>
      <c r="R660" s="41" t="str">
        <f>IF(I660=1,"Normal",IF(I660=2,"Yellow Alert",IF(I660=3,"Orange Alert",IF(I660=4,"Red Alert"))))</f>
        <v>Normal</v>
      </c>
      <c r="S660" s="60">
        <f t="shared" si="31"/>
        <v>30</v>
      </c>
      <c r="T660" s="61">
        <f>MONTH(dataset_1!B:B)</f>
        <v>1</v>
      </c>
      <c r="U660" s="61">
        <f t="shared" si="32"/>
        <v>2011</v>
      </c>
      <c r="V660" s="59" t="str">
        <f>TEXT(F660/24,"H AM/PM")</f>
        <v>6 PM</v>
      </c>
      <c r="W660" s="59" t="str">
        <f>IF(H660=6,"Saturday",IF(H660=0,"Sunday",IF(H660=1,"Monday",IF(H660=2,"Tuesday",IF(H660=3,"Wednesday",IF(H660=4,"Thursday",IF(H660=5,"Friday")))))))</f>
        <v>Sunday</v>
      </c>
      <c r="X660" s="59" t="str">
        <f>IF(G660=FALSE,"Working day", IF(G660=TRUE,"Holiday"))</f>
        <v>Working day</v>
      </c>
    </row>
    <row r="661" spans="1:24" x14ac:dyDescent="0.25">
      <c r="A661" s="32">
        <v>660</v>
      </c>
      <c r="B661" s="33">
        <v>40573</v>
      </c>
      <c r="C661" s="26">
        <v>1</v>
      </c>
      <c r="D661" s="26">
        <v>0</v>
      </c>
      <c r="E661" s="26">
        <v>1</v>
      </c>
      <c r="F661" s="26">
        <v>19</v>
      </c>
      <c r="G661" s="26" t="b">
        <v>0</v>
      </c>
      <c r="H661" s="26">
        <v>0</v>
      </c>
      <c r="I661" s="26">
        <v>1</v>
      </c>
      <c r="J661" s="26">
        <v>0.26</v>
      </c>
      <c r="K661" s="26">
        <v>0.2576</v>
      </c>
      <c r="L661" s="26">
        <v>0.65</v>
      </c>
      <c r="M661">
        <v>0.19400000000000001</v>
      </c>
      <c r="N661" s="26">
        <v>9</v>
      </c>
      <c r="O661" s="26">
        <v>46</v>
      </c>
      <c r="P661" s="26">
        <v>55</v>
      </c>
      <c r="Q661" s="34" t="str">
        <f t="shared" si="30"/>
        <v>Clear</v>
      </c>
      <c r="R661" s="41" t="str">
        <f>IF(I661=1,"Normal",IF(I661=2,"Yellow Alert",IF(I661=3,"Orange Alert",IF(I661=4,"Red Alert"))))</f>
        <v>Normal</v>
      </c>
      <c r="S661" s="60">
        <f t="shared" si="31"/>
        <v>30</v>
      </c>
      <c r="T661" s="61">
        <f>MONTH(dataset_1!B:B)</f>
        <v>1</v>
      </c>
      <c r="U661" s="61">
        <f t="shared" si="32"/>
        <v>2011</v>
      </c>
      <c r="V661" s="59" t="str">
        <f>TEXT(F661/24,"H AM/PM")</f>
        <v>7 PM</v>
      </c>
      <c r="W661" s="59" t="str">
        <f>IF(H661=6,"Saturday",IF(H661=0,"Sunday",IF(H661=1,"Monday",IF(H661=2,"Tuesday",IF(H661=3,"Wednesday",IF(H661=4,"Thursday",IF(H661=5,"Friday")))))))</f>
        <v>Sunday</v>
      </c>
      <c r="X661" s="59" t="str">
        <f>IF(G661=FALSE,"Working day", IF(G661=TRUE,"Holiday"))</f>
        <v>Working day</v>
      </c>
    </row>
    <row r="662" spans="1:24" x14ac:dyDescent="0.25">
      <c r="A662" s="32">
        <v>661</v>
      </c>
      <c r="B662" s="33">
        <v>40573</v>
      </c>
      <c r="C662" s="26">
        <v>1</v>
      </c>
      <c r="D662" s="26">
        <v>0</v>
      </c>
      <c r="E662" s="26">
        <v>1</v>
      </c>
      <c r="F662" s="26">
        <v>20</v>
      </c>
      <c r="G662" s="26" t="b">
        <v>0</v>
      </c>
      <c r="H662" s="26">
        <v>0</v>
      </c>
      <c r="I662" s="26">
        <v>2</v>
      </c>
      <c r="J662" s="26">
        <v>0.26</v>
      </c>
      <c r="K662" s="26">
        <v>0.2727</v>
      </c>
      <c r="L662" s="26">
        <v>0.65</v>
      </c>
      <c r="M662">
        <v>0.1045</v>
      </c>
      <c r="N662" s="26">
        <v>3</v>
      </c>
      <c r="O662" s="26">
        <v>30</v>
      </c>
      <c r="P662" s="26">
        <v>33</v>
      </c>
      <c r="Q662" s="34" t="str">
        <f t="shared" si="30"/>
        <v>Cloudy</v>
      </c>
      <c r="R662" s="41" t="str">
        <f>IF(I662=1,"Normal",IF(I662=2,"Yellow Alert",IF(I662=3,"Orange Alert",IF(I662=4,"Red Alert"))))</f>
        <v>Yellow Alert</v>
      </c>
      <c r="S662" s="60">
        <f t="shared" si="31"/>
        <v>30</v>
      </c>
      <c r="T662" s="61">
        <f>MONTH(dataset_1!B:B)</f>
        <v>1</v>
      </c>
      <c r="U662" s="61">
        <f t="shared" si="32"/>
        <v>2011</v>
      </c>
      <c r="V662" s="59" t="str">
        <f>TEXT(F662/24,"H AM/PM")</f>
        <v>8 PM</v>
      </c>
      <c r="W662" s="59" t="str">
        <f>IF(H662=6,"Saturday",IF(H662=0,"Sunday",IF(H662=1,"Monday",IF(H662=2,"Tuesday",IF(H662=3,"Wednesday",IF(H662=4,"Thursday",IF(H662=5,"Friday")))))))</f>
        <v>Sunday</v>
      </c>
      <c r="X662" s="59" t="str">
        <f>IF(G662=FALSE,"Working day", IF(G662=TRUE,"Holiday"))</f>
        <v>Working day</v>
      </c>
    </row>
    <row r="663" spans="1:24" x14ac:dyDescent="0.25">
      <c r="A663" s="32">
        <v>662</v>
      </c>
      <c r="B663" s="33">
        <v>40573</v>
      </c>
      <c r="C663" s="26">
        <v>1</v>
      </c>
      <c r="D663" s="26">
        <v>0</v>
      </c>
      <c r="E663" s="26">
        <v>1</v>
      </c>
      <c r="F663" s="26">
        <v>21</v>
      </c>
      <c r="G663" s="26" t="b">
        <v>0</v>
      </c>
      <c r="H663" s="26">
        <v>0</v>
      </c>
      <c r="I663" s="26">
        <v>2</v>
      </c>
      <c r="J663" s="26">
        <v>0.24</v>
      </c>
      <c r="K663" s="26">
        <v>0.2424</v>
      </c>
      <c r="L663" s="26">
        <v>0.7</v>
      </c>
      <c r="M663">
        <v>0.16420000000000001</v>
      </c>
      <c r="N663" s="26">
        <v>3</v>
      </c>
      <c r="O663" s="26">
        <v>25</v>
      </c>
      <c r="P663" s="26">
        <v>28</v>
      </c>
      <c r="Q663" s="34" t="str">
        <f t="shared" si="30"/>
        <v>Cloudy</v>
      </c>
      <c r="R663" s="41" t="str">
        <f>IF(I663=1,"Normal",IF(I663=2,"Yellow Alert",IF(I663=3,"Orange Alert",IF(I663=4,"Red Alert"))))</f>
        <v>Yellow Alert</v>
      </c>
      <c r="S663" s="60">
        <f t="shared" si="31"/>
        <v>30</v>
      </c>
      <c r="T663" s="61">
        <f>MONTH(dataset_1!B:B)</f>
        <v>1</v>
      </c>
      <c r="U663" s="61">
        <f t="shared" si="32"/>
        <v>2011</v>
      </c>
      <c r="V663" s="59" t="str">
        <f>TEXT(F663/24,"H AM/PM")</f>
        <v>9 PM</v>
      </c>
      <c r="W663" s="59" t="str">
        <f>IF(H663=6,"Saturday",IF(H663=0,"Sunday",IF(H663=1,"Monday",IF(H663=2,"Tuesday",IF(H663=3,"Wednesday",IF(H663=4,"Thursday",IF(H663=5,"Friday")))))))</f>
        <v>Sunday</v>
      </c>
      <c r="X663" s="59" t="str">
        <f>IF(G663=FALSE,"Working day", IF(G663=TRUE,"Holiday"))</f>
        <v>Working day</v>
      </c>
    </row>
    <row r="664" spans="1:24" x14ac:dyDescent="0.25">
      <c r="A664" s="32">
        <v>663</v>
      </c>
      <c r="B664" s="33">
        <v>40573</v>
      </c>
      <c r="C664" s="26">
        <v>1</v>
      </c>
      <c r="D664" s="26">
        <v>0</v>
      </c>
      <c r="E664" s="26">
        <v>1</v>
      </c>
      <c r="F664" s="26">
        <v>22</v>
      </c>
      <c r="G664" s="26" t="b">
        <v>0</v>
      </c>
      <c r="H664" s="26">
        <v>0</v>
      </c>
      <c r="I664" s="26">
        <v>2</v>
      </c>
      <c r="J664" s="26">
        <v>0.24</v>
      </c>
      <c r="K664" s="26">
        <v>0.2273</v>
      </c>
      <c r="L664" s="26">
        <v>0.7</v>
      </c>
      <c r="M664">
        <v>0.19400000000000001</v>
      </c>
      <c r="N664" s="26">
        <v>2</v>
      </c>
      <c r="O664" s="26">
        <v>19</v>
      </c>
      <c r="P664" s="26">
        <v>21</v>
      </c>
      <c r="Q664" s="34" t="str">
        <f t="shared" si="30"/>
        <v>Cloudy</v>
      </c>
      <c r="R664" s="41" t="str">
        <f>IF(I664=1,"Normal",IF(I664=2,"Yellow Alert",IF(I664=3,"Orange Alert",IF(I664=4,"Red Alert"))))</f>
        <v>Yellow Alert</v>
      </c>
      <c r="S664" s="60">
        <f t="shared" si="31"/>
        <v>30</v>
      </c>
      <c r="T664" s="61">
        <f>MONTH(dataset_1!B:B)</f>
        <v>1</v>
      </c>
      <c r="U664" s="61">
        <f t="shared" si="32"/>
        <v>2011</v>
      </c>
      <c r="V664" s="59" t="str">
        <f>TEXT(F664/24,"H AM/PM")</f>
        <v>10 PM</v>
      </c>
      <c r="W664" s="59" t="str">
        <f>IF(H664=6,"Saturday",IF(H664=0,"Sunday",IF(H664=1,"Monday",IF(H664=2,"Tuesday",IF(H664=3,"Wednesday",IF(H664=4,"Thursday",IF(H664=5,"Friday")))))))</f>
        <v>Sunday</v>
      </c>
      <c r="X664" s="59" t="str">
        <f>IF(G664=FALSE,"Working day", IF(G664=TRUE,"Holiday"))</f>
        <v>Working day</v>
      </c>
    </row>
    <row r="665" spans="1:24" x14ac:dyDescent="0.25">
      <c r="A665" s="32">
        <v>664</v>
      </c>
      <c r="B665" s="33">
        <v>40573</v>
      </c>
      <c r="C665" s="26">
        <v>1</v>
      </c>
      <c r="D665" s="26">
        <v>0</v>
      </c>
      <c r="E665" s="26">
        <v>1</v>
      </c>
      <c r="F665" s="26">
        <v>23</v>
      </c>
      <c r="G665" s="26" t="b">
        <v>0</v>
      </c>
      <c r="H665" s="26">
        <v>0</v>
      </c>
      <c r="I665" s="26">
        <v>2</v>
      </c>
      <c r="J665" s="26">
        <v>0.24</v>
      </c>
      <c r="K665" s="26">
        <v>0.21210000000000001</v>
      </c>
      <c r="L665" s="26">
        <v>0.65</v>
      </c>
      <c r="M665">
        <v>0.28360000000000002</v>
      </c>
      <c r="N665" s="26">
        <v>5</v>
      </c>
      <c r="O665" s="26">
        <v>16</v>
      </c>
      <c r="P665" s="26">
        <v>21</v>
      </c>
      <c r="Q665" s="34" t="str">
        <f t="shared" si="30"/>
        <v>Cloudy</v>
      </c>
      <c r="R665" s="41" t="str">
        <f>IF(I665=1,"Normal",IF(I665=2,"Yellow Alert",IF(I665=3,"Orange Alert",IF(I665=4,"Red Alert"))))</f>
        <v>Yellow Alert</v>
      </c>
      <c r="S665" s="60">
        <f t="shared" si="31"/>
        <v>30</v>
      </c>
      <c r="T665" s="61">
        <f>MONTH(dataset_1!B:B)</f>
        <v>1</v>
      </c>
      <c r="U665" s="61">
        <f t="shared" si="32"/>
        <v>2011</v>
      </c>
      <c r="V665" s="59" t="str">
        <f>TEXT(F665/24,"H AM/PM")</f>
        <v>11 PM</v>
      </c>
      <c r="W665" s="59" t="str">
        <f>IF(H665=6,"Saturday",IF(H665=0,"Sunday",IF(H665=1,"Monday",IF(H665=2,"Tuesday",IF(H665=3,"Wednesday",IF(H665=4,"Thursday",IF(H665=5,"Friday")))))))</f>
        <v>Sunday</v>
      </c>
      <c r="X665" s="59" t="str">
        <f>IF(G665=FALSE,"Working day", IF(G665=TRUE,"Holiday"))</f>
        <v>Working day</v>
      </c>
    </row>
    <row r="666" spans="1:24" x14ac:dyDescent="0.25">
      <c r="A666" s="32">
        <v>665</v>
      </c>
      <c r="B666" s="33">
        <v>40574</v>
      </c>
      <c r="C666" s="26">
        <v>1</v>
      </c>
      <c r="D666" s="26">
        <v>0</v>
      </c>
      <c r="E666" s="26">
        <v>1</v>
      </c>
      <c r="F666" s="26">
        <v>0</v>
      </c>
      <c r="G666" s="26" t="b">
        <v>0</v>
      </c>
      <c r="H666" s="26">
        <v>1</v>
      </c>
      <c r="I666" s="26">
        <v>2</v>
      </c>
      <c r="J666" s="26">
        <v>0.24</v>
      </c>
      <c r="K666" s="26">
        <v>0.2273</v>
      </c>
      <c r="L666" s="26">
        <v>0.65</v>
      </c>
      <c r="M666">
        <v>0.22389999999999999</v>
      </c>
      <c r="N666" s="26">
        <v>1</v>
      </c>
      <c r="O666" s="26">
        <v>6</v>
      </c>
      <c r="P666" s="26">
        <v>7</v>
      </c>
      <c r="Q666" s="34" t="str">
        <f t="shared" si="30"/>
        <v>Cloudy</v>
      </c>
      <c r="R666" s="41" t="str">
        <f>IF(I666=1,"Normal",IF(I666=2,"Yellow Alert",IF(I666=3,"Orange Alert",IF(I666=4,"Red Alert"))))</f>
        <v>Yellow Alert</v>
      </c>
      <c r="S666" s="60">
        <f t="shared" si="31"/>
        <v>31</v>
      </c>
      <c r="T666" s="61">
        <f>MONTH(dataset_1!B:B)</f>
        <v>1</v>
      </c>
      <c r="U666" s="61">
        <f t="shared" si="32"/>
        <v>2011</v>
      </c>
      <c r="V666" s="59" t="str">
        <f>TEXT(F666/24,"H AM/PM")</f>
        <v>12 AM</v>
      </c>
      <c r="W666" s="59" t="str">
        <f>IF(H666=6,"Saturday",IF(H666=0,"Sunday",IF(H666=1,"Monday",IF(H666=2,"Tuesday",IF(H666=3,"Wednesday",IF(H666=4,"Thursday",IF(H666=5,"Friday")))))))</f>
        <v>Monday</v>
      </c>
      <c r="X666" s="59" t="str">
        <f>IF(G666=FALSE,"Working day", IF(G666=TRUE,"Holiday"))</f>
        <v>Working day</v>
      </c>
    </row>
    <row r="667" spans="1:24" x14ac:dyDescent="0.25">
      <c r="A667" s="32">
        <v>666</v>
      </c>
      <c r="B667" s="33">
        <v>40574</v>
      </c>
      <c r="C667" s="26">
        <v>1</v>
      </c>
      <c r="D667" s="26">
        <v>0</v>
      </c>
      <c r="E667" s="26">
        <v>1</v>
      </c>
      <c r="F667" s="26">
        <v>1</v>
      </c>
      <c r="G667" s="26" t="b">
        <v>0</v>
      </c>
      <c r="H667" s="26">
        <v>1</v>
      </c>
      <c r="I667" s="26">
        <v>1</v>
      </c>
      <c r="J667" s="26">
        <v>0.22</v>
      </c>
      <c r="K667" s="26">
        <v>0.21210000000000001</v>
      </c>
      <c r="L667" s="26">
        <v>0.64</v>
      </c>
      <c r="M667">
        <v>0.25369999999999998</v>
      </c>
      <c r="N667" s="26">
        <v>2</v>
      </c>
      <c r="O667" s="26">
        <v>5</v>
      </c>
      <c r="P667" s="26">
        <v>7</v>
      </c>
      <c r="Q667" s="34" t="str">
        <f t="shared" si="30"/>
        <v>Clear</v>
      </c>
      <c r="R667" s="41" t="str">
        <f>IF(I667=1,"Normal",IF(I667=2,"Yellow Alert",IF(I667=3,"Orange Alert",IF(I667=4,"Red Alert"))))</f>
        <v>Normal</v>
      </c>
      <c r="S667" s="60">
        <f t="shared" si="31"/>
        <v>31</v>
      </c>
      <c r="T667" s="61">
        <f>MONTH(dataset_1!B:B)</f>
        <v>1</v>
      </c>
      <c r="U667" s="61">
        <f t="shared" si="32"/>
        <v>2011</v>
      </c>
      <c r="V667" s="59" t="str">
        <f>TEXT(F667/24,"H AM/PM")</f>
        <v>1 AM</v>
      </c>
      <c r="W667" s="59" t="str">
        <f>IF(H667=6,"Saturday",IF(H667=0,"Sunday",IF(H667=1,"Monday",IF(H667=2,"Tuesday",IF(H667=3,"Wednesday",IF(H667=4,"Thursday",IF(H667=5,"Friday")))))))</f>
        <v>Monday</v>
      </c>
      <c r="X667" s="59" t="str">
        <f>IF(G667=FALSE,"Working day", IF(G667=TRUE,"Holiday"))</f>
        <v>Working day</v>
      </c>
    </row>
    <row r="668" spans="1:24" x14ac:dyDescent="0.25">
      <c r="A668" s="32">
        <v>667</v>
      </c>
      <c r="B668" s="33">
        <v>40574</v>
      </c>
      <c r="C668" s="26">
        <v>1</v>
      </c>
      <c r="D668" s="26">
        <v>0</v>
      </c>
      <c r="E668" s="26">
        <v>1</v>
      </c>
      <c r="F668" s="26">
        <v>2</v>
      </c>
      <c r="G668" s="26" t="b">
        <v>0</v>
      </c>
      <c r="H668" s="26">
        <v>1</v>
      </c>
      <c r="I668" s="26">
        <v>1</v>
      </c>
      <c r="J668" s="26">
        <v>0.22</v>
      </c>
      <c r="K668" s="26">
        <v>0.2273</v>
      </c>
      <c r="L668" s="26">
        <v>0.64</v>
      </c>
      <c r="M668">
        <v>0.19400000000000001</v>
      </c>
      <c r="N668" s="26">
        <v>0</v>
      </c>
      <c r="O668" s="26">
        <v>1</v>
      </c>
      <c r="P668" s="26">
        <v>1</v>
      </c>
      <c r="Q668" s="34" t="str">
        <f t="shared" si="30"/>
        <v>Clear</v>
      </c>
      <c r="R668" s="41" t="str">
        <f>IF(I668=1,"Normal",IF(I668=2,"Yellow Alert",IF(I668=3,"Orange Alert",IF(I668=4,"Red Alert"))))</f>
        <v>Normal</v>
      </c>
      <c r="S668" s="60">
        <f t="shared" si="31"/>
        <v>31</v>
      </c>
      <c r="T668" s="61">
        <f>MONTH(dataset_1!B:B)</f>
        <v>1</v>
      </c>
      <c r="U668" s="61">
        <f t="shared" si="32"/>
        <v>2011</v>
      </c>
      <c r="V668" s="59" t="str">
        <f>TEXT(F668/24,"H AM/PM")</f>
        <v>2 AM</v>
      </c>
      <c r="W668" s="59" t="str">
        <f>IF(H668=6,"Saturday",IF(H668=0,"Sunday",IF(H668=1,"Monday",IF(H668=2,"Tuesday",IF(H668=3,"Wednesday",IF(H668=4,"Thursday",IF(H668=5,"Friday")))))))</f>
        <v>Monday</v>
      </c>
      <c r="X668" s="59" t="str">
        <f>IF(G668=FALSE,"Working day", IF(G668=TRUE,"Holiday"))</f>
        <v>Working day</v>
      </c>
    </row>
    <row r="669" spans="1:24" x14ac:dyDescent="0.25">
      <c r="A669" s="32">
        <v>668</v>
      </c>
      <c r="B669" s="33">
        <v>40574</v>
      </c>
      <c r="C669" s="26">
        <v>1</v>
      </c>
      <c r="D669" s="26">
        <v>0</v>
      </c>
      <c r="E669" s="26">
        <v>1</v>
      </c>
      <c r="F669" s="26">
        <v>3</v>
      </c>
      <c r="G669" s="26" t="b">
        <v>0</v>
      </c>
      <c r="H669" s="26">
        <v>1</v>
      </c>
      <c r="I669" s="26">
        <v>1</v>
      </c>
      <c r="J669" s="26">
        <v>0.22</v>
      </c>
      <c r="K669" s="26">
        <v>0.2273</v>
      </c>
      <c r="L669" s="26">
        <v>0.64</v>
      </c>
      <c r="M669">
        <v>0.19400000000000001</v>
      </c>
      <c r="N669" s="26">
        <v>0</v>
      </c>
      <c r="O669" s="26">
        <v>2</v>
      </c>
      <c r="P669" s="26">
        <v>2</v>
      </c>
      <c r="Q669" s="34" t="str">
        <f t="shared" si="30"/>
        <v>Clear</v>
      </c>
      <c r="R669" s="41" t="str">
        <f>IF(I669=1,"Normal",IF(I669=2,"Yellow Alert",IF(I669=3,"Orange Alert",IF(I669=4,"Red Alert"))))</f>
        <v>Normal</v>
      </c>
      <c r="S669" s="60">
        <f t="shared" si="31"/>
        <v>31</v>
      </c>
      <c r="T669" s="61">
        <f>MONTH(dataset_1!B:B)</f>
        <v>1</v>
      </c>
      <c r="U669" s="61">
        <f t="shared" si="32"/>
        <v>2011</v>
      </c>
      <c r="V669" s="59" t="str">
        <f>TEXT(F669/24,"H AM/PM")</f>
        <v>3 AM</v>
      </c>
      <c r="W669" s="59" t="str">
        <f>IF(H669=6,"Saturday",IF(H669=0,"Sunday",IF(H669=1,"Monday",IF(H669=2,"Tuesday",IF(H669=3,"Wednesday",IF(H669=4,"Thursday",IF(H669=5,"Friday")))))))</f>
        <v>Monday</v>
      </c>
      <c r="X669" s="59" t="str">
        <f>IF(G669=FALSE,"Working day", IF(G669=TRUE,"Holiday"))</f>
        <v>Working day</v>
      </c>
    </row>
    <row r="670" spans="1:24" x14ac:dyDescent="0.25">
      <c r="A670" s="32">
        <v>669</v>
      </c>
      <c r="B670" s="33">
        <v>40574</v>
      </c>
      <c r="C670" s="26">
        <v>1</v>
      </c>
      <c r="D670" s="26">
        <v>0</v>
      </c>
      <c r="E670" s="26">
        <v>1</v>
      </c>
      <c r="F670" s="26">
        <v>4</v>
      </c>
      <c r="G670" s="26" t="b">
        <v>0</v>
      </c>
      <c r="H670" s="26">
        <v>1</v>
      </c>
      <c r="I670" s="26">
        <v>1</v>
      </c>
      <c r="J670" s="26">
        <v>0.2</v>
      </c>
      <c r="K670" s="26">
        <v>0.19700000000000001</v>
      </c>
      <c r="L670" s="26">
        <v>0.59</v>
      </c>
      <c r="M670">
        <v>0.22389999999999999</v>
      </c>
      <c r="N670" s="26">
        <v>0</v>
      </c>
      <c r="O670" s="26">
        <v>2</v>
      </c>
      <c r="P670" s="26">
        <v>2</v>
      </c>
      <c r="Q670" s="34" t="str">
        <f t="shared" si="30"/>
        <v>Clear</v>
      </c>
      <c r="R670" s="41" t="str">
        <f>IF(I670=1,"Normal",IF(I670=2,"Yellow Alert",IF(I670=3,"Orange Alert",IF(I670=4,"Red Alert"))))</f>
        <v>Normal</v>
      </c>
      <c r="S670" s="60">
        <f t="shared" si="31"/>
        <v>31</v>
      </c>
      <c r="T670" s="61">
        <f>MONTH(dataset_1!B:B)</f>
        <v>1</v>
      </c>
      <c r="U670" s="61">
        <f t="shared" si="32"/>
        <v>2011</v>
      </c>
      <c r="V670" s="59" t="str">
        <f>TEXT(F670/24,"H AM/PM")</f>
        <v>4 AM</v>
      </c>
      <c r="W670" s="59" t="str">
        <f>IF(H670=6,"Saturday",IF(H670=0,"Sunday",IF(H670=1,"Monday",IF(H670=2,"Tuesday",IF(H670=3,"Wednesday",IF(H670=4,"Thursday",IF(H670=5,"Friday")))))))</f>
        <v>Monday</v>
      </c>
      <c r="X670" s="59" t="str">
        <f>IF(G670=FALSE,"Working day", IF(G670=TRUE,"Holiday"))</f>
        <v>Working day</v>
      </c>
    </row>
    <row r="671" spans="1:24" x14ac:dyDescent="0.25">
      <c r="A671" s="32">
        <v>670</v>
      </c>
      <c r="B671" s="33">
        <v>40574</v>
      </c>
      <c r="C671" s="26">
        <v>1</v>
      </c>
      <c r="D671" s="26">
        <v>0</v>
      </c>
      <c r="E671" s="26">
        <v>1</v>
      </c>
      <c r="F671" s="26">
        <v>5</v>
      </c>
      <c r="G671" s="26" t="b">
        <v>0</v>
      </c>
      <c r="H671" s="26">
        <v>1</v>
      </c>
      <c r="I671" s="26">
        <v>1</v>
      </c>
      <c r="J671" s="26">
        <v>0.18</v>
      </c>
      <c r="K671" s="26">
        <v>0.16669999999999999</v>
      </c>
      <c r="L671" s="26">
        <v>0.64</v>
      </c>
      <c r="M671">
        <v>0.28360000000000002</v>
      </c>
      <c r="N671" s="26">
        <v>0</v>
      </c>
      <c r="O671" s="26">
        <v>8</v>
      </c>
      <c r="P671" s="26">
        <v>8</v>
      </c>
      <c r="Q671" s="34" t="str">
        <f t="shared" si="30"/>
        <v>Clear</v>
      </c>
      <c r="R671" s="41" t="str">
        <f>IF(I671=1,"Normal",IF(I671=2,"Yellow Alert",IF(I671=3,"Orange Alert",IF(I671=4,"Red Alert"))))</f>
        <v>Normal</v>
      </c>
      <c r="S671" s="60">
        <f t="shared" si="31"/>
        <v>31</v>
      </c>
      <c r="T671" s="61">
        <f>MONTH(dataset_1!B:B)</f>
        <v>1</v>
      </c>
      <c r="U671" s="61">
        <f t="shared" si="32"/>
        <v>2011</v>
      </c>
      <c r="V671" s="59" t="str">
        <f>TEXT(F671/24,"H AM/PM")</f>
        <v>5 AM</v>
      </c>
      <c r="W671" s="59" t="str">
        <f>IF(H671=6,"Saturday",IF(H671=0,"Sunday",IF(H671=1,"Monday",IF(H671=2,"Tuesday",IF(H671=3,"Wednesday",IF(H671=4,"Thursday",IF(H671=5,"Friday")))))))</f>
        <v>Monday</v>
      </c>
      <c r="X671" s="59" t="str">
        <f>IF(G671=FALSE,"Working day", IF(G671=TRUE,"Holiday"))</f>
        <v>Working day</v>
      </c>
    </row>
    <row r="672" spans="1:24" x14ac:dyDescent="0.25">
      <c r="A672" s="32">
        <v>671</v>
      </c>
      <c r="B672" s="33">
        <v>40574</v>
      </c>
      <c r="C672" s="26">
        <v>1</v>
      </c>
      <c r="D672" s="26">
        <v>0</v>
      </c>
      <c r="E672" s="26">
        <v>1</v>
      </c>
      <c r="F672" s="26">
        <v>6</v>
      </c>
      <c r="G672" s="26" t="b">
        <v>0</v>
      </c>
      <c r="H672" s="26">
        <v>1</v>
      </c>
      <c r="I672" s="26">
        <v>1</v>
      </c>
      <c r="J672" s="26">
        <v>0.16</v>
      </c>
      <c r="K672" s="26">
        <v>0.13639999999999999</v>
      </c>
      <c r="L672" s="26">
        <v>0.69</v>
      </c>
      <c r="M672">
        <v>0.32840000000000003</v>
      </c>
      <c r="N672" s="26">
        <v>0</v>
      </c>
      <c r="O672" s="26">
        <v>37</v>
      </c>
      <c r="P672" s="26">
        <v>37</v>
      </c>
      <c r="Q672" s="34" t="str">
        <f t="shared" si="30"/>
        <v>Clear</v>
      </c>
      <c r="R672" s="41" t="str">
        <f>IF(I672=1,"Normal",IF(I672=2,"Yellow Alert",IF(I672=3,"Orange Alert",IF(I672=4,"Red Alert"))))</f>
        <v>Normal</v>
      </c>
      <c r="S672" s="60">
        <f t="shared" si="31"/>
        <v>31</v>
      </c>
      <c r="T672" s="61">
        <f>MONTH(dataset_1!B:B)</f>
        <v>1</v>
      </c>
      <c r="U672" s="61">
        <f t="shared" si="32"/>
        <v>2011</v>
      </c>
      <c r="V672" s="59" t="str">
        <f>TEXT(F672/24,"H AM/PM")</f>
        <v>6 AM</v>
      </c>
      <c r="W672" s="59" t="str">
        <f>IF(H672=6,"Saturday",IF(H672=0,"Sunday",IF(H672=1,"Monday",IF(H672=2,"Tuesday",IF(H672=3,"Wednesday",IF(H672=4,"Thursday",IF(H672=5,"Friday")))))))</f>
        <v>Monday</v>
      </c>
      <c r="X672" s="59" t="str">
        <f>IF(G672=FALSE,"Working day", IF(G672=TRUE,"Holiday"))</f>
        <v>Working day</v>
      </c>
    </row>
    <row r="673" spans="1:24" x14ac:dyDescent="0.25">
      <c r="A673" s="32">
        <v>672</v>
      </c>
      <c r="B673" s="33">
        <v>40574</v>
      </c>
      <c r="C673" s="26">
        <v>1</v>
      </c>
      <c r="D673" s="26">
        <v>0</v>
      </c>
      <c r="E673" s="26">
        <v>1</v>
      </c>
      <c r="F673" s="26">
        <v>7</v>
      </c>
      <c r="G673" s="26" t="b">
        <v>0</v>
      </c>
      <c r="H673" s="26">
        <v>1</v>
      </c>
      <c r="I673" s="26">
        <v>2</v>
      </c>
      <c r="J673" s="26">
        <v>0.16</v>
      </c>
      <c r="K673" s="26">
        <v>0.13639999999999999</v>
      </c>
      <c r="L673" s="26">
        <v>0.64</v>
      </c>
      <c r="M673">
        <v>0.28360000000000002</v>
      </c>
      <c r="N673" s="26">
        <v>1</v>
      </c>
      <c r="O673" s="26">
        <v>71</v>
      </c>
      <c r="P673" s="26">
        <v>72</v>
      </c>
      <c r="Q673" s="34" t="str">
        <f t="shared" si="30"/>
        <v>Cloudy</v>
      </c>
      <c r="R673" s="41" t="str">
        <f>IF(I673=1,"Normal",IF(I673=2,"Yellow Alert",IF(I673=3,"Orange Alert",IF(I673=4,"Red Alert"))))</f>
        <v>Yellow Alert</v>
      </c>
      <c r="S673" s="60">
        <f t="shared" si="31"/>
        <v>31</v>
      </c>
      <c r="T673" s="61">
        <f>MONTH(dataset_1!B:B)</f>
        <v>1</v>
      </c>
      <c r="U673" s="61">
        <f t="shared" si="32"/>
        <v>2011</v>
      </c>
      <c r="V673" s="59" t="str">
        <f>TEXT(F673/24,"H AM/PM")</f>
        <v>7 AM</v>
      </c>
      <c r="W673" s="59" t="str">
        <f>IF(H673=6,"Saturday",IF(H673=0,"Sunday",IF(H673=1,"Monday",IF(H673=2,"Tuesday",IF(H673=3,"Wednesday",IF(H673=4,"Thursday",IF(H673=5,"Friday")))))))</f>
        <v>Monday</v>
      </c>
      <c r="X673" s="59" t="str">
        <f>IF(G673=FALSE,"Working day", IF(G673=TRUE,"Holiday"))</f>
        <v>Working day</v>
      </c>
    </row>
    <row r="674" spans="1:24" x14ac:dyDescent="0.25">
      <c r="A674" s="32">
        <v>673</v>
      </c>
      <c r="B674" s="33">
        <v>40574</v>
      </c>
      <c r="C674" s="26">
        <v>1</v>
      </c>
      <c r="D674" s="26">
        <v>0</v>
      </c>
      <c r="E674" s="26">
        <v>1</v>
      </c>
      <c r="F674" s="26">
        <v>8</v>
      </c>
      <c r="G674" s="26" t="b">
        <v>0</v>
      </c>
      <c r="H674" s="26">
        <v>1</v>
      </c>
      <c r="I674" s="26">
        <v>2</v>
      </c>
      <c r="J674" s="26">
        <v>0.16</v>
      </c>
      <c r="K674" s="26">
        <v>0.13639999999999999</v>
      </c>
      <c r="L674" s="26">
        <v>0.59</v>
      </c>
      <c r="M674">
        <v>0.28360000000000002</v>
      </c>
      <c r="N674" s="26">
        <v>3</v>
      </c>
      <c r="O674" s="26">
        <v>182</v>
      </c>
      <c r="P674" s="26">
        <v>185</v>
      </c>
      <c r="Q674" s="34" t="str">
        <f t="shared" si="30"/>
        <v>Cloudy</v>
      </c>
      <c r="R674" s="41" t="str">
        <f>IF(I674=1,"Normal",IF(I674=2,"Yellow Alert",IF(I674=3,"Orange Alert",IF(I674=4,"Red Alert"))))</f>
        <v>Yellow Alert</v>
      </c>
      <c r="S674" s="60">
        <f t="shared" si="31"/>
        <v>31</v>
      </c>
      <c r="T674" s="61">
        <f>MONTH(dataset_1!B:B)</f>
        <v>1</v>
      </c>
      <c r="U674" s="61">
        <f t="shared" si="32"/>
        <v>2011</v>
      </c>
      <c r="V674" s="59" t="str">
        <f>TEXT(F674/24,"H AM/PM")</f>
        <v>8 AM</v>
      </c>
      <c r="W674" s="59" t="str">
        <f>IF(H674=6,"Saturday",IF(H674=0,"Sunday",IF(H674=1,"Monday",IF(H674=2,"Tuesday",IF(H674=3,"Wednesday",IF(H674=4,"Thursday",IF(H674=5,"Friday")))))))</f>
        <v>Monday</v>
      </c>
      <c r="X674" s="59" t="str">
        <f>IF(G674=FALSE,"Working day", IF(G674=TRUE,"Holiday"))</f>
        <v>Working day</v>
      </c>
    </row>
    <row r="675" spans="1:24" x14ac:dyDescent="0.25">
      <c r="A675" s="32">
        <v>674</v>
      </c>
      <c r="B675" s="33">
        <v>40574</v>
      </c>
      <c r="C675" s="26">
        <v>1</v>
      </c>
      <c r="D675" s="26">
        <v>0</v>
      </c>
      <c r="E675" s="26">
        <v>1</v>
      </c>
      <c r="F675" s="26">
        <v>9</v>
      </c>
      <c r="G675" s="26" t="b">
        <v>0</v>
      </c>
      <c r="H675" s="26">
        <v>1</v>
      </c>
      <c r="I675" s="26">
        <v>2</v>
      </c>
      <c r="J675" s="26">
        <v>0.16</v>
      </c>
      <c r="K675" s="26">
        <v>0.13639999999999999</v>
      </c>
      <c r="L675" s="26">
        <v>0.59</v>
      </c>
      <c r="M675">
        <v>0.29849999999999999</v>
      </c>
      <c r="N675" s="26">
        <v>0</v>
      </c>
      <c r="O675" s="26">
        <v>112</v>
      </c>
      <c r="P675" s="26">
        <v>112</v>
      </c>
      <c r="Q675" s="34" t="str">
        <f t="shared" si="30"/>
        <v>Cloudy</v>
      </c>
      <c r="R675" s="41" t="str">
        <f>IF(I675=1,"Normal",IF(I675=2,"Yellow Alert",IF(I675=3,"Orange Alert",IF(I675=4,"Red Alert"))))</f>
        <v>Yellow Alert</v>
      </c>
      <c r="S675" s="60">
        <f t="shared" si="31"/>
        <v>31</v>
      </c>
      <c r="T675" s="61">
        <f>MONTH(dataset_1!B:B)</f>
        <v>1</v>
      </c>
      <c r="U675" s="61">
        <f t="shared" si="32"/>
        <v>2011</v>
      </c>
      <c r="V675" s="59" t="str">
        <f>TEXT(F675/24,"H AM/PM")</f>
        <v>9 AM</v>
      </c>
      <c r="W675" s="59" t="str">
        <f>IF(H675=6,"Saturday",IF(H675=0,"Sunday",IF(H675=1,"Monday",IF(H675=2,"Tuesday",IF(H675=3,"Wednesday",IF(H675=4,"Thursday",IF(H675=5,"Friday")))))))</f>
        <v>Monday</v>
      </c>
      <c r="X675" s="59" t="str">
        <f>IF(G675=FALSE,"Working day", IF(G675=TRUE,"Holiday"))</f>
        <v>Working day</v>
      </c>
    </row>
    <row r="676" spans="1:24" x14ac:dyDescent="0.25">
      <c r="A676" s="32">
        <v>675</v>
      </c>
      <c r="B676" s="33">
        <v>40574</v>
      </c>
      <c r="C676" s="26">
        <v>1</v>
      </c>
      <c r="D676" s="26">
        <v>0</v>
      </c>
      <c r="E676" s="26">
        <v>1</v>
      </c>
      <c r="F676" s="26">
        <v>10</v>
      </c>
      <c r="G676" s="26" t="b">
        <v>0</v>
      </c>
      <c r="H676" s="26">
        <v>1</v>
      </c>
      <c r="I676" s="26">
        <v>2</v>
      </c>
      <c r="J676" s="26">
        <v>0.16</v>
      </c>
      <c r="K676" s="26">
        <v>0.1515</v>
      </c>
      <c r="L676" s="26">
        <v>0.59</v>
      </c>
      <c r="M676">
        <v>0.19400000000000001</v>
      </c>
      <c r="N676" s="26">
        <v>1</v>
      </c>
      <c r="O676" s="26">
        <v>68</v>
      </c>
      <c r="P676" s="26">
        <v>69</v>
      </c>
      <c r="Q676" s="34" t="str">
        <f t="shared" si="30"/>
        <v>Cloudy</v>
      </c>
      <c r="R676" s="41" t="str">
        <f>IF(I676=1,"Normal",IF(I676=2,"Yellow Alert",IF(I676=3,"Orange Alert",IF(I676=4,"Red Alert"))))</f>
        <v>Yellow Alert</v>
      </c>
      <c r="S676" s="60">
        <f t="shared" si="31"/>
        <v>31</v>
      </c>
      <c r="T676" s="61">
        <f>MONTH(dataset_1!B:B)</f>
        <v>1</v>
      </c>
      <c r="U676" s="61">
        <f t="shared" si="32"/>
        <v>2011</v>
      </c>
      <c r="V676" s="59" t="str">
        <f>TEXT(F676/24,"H AM/PM")</f>
        <v>10 AM</v>
      </c>
      <c r="W676" s="59" t="str">
        <f>IF(H676=6,"Saturday",IF(H676=0,"Sunday",IF(H676=1,"Monday",IF(H676=2,"Tuesday",IF(H676=3,"Wednesday",IF(H676=4,"Thursday",IF(H676=5,"Friday")))))))</f>
        <v>Monday</v>
      </c>
      <c r="X676" s="59" t="str">
        <f>IF(G676=FALSE,"Working day", IF(G676=TRUE,"Holiday"))</f>
        <v>Working day</v>
      </c>
    </row>
    <row r="677" spans="1:24" x14ac:dyDescent="0.25">
      <c r="A677" s="32">
        <v>676</v>
      </c>
      <c r="B677" s="33">
        <v>40574</v>
      </c>
      <c r="C677" s="26">
        <v>1</v>
      </c>
      <c r="D677" s="26">
        <v>0</v>
      </c>
      <c r="E677" s="26">
        <v>1</v>
      </c>
      <c r="F677" s="26">
        <v>11</v>
      </c>
      <c r="G677" s="26" t="b">
        <v>0</v>
      </c>
      <c r="H677" s="26">
        <v>1</v>
      </c>
      <c r="I677" s="26">
        <v>2</v>
      </c>
      <c r="J677" s="26">
        <v>0.16</v>
      </c>
      <c r="K677" s="26">
        <v>0.1515</v>
      </c>
      <c r="L677" s="26">
        <v>0.59</v>
      </c>
      <c r="M677">
        <v>0.19400000000000001</v>
      </c>
      <c r="N677" s="26">
        <v>2</v>
      </c>
      <c r="O677" s="26">
        <v>46</v>
      </c>
      <c r="P677" s="26">
        <v>48</v>
      </c>
      <c r="Q677" s="34" t="str">
        <f t="shared" si="30"/>
        <v>Cloudy</v>
      </c>
      <c r="R677" s="41" t="str">
        <f>IF(I677=1,"Normal",IF(I677=2,"Yellow Alert",IF(I677=3,"Orange Alert",IF(I677=4,"Red Alert"))))</f>
        <v>Yellow Alert</v>
      </c>
      <c r="S677" s="60">
        <f t="shared" si="31"/>
        <v>31</v>
      </c>
      <c r="T677" s="61">
        <f>MONTH(dataset_1!B:B)</f>
        <v>1</v>
      </c>
      <c r="U677" s="61">
        <f t="shared" si="32"/>
        <v>2011</v>
      </c>
      <c r="V677" s="59" t="str">
        <f>TEXT(F677/24,"H AM/PM")</f>
        <v>11 AM</v>
      </c>
      <c r="W677" s="59" t="str">
        <f>IF(H677=6,"Saturday",IF(H677=0,"Sunday",IF(H677=1,"Monday",IF(H677=2,"Tuesday",IF(H677=3,"Wednesday",IF(H677=4,"Thursday",IF(H677=5,"Friday")))))))</f>
        <v>Monday</v>
      </c>
      <c r="X677" s="59" t="str">
        <f>IF(G677=FALSE,"Working day", IF(G677=TRUE,"Holiday"))</f>
        <v>Working day</v>
      </c>
    </row>
    <row r="678" spans="1:24" x14ac:dyDescent="0.25">
      <c r="A678" s="32">
        <v>677</v>
      </c>
      <c r="B678" s="33">
        <v>40574</v>
      </c>
      <c r="C678" s="26">
        <v>1</v>
      </c>
      <c r="D678" s="26">
        <v>0</v>
      </c>
      <c r="E678" s="26">
        <v>1</v>
      </c>
      <c r="F678" s="26">
        <v>12</v>
      </c>
      <c r="G678" s="26" t="b">
        <v>0</v>
      </c>
      <c r="H678" s="26">
        <v>1</v>
      </c>
      <c r="I678" s="26">
        <v>2</v>
      </c>
      <c r="J678" s="26">
        <v>0.18</v>
      </c>
      <c r="K678" s="26">
        <v>0.21210000000000001</v>
      </c>
      <c r="L678" s="26">
        <v>0.55000000000000004</v>
      </c>
      <c r="M678">
        <v>0.1045</v>
      </c>
      <c r="N678" s="26">
        <v>6</v>
      </c>
      <c r="O678" s="26">
        <v>62</v>
      </c>
      <c r="P678" s="26">
        <v>68</v>
      </c>
      <c r="Q678" s="34" t="str">
        <f t="shared" si="30"/>
        <v>Cloudy</v>
      </c>
      <c r="R678" s="41" t="str">
        <f>IF(I678=1,"Normal",IF(I678=2,"Yellow Alert",IF(I678=3,"Orange Alert",IF(I678=4,"Red Alert"))))</f>
        <v>Yellow Alert</v>
      </c>
      <c r="S678" s="60">
        <f t="shared" si="31"/>
        <v>31</v>
      </c>
      <c r="T678" s="61">
        <f>MONTH(dataset_1!B:B)</f>
        <v>1</v>
      </c>
      <c r="U678" s="61">
        <f t="shared" si="32"/>
        <v>2011</v>
      </c>
      <c r="V678" s="59" t="str">
        <f>TEXT(F678/24,"H AM/PM")</f>
        <v>12 PM</v>
      </c>
      <c r="W678" s="59" t="str">
        <f>IF(H678=6,"Saturday",IF(H678=0,"Sunday",IF(H678=1,"Monday",IF(H678=2,"Tuesday",IF(H678=3,"Wednesday",IF(H678=4,"Thursday",IF(H678=5,"Friday")))))))</f>
        <v>Monday</v>
      </c>
      <c r="X678" s="59" t="str">
        <f>IF(G678=FALSE,"Working day", IF(G678=TRUE,"Holiday"))</f>
        <v>Working day</v>
      </c>
    </row>
    <row r="679" spans="1:24" x14ac:dyDescent="0.25">
      <c r="A679" s="32">
        <v>678</v>
      </c>
      <c r="B679" s="33">
        <v>40574</v>
      </c>
      <c r="C679" s="26">
        <v>1</v>
      </c>
      <c r="D679" s="26">
        <v>0</v>
      </c>
      <c r="E679" s="26">
        <v>1</v>
      </c>
      <c r="F679" s="26">
        <v>13</v>
      </c>
      <c r="G679" s="26" t="b">
        <v>0</v>
      </c>
      <c r="H679" s="26">
        <v>1</v>
      </c>
      <c r="I679" s="26">
        <v>2</v>
      </c>
      <c r="J679" s="26">
        <v>0.16</v>
      </c>
      <c r="K679" s="26">
        <v>0.2273</v>
      </c>
      <c r="L679" s="26">
        <v>0.59</v>
      </c>
      <c r="M679">
        <v>0</v>
      </c>
      <c r="N679" s="26">
        <v>2</v>
      </c>
      <c r="O679" s="26">
        <v>52</v>
      </c>
      <c r="P679" s="26">
        <v>54</v>
      </c>
      <c r="Q679" s="34" t="str">
        <f t="shared" si="30"/>
        <v>Cloudy</v>
      </c>
      <c r="R679" s="41" t="str">
        <f>IF(I679=1,"Normal",IF(I679=2,"Yellow Alert",IF(I679=3,"Orange Alert",IF(I679=4,"Red Alert"))))</f>
        <v>Yellow Alert</v>
      </c>
      <c r="S679" s="60">
        <f t="shared" si="31"/>
        <v>31</v>
      </c>
      <c r="T679" s="61">
        <f>MONTH(dataset_1!B:B)</f>
        <v>1</v>
      </c>
      <c r="U679" s="61">
        <f t="shared" si="32"/>
        <v>2011</v>
      </c>
      <c r="V679" s="59" t="str">
        <f>TEXT(F679/24,"H AM/PM")</f>
        <v>1 PM</v>
      </c>
      <c r="W679" s="59" t="str">
        <f>IF(H679=6,"Saturday",IF(H679=0,"Sunday",IF(H679=1,"Monday",IF(H679=2,"Tuesday",IF(H679=3,"Wednesday",IF(H679=4,"Thursday",IF(H679=5,"Friday")))))))</f>
        <v>Monday</v>
      </c>
      <c r="X679" s="59" t="str">
        <f>IF(G679=FALSE,"Working day", IF(G679=TRUE,"Holiday"))</f>
        <v>Working day</v>
      </c>
    </row>
    <row r="680" spans="1:24" x14ac:dyDescent="0.25">
      <c r="A680" s="32">
        <v>679</v>
      </c>
      <c r="B680" s="33">
        <v>40574</v>
      </c>
      <c r="C680" s="26">
        <v>1</v>
      </c>
      <c r="D680" s="26">
        <v>0</v>
      </c>
      <c r="E680" s="26">
        <v>1</v>
      </c>
      <c r="F680" s="26">
        <v>14</v>
      </c>
      <c r="G680" s="26" t="b">
        <v>0</v>
      </c>
      <c r="H680" s="26">
        <v>1</v>
      </c>
      <c r="I680" s="26">
        <v>2</v>
      </c>
      <c r="J680" s="26">
        <v>0.18</v>
      </c>
      <c r="K680" s="26">
        <v>0.19700000000000001</v>
      </c>
      <c r="L680" s="26">
        <v>0.55000000000000004</v>
      </c>
      <c r="M680">
        <v>0.1343</v>
      </c>
      <c r="N680" s="26">
        <v>1</v>
      </c>
      <c r="O680" s="26">
        <v>85</v>
      </c>
      <c r="P680" s="26">
        <v>86</v>
      </c>
      <c r="Q680" s="34" t="str">
        <f t="shared" si="30"/>
        <v>Cloudy</v>
      </c>
      <c r="R680" s="41" t="str">
        <f>IF(I680=1,"Normal",IF(I680=2,"Yellow Alert",IF(I680=3,"Orange Alert",IF(I680=4,"Red Alert"))))</f>
        <v>Yellow Alert</v>
      </c>
      <c r="S680" s="60">
        <f t="shared" si="31"/>
        <v>31</v>
      </c>
      <c r="T680" s="61">
        <f>MONTH(dataset_1!B:B)</f>
        <v>1</v>
      </c>
      <c r="U680" s="61">
        <f t="shared" si="32"/>
        <v>2011</v>
      </c>
      <c r="V680" s="59" t="str">
        <f>TEXT(F680/24,"H AM/PM")</f>
        <v>2 PM</v>
      </c>
      <c r="W680" s="59" t="str">
        <f>IF(H680=6,"Saturday",IF(H680=0,"Sunday",IF(H680=1,"Monday",IF(H680=2,"Tuesday",IF(H680=3,"Wednesday",IF(H680=4,"Thursday",IF(H680=5,"Friday")))))))</f>
        <v>Monday</v>
      </c>
      <c r="X680" s="59" t="str">
        <f>IF(G680=FALSE,"Working day", IF(G680=TRUE,"Holiday"))</f>
        <v>Working day</v>
      </c>
    </row>
    <row r="681" spans="1:24" x14ac:dyDescent="0.25">
      <c r="A681" s="32">
        <v>680</v>
      </c>
      <c r="B681" s="33">
        <v>40574</v>
      </c>
      <c r="C681" s="26">
        <v>1</v>
      </c>
      <c r="D681" s="26">
        <v>0</v>
      </c>
      <c r="E681" s="26">
        <v>1</v>
      </c>
      <c r="F681" s="26">
        <v>15</v>
      </c>
      <c r="G681" s="26" t="b">
        <v>0</v>
      </c>
      <c r="H681" s="26">
        <v>1</v>
      </c>
      <c r="I681" s="26">
        <v>2</v>
      </c>
      <c r="J681" s="26">
        <v>0.16</v>
      </c>
      <c r="K681" s="26">
        <v>0.18179999999999999</v>
      </c>
      <c r="L681" s="26">
        <v>0.59</v>
      </c>
      <c r="M681">
        <v>0.1343</v>
      </c>
      <c r="N681" s="26">
        <v>3</v>
      </c>
      <c r="O681" s="26">
        <v>41</v>
      </c>
      <c r="P681" s="26">
        <v>44</v>
      </c>
      <c r="Q681" s="34" t="str">
        <f t="shared" si="30"/>
        <v>Cloudy</v>
      </c>
      <c r="R681" s="41" t="str">
        <f>IF(I681=1,"Normal",IF(I681=2,"Yellow Alert",IF(I681=3,"Orange Alert",IF(I681=4,"Red Alert"))))</f>
        <v>Yellow Alert</v>
      </c>
      <c r="S681" s="60">
        <f t="shared" si="31"/>
        <v>31</v>
      </c>
      <c r="T681" s="61">
        <f>MONTH(dataset_1!B:B)</f>
        <v>1</v>
      </c>
      <c r="U681" s="61">
        <f t="shared" si="32"/>
        <v>2011</v>
      </c>
      <c r="V681" s="59" t="str">
        <f>TEXT(F681/24,"H AM/PM")</f>
        <v>3 PM</v>
      </c>
      <c r="W681" s="59" t="str">
        <f>IF(H681=6,"Saturday",IF(H681=0,"Sunday",IF(H681=1,"Monday",IF(H681=2,"Tuesday",IF(H681=3,"Wednesday",IF(H681=4,"Thursday",IF(H681=5,"Friday")))))))</f>
        <v>Monday</v>
      </c>
      <c r="X681" s="59" t="str">
        <f>IF(G681=FALSE,"Working day", IF(G681=TRUE,"Holiday"))</f>
        <v>Working day</v>
      </c>
    </row>
    <row r="682" spans="1:24" x14ac:dyDescent="0.25">
      <c r="A682" s="32">
        <v>681</v>
      </c>
      <c r="B682" s="33">
        <v>40574</v>
      </c>
      <c r="C682" s="26">
        <v>1</v>
      </c>
      <c r="D682" s="26">
        <v>0</v>
      </c>
      <c r="E682" s="26">
        <v>1</v>
      </c>
      <c r="F682" s="26">
        <v>16</v>
      </c>
      <c r="G682" s="26" t="b">
        <v>0</v>
      </c>
      <c r="H682" s="26">
        <v>1</v>
      </c>
      <c r="I682" s="26">
        <v>2</v>
      </c>
      <c r="J682" s="26">
        <v>0.16</v>
      </c>
      <c r="K682" s="26">
        <v>0.18179999999999999</v>
      </c>
      <c r="L682" s="26">
        <v>0.56000000000000005</v>
      </c>
      <c r="M682">
        <v>0.19400000000000001</v>
      </c>
      <c r="N682" s="26">
        <v>3</v>
      </c>
      <c r="O682" s="26">
        <v>83</v>
      </c>
      <c r="P682" s="26">
        <v>86</v>
      </c>
      <c r="Q682" s="34" t="str">
        <f t="shared" si="30"/>
        <v>Cloudy</v>
      </c>
      <c r="R682" s="41" t="str">
        <f>IF(I682=1,"Normal",IF(I682=2,"Yellow Alert",IF(I682=3,"Orange Alert",IF(I682=4,"Red Alert"))))</f>
        <v>Yellow Alert</v>
      </c>
      <c r="S682" s="60">
        <f t="shared" si="31"/>
        <v>31</v>
      </c>
      <c r="T682" s="61">
        <f>MONTH(dataset_1!B:B)</f>
        <v>1</v>
      </c>
      <c r="U682" s="61">
        <f t="shared" si="32"/>
        <v>2011</v>
      </c>
      <c r="V682" s="59" t="str">
        <f>TEXT(F682/24,"H AM/PM")</f>
        <v>4 PM</v>
      </c>
      <c r="W682" s="59" t="str">
        <f>IF(H682=6,"Saturday",IF(H682=0,"Sunday",IF(H682=1,"Monday",IF(H682=2,"Tuesday",IF(H682=3,"Wednesday",IF(H682=4,"Thursday",IF(H682=5,"Friday")))))))</f>
        <v>Monday</v>
      </c>
      <c r="X682" s="59" t="str">
        <f>IF(G682=FALSE,"Working day", IF(G682=TRUE,"Holiday"))</f>
        <v>Working day</v>
      </c>
    </row>
    <row r="683" spans="1:24" x14ac:dyDescent="0.25">
      <c r="A683" s="32">
        <v>682</v>
      </c>
      <c r="B683" s="33">
        <v>40574</v>
      </c>
      <c r="C683" s="26">
        <v>1</v>
      </c>
      <c r="D683" s="26">
        <v>0</v>
      </c>
      <c r="E683" s="26">
        <v>1</v>
      </c>
      <c r="F683" s="26">
        <v>17</v>
      </c>
      <c r="G683" s="26" t="b">
        <v>0</v>
      </c>
      <c r="H683" s="26">
        <v>1</v>
      </c>
      <c r="I683" s="26">
        <v>2</v>
      </c>
      <c r="J683" s="26">
        <v>0.16</v>
      </c>
      <c r="K683" s="26">
        <v>0.1515</v>
      </c>
      <c r="L683" s="26">
        <v>0.59</v>
      </c>
      <c r="M683">
        <v>0.19400000000000001</v>
      </c>
      <c r="N683" s="26">
        <v>6</v>
      </c>
      <c r="O683" s="26">
        <v>155</v>
      </c>
      <c r="P683" s="26">
        <v>161</v>
      </c>
      <c r="Q683" s="34" t="str">
        <f t="shared" si="30"/>
        <v>Cloudy</v>
      </c>
      <c r="R683" s="41" t="str">
        <f>IF(I683=1,"Normal",IF(I683=2,"Yellow Alert",IF(I683=3,"Orange Alert",IF(I683=4,"Red Alert"))))</f>
        <v>Yellow Alert</v>
      </c>
      <c r="S683" s="60">
        <f t="shared" si="31"/>
        <v>31</v>
      </c>
      <c r="T683" s="61">
        <f>MONTH(dataset_1!B:B)</f>
        <v>1</v>
      </c>
      <c r="U683" s="61">
        <f t="shared" si="32"/>
        <v>2011</v>
      </c>
      <c r="V683" s="59" t="str">
        <f>TEXT(F683/24,"H AM/PM")</f>
        <v>5 PM</v>
      </c>
      <c r="W683" s="59" t="str">
        <f>IF(H683=6,"Saturday",IF(H683=0,"Sunday",IF(H683=1,"Monday",IF(H683=2,"Tuesday",IF(H683=3,"Wednesday",IF(H683=4,"Thursday",IF(H683=5,"Friday")))))))</f>
        <v>Monday</v>
      </c>
      <c r="X683" s="59" t="str">
        <f>IF(G683=FALSE,"Working day", IF(G683=TRUE,"Holiday"))</f>
        <v>Working day</v>
      </c>
    </row>
    <row r="684" spans="1:24" x14ac:dyDescent="0.25">
      <c r="A684" s="32">
        <v>683</v>
      </c>
      <c r="B684" s="33">
        <v>40574</v>
      </c>
      <c r="C684" s="26">
        <v>1</v>
      </c>
      <c r="D684" s="26">
        <v>0</v>
      </c>
      <c r="E684" s="26">
        <v>1</v>
      </c>
      <c r="F684" s="26">
        <v>18</v>
      </c>
      <c r="G684" s="26" t="b">
        <v>0</v>
      </c>
      <c r="H684" s="26">
        <v>1</v>
      </c>
      <c r="I684" s="26">
        <v>2</v>
      </c>
      <c r="J684" s="26">
        <v>0.16</v>
      </c>
      <c r="K684" s="26">
        <v>0.1515</v>
      </c>
      <c r="L684" s="26">
        <v>0.55000000000000004</v>
      </c>
      <c r="M684">
        <v>0.22389999999999999</v>
      </c>
      <c r="N684" s="26">
        <v>3</v>
      </c>
      <c r="O684" s="26">
        <v>153</v>
      </c>
      <c r="P684" s="26">
        <v>156</v>
      </c>
      <c r="Q684" s="34" t="str">
        <f t="shared" si="30"/>
        <v>Cloudy</v>
      </c>
      <c r="R684" s="41" t="str">
        <f>IF(I684=1,"Normal",IF(I684=2,"Yellow Alert",IF(I684=3,"Orange Alert",IF(I684=4,"Red Alert"))))</f>
        <v>Yellow Alert</v>
      </c>
      <c r="S684" s="60">
        <f t="shared" si="31"/>
        <v>31</v>
      </c>
      <c r="T684" s="61">
        <f>MONTH(dataset_1!B:B)</f>
        <v>1</v>
      </c>
      <c r="U684" s="61">
        <f t="shared" si="32"/>
        <v>2011</v>
      </c>
      <c r="V684" s="59" t="str">
        <f>TEXT(F684/24,"H AM/PM")</f>
        <v>6 PM</v>
      </c>
      <c r="W684" s="59" t="str">
        <f>IF(H684=6,"Saturday",IF(H684=0,"Sunday",IF(H684=1,"Monday",IF(H684=2,"Tuesday",IF(H684=3,"Wednesday",IF(H684=4,"Thursday",IF(H684=5,"Friday")))))))</f>
        <v>Monday</v>
      </c>
      <c r="X684" s="59" t="str">
        <f>IF(G684=FALSE,"Working day", IF(G684=TRUE,"Holiday"))</f>
        <v>Working day</v>
      </c>
    </row>
    <row r="685" spans="1:24" x14ac:dyDescent="0.25">
      <c r="A685" s="32">
        <v>684</v>
      </c>
      <c r="B685" s="33">
        <v>40574</v>
      </c>
      <c r="C685" s="26">
        <v>1</v>
      </c>
      <c r="D685" s="26">
        <v>0</v>
      </c>
      <c r="E685" s="26">
        <v>1</v>
      </c>
      <c r="F685" s="26">
        <v>19</v>
      </c>
      <c r="G685" s="26" t="b">
        <v>0</v>
      </c>
      <c r="H685" s="26">
        <v>1</v>
      </c>
      <c r="I685" s="26">
        <v>1</v>
      </c>
      <c r="J685" s="26">
        <v>0.3</v>
      </c>
      <c r="K685" s="26">
        <v>0.31819999999999998</v>
      </c>
      <c r="L685" s="26">
        <v>0.61</v>
      </c>
      <c r="M685">
        <v>0.1045</v>
      </c>
      <c r="N685" s="26">
        <v>3</v>
      </c>
      <c r="O685" s="26">
        <v>108</v>
      </c>
      <c r="P685" s="26">
        <v>111</v>
      </c>
      <c r="Q685" s="34" t="str">
        <f t="shared" si="30"/>
        <v>Clear</v>
      </c>
      <c r="R685" s="41" t="str">
        <f>IF(I685=1,"Normal",IF(I685=2,"Yellow Alert",IF(I685=3,"Orange Alert",IF(I685=4,"Red Alert"))))</f>
        <v>Normal</v>
      </c>
      <c r="S685" s="60">
        <f t="shared" si="31"/>
        <v>31</v>
      </c>
      <c r="T685" s="61">
        <f>MONTH(dataset_1!B:B)</f>
        <v>1</v>
      </c>
      <c r="U685" s="61">
        <f t="shared" si="32"/>
        <v>2011</v>
      </c>
      <c r="V685" s="59" t="str">
        <f>TEXT(F685/24,"H AM/PM")</f>
        <v>7 PM</v>
      </c>
      <c r="W685" s="59" t="str">
        <f>IF(H685=6,"Saturday",IF(H685=0,"Sunday",IF(H685=1,"Monday",IF(H685=2,"Tuesday",IF(H685=3,"Wednesday",IF(H685=4,"Thursday",IF(H685=5,"Friday")))))))</f>
        <v>Monday</v>
      </c>
      <c r="X685" s="59" t="str">
        <f>IF(G685=FALSE,"Working day", IF(G685=TRUE,"Holiday"))</f>
        <v>Working day</v>
      </c>
    </row>
    <row r="686" spans="1:24" x14ac:dyDescent="0.25">
      <c r="A686" s="32">
        <v>685</v>
      </c>
      <c r="B686" s="33">
        <v>40574</v>
      </c>
      <c r="C686" s="26">
        <v>1</v>
      </c>
      <c r="D686" s="26">
        <v>0</v>
      </c>
      <c r="E686" s="26">
        <v>1</v>
      </c>
      <c r="F686" s="26">
        <v>20</v>
      </c>
      <c r="G686" s="26" t="b">
        <v>0</v>
      </c>
      <c r="H686" s="26">
        <v>1</v>
      </c>
      <c r="I686" s="26">
        <v>3</v>
      </c>
      <c r="J686" s="26">
        <v>0.16</v>
      </c>
      <c r="K686" s="26">
        <v>0.16669999999999999</v>
      </c>
      <c r="L686" s="26">
        <v>0.59</v>
      </c>
      <c r="M686">
        <v>0.16420000000000001</v>
      </c>
      <c r="N686" s="26">
        <v>0</v>
      </c>
      <c r="O686" s="26">
        <v>78</v>
      </c>
      <c r="P686" s="26">
        <v>78</v>
      </c>
      <c r="Q686" s="34" t="str">
        <f t="shared" si="30"/>
        <v>Light Rain</v>
      </c>
      <c r="R686" s="41" t="str">
        <f>IF(I686=1,"Normal",IF(I686=2,"Yellow Alert",IF(I686=3,"Orange Alert",IF(I686=4,"Red Alert"))))</f>
        <v>Orange Alert</v>
      </c>
      <c r="S686" s="60">
        <f t="shared" si="31"/>
        <v>31</v>
      </c>
      <c r="T686" s="61">
        <f>MONTH(dataset_1!B:B)</f>
        <v>1</v>
      </c>
      <c r="U686" s="61">
        <f t="shared" si="32"/>
        <v>2011</v>
      </c>
      <c r="V686" s="59" t="str">
        <f>TEXT(F686/24,"H AM/PM")</f>
        <v>8 PM</v>
      </c>
      <c r="W686" s="59" t="str">
        <f>IF(H686=6,"Saturday",IF(H686=0,"Sunday",IF(H686=1,"Monday",IF(H686=2,"Tuesday",IF(H686=3,"Wednesday",IF(H686=4,"Thursday",IF(H686=5,"Friday")))))))</f>
        <v>Monday</v>
      </c>
      <c r="X686" s="59" t="str">
        <f>IF(G686=FALSE,"Working day", IF(G686=TRUE,"Holiday"))</f>
        <v>Working day</v>
      </c>
    </row>
    <row r="687" spans="1:24" x14ac:dyDescent="0.25">
      <c r="A687" s="32">
        <v>686</v>
      </c>
      <c r="B687" s="33">
        <v>40574</v>
      </c>
      <c r="C687" s="26">
        <v>1</v>
      </c>
      <c r="D687" s="26">
        <v>0</v>
      </c>
      <c r="E687" s="26">
        <v>1</v>
      </c>
      <c r="F687" s="26">
        <v>21</v>
      </c>
      <c r="G687" s="26" t="b">
        <v>0</v>
      </c>
      <c r="H687" s="26">
        <v>1</v>
      </c>
      <c r="I687" s="26">
        <v>3</v>
      </c>
      <c r="J687" s="26">
        <v>0.16</v>
      </c>
      <c r="K687" s="26">
        <v>0.19700000000000001</v>
      </c>
      <c r="L687" s="26">
        <v>0.59</v>
      </c>
      <c r="M687">
        <v>8.9599999999999999E-2</v>
      </c>
      <c r="N687" s="26">
        <v>3</v>
      </c>
      <c r="O687" s="26">
        <v>53</v>
      </c>
      <c r="P687" s="26">
        <v>56</v>
      </c>
      <c r="Q687" s="34" t="str">
        <f t="shared" si="30"/>
        <v>Light Rain</v>
      </c>
      <c r="R687" s="41" t="str">
        <f>IF(I687=1,"Normal",IF(I687=2,"Yellow Alert",IF(I687=3,"Orange Alert",IF(I687=4,"Red Alert"))))</f>
        <v>Orange Alert</v>
      </c>
      <c r="S687" s="60">
        <f t="shared" si="31"/>
        <v>31</v>
      </c>
      <c r="T687" s="61">
        <f>MONTH(dataset_1!B:B)</f>
        <v>1</v>
      </c>
      <c r="U687" s="61">
        <f t="shared" si="32"/>
        <v>2011</v>
      </c>
      <c r="V687" s="59" t="str">
        <f>TEXT(F687/24,"H AM/PM")</f>
        <v>9 PM</v>
      </c>
      <c r="W687" s="59" t="str">
        <f>IF(H687=6,"Saturday",IF(H687=0,"Sunday",IF(H687=1,"Monday",IF(H687=2,"Tuesday",IF(H687=3,"Wednesday",IF(H687=4,"Thursday",IF(H687=5,"Friday")))))))</f>
        <v>Monday</v>
      </c>
      <c r="X687" s="59" t="str">
        <f>IF(G687=FALSE,"Working day", IF(G687=TRUE,"Holiday"))</f>
        <v>Working day</v>
      </c>
    </row>
    <row r="688" spans="1:24" x14ac:dyDescent="0.25">
      <c r="A688" s="32">
        <v>687</v>
      </c>
      <c r="B688" s="33">
        <v>40574</v>
      </c>
      <c r="C688" s="26">
        <v>1</v>
      </c>
      <c r="D688" s="26">
        <v>0</v>
      </c>
      <c r="E688" s="26">
        <v>1</v>
      </c>
      <c r="F688" s="26">
        <v>22</v>
      </c>
      <c r="G688" s="26" t="b">
        <v>0</v>
      </c>
      <c r="H688" s="26">
        <v>1</v>
      </c>
      <c r="I688" s="26">
        <v>2</v>
      </c>
      <c r="J688" s="26">
        <v>0.16</v>
      </c>
      <c r="K688" s="26">
        <v>0.18179999999999999</v>
      </c>
      <c r="L688" s="26">
        <v>0.59</v>
      </c>
      <c r="M688">
        <v>0.1045</v>
      </c>
      <c r="N688" s="26">
        <v>0</v>
      </c>
      <c r="O688" s="26">
        <v>34</v>
      </c>
      <c r="P688" s="26">
        <v>34</v>
      </c>
      <c r="Q688" s="34" t="str">
        <f t="shared" si="30"/>
        <v>Cloudy</v>
      </c>
      <c r="R688" s="41" t="str">
        <f>IF(I688=1,"Normal",IF(I688=2,"Yellow Alert",IF(I688=3,"Orange Alert",IF(I688=4,"Red Alert"))))</f>
        <v>Yellow Alert</v>
      </c>
      <c r="S688" s="60">
        <f t="shared" si="31"/>
        <v>31</v>
      </c>
      <c r="T688" s="61">
        <f>MONTH(dataset_1!B:B)</f>
        <v>1</v>
      </c>
      <c r="U688" s="61">
        <f t="shared" si="32"/>
        <v>2011</v>
      </c>
      <c r="V688" s="59" t="str">
        <f>TEXT(F688/24,"H AM/PM")</f>
        <v>10 PM</v>
      </c>
      <c r="W688" s="59" t="str">
        <f>IF(H688=6,"Saturday",IF(H688=0,"Sunday",IF(H688=1,"Monday",IF(H688=2,"Tuesday",IF(H688=3,"Wednesday",IF(H688=4,"Thursday",IF(H688=5,"Friday")))))))</f>
        <v>Monday</v>
      </c>
      <c r="X688" s="59" t="str">
        <f>IF(G688=FALSE,"Working day", IF(G688=TRUE,"Holiday"))</f>
        <v>Working day</v>
      </c>
    </row>
    <row r="689" spans="1:24" x14ac:dyDescent="0.25">
      <c r="A689" s="32">
        <v>688</v>
      </c>
      <c r="B689" s="33">
        <v>40574</v>
      </c>
      <c r="C689" s="26">
        <v>1</v>
      </c>
      <c r="D689" s="26">
        <v>0</v>
      </c>
      <c r="E689" s="26">
        <v>1</v>
      </c>
      <c r="F689" s="26">
        <v>23</v>
      </c>
      <c r="G689" s="26" t="b">
        <v>0</v>
      </c>
      <c r="H689" s="26">
        <v>1</v>
      </c>
      <c r="I689" s="26">
        <v>2</v>
      </c>
      <c r="J689" s="26">
        <v>0.16</v>
      </c>
      <c r="K689" s="26">
        <v>0.19700000000000001</v>
      </c>
      <c r="L689" s="26">
        <v>0.64</v>
      </c>
      <c r="M689">
        <v>8.9599999999999999E-2</v>
      </c>
      <c r="N689" s="26">
        <v>2</v>
      </c>
      <c r="O689" s="26">
        <v>15</v>
      </c>
      <c r="P689" s="26">
        <v>17</v>
      </c>
      <c r="Q689" s="34" t="str">
        <f t="shared" si="30"/>
        <v>Cloudy</v>
      </c>
      <c r="R689" s="41" t="str">
        <f>IF(I689=1,"Normal",IF(I689=2,"Yellow Alert",IF(I689=3,"Orange Alert",IF(I689=4,"Red Alert"))))</f>
        <v>Yellow Alert</v>
      </c>
      <c r="S689" s="60">
        <f t="shared" si="31"/>
        <v>31</v>
      </c>
      <c r="T689" s="61">
        <f>MONTH(dataset_1!B:B)</f>
        <v>1</v>
      </c>
      <c r="U689" s="61">
        <f t="shared" si="32"/>
        <v>2011</v>
      </c>
      <c r="V689" s="59" t="str">
        <f>TEXT(F689/24,"H AM/PM")</f>
        <v>11 PM</v>
      </c>
      <c r="W689" s="59" t="str">
        <f>IF(H689=6,"Saturday",IF(H689=0,"Sunday",IF(H689=1,"Monday",IF(H689=2,"Tuesday",IF(H689=3,"Wednesday",IF(H689=4,"Thursday",IF(H689=5,"Friday")))))))</f>
        <v>Monday</v>
      </c>
      <c r="X689" s="59" t="str">
        <f>IF(G689=FALSE,"Working day", IF(G689=TRUE,"Holiday"))</f>
        <v>Working day</v>
      </c>
    </row>
    <row r="690" spans="1:24" x14ac:dyDescent="0.25">
      <c r="A690" s="32">
        <v>689</v>
      </c>
      <c r="B690" s="33">
        <v>40575</v>
      </c>
      <c r="C690" s="26">
        <v>1</v>
      </c>
      <c r="D690" s="26">
        <v>0</v>
      </c>
      <c r="E690" s="26">
        <v>2</v>
      </c>
      <c r="F690" s="26">
        <v>0</v>
      </c>
      <c r="G690" s="26" t="b">
        <v>0</v>
      </c>
      <c r="H690" s="26">
        <v>2</v>
      </c>
      <c r="I690" s="26">
        <v>2</v>
      </c>
      <c r="J690" s="26">
        <v>0.16</v>
      </c>
      <c r="K690" s="26">
        <v>0.18179999999999999</v>
      </c>
      <c r="L690" s="26">
        <v>0.64</v>
      </c>
      <c r="M690">
        <v>0.1045</v>
      </c>
      <c r="N690" s="26">
        <v>2</v>
      </c>
      <c r="O690" s="26">
        <v>6</v>
      </c>
      <c r="P690" s="26">
        <v>8</v>
      </c>
      <c r="Q690" s="34" t="str">
        <f t="shared" si="30"/>
        <v>Cloudy</v>
      </c>
      <c r="R690" s="41" t="str">
        <f>IF(I690=1,"Normal",IF(I690=2,"Yellow Alert",IF(I690=3,"Orange Alert",IF(I690=4,"Red Alert"))))</f>
        <v>Yellow Alert</v>
      </c>
      <c r="S690" s="60">
        <f t="shared" si="31"/>
        <v>1</v>
      </c>
      <c r="T690" s="61">
        <f>MONTH(dataset_1!B:B)</f>
        <v>1</v>
      </c>
      <c r="U690" s="61">
        <f t="shared" si="32"/>
        <v>2011</v>
      </c>
      <c r="V690" s="59" t="str">
        <f>TEXT(F690/24,"H AM/PM")</f>
        <v>12 AM</v>
      </c>
      <c r="W690" s="59" t="str">
        <f>IF(H690=6,"Saturday",IF(H690=0,"Sunday",IF(H690=1,"Monday",IF(H690=2,"Tuesday",IF(H690=3,"Wednesday",IF(H690=4,"Thursday",IF(H690=5,"Friday")))))))</f>
        <v>Tuesday</v>
      </c>
      <c r="X690" s="59" t="str">
        <f>IF(G690=FALSE,"Working day", IF(G690=TRUE,"Holiday"))</f>
        <v>Working day</v>
      </c>
    </row>
    <row r="691" spans="1:24" x14ac:dyDescent="0.25">
      <c r="A691" s="32">
        <v>690</v>
      </c>
      <c r="B691" s="33">
        <v>40575</v>
      </c>
      <c r="C691" s="26">
        <v>1</v>
      </c>
      <c r="D691" s="26">
        <v>0</v>
      </c>
      <c r="E691" s="26">
        <v>2</v>
      </c>
      <c r="F691" s="26">
        <v>1</v>
      </c>
      <c r="G691" s="26" t="b">
        <v>0</v>
      </c>
      <c r="H691" s="26">
        <v>2</v>
      </c>
      <c r="I691" s="26">
        <v>2</v>
      </c>
      <c r="J691" s="26">
        <v>0.16</v>
      </c>
      <c r="K691" s="26">
        <v>0.18179999999999999</v>
      </c>
      <c r="L691" s="26">
        <v>0.69</v>
      </c>
      <c r="M691">
        <v>0.1045</v>
      </c>
      <c r="N691" s="26">
        <v>0</v>
      </c>
      <c r="O691" s="26">
        <v>3</v>
      </c>
      <c r="P691" s="26">
        <v>3</v>
      </c>
      <c r="Q691" s="34" t="str">
        <f t="shared" si="30"/>
        <v>Cloudy</v>
      </c>
      <c r="R691" s="41" t="str">
        <f>IF(I691=1,"Normal",IF(I691=2,"Yellow Alert",IF(I691=3,"Orange Alert",IF(I691=4,"Red Alert"))))</f>
        <v>Yellow Alert</v>
      </c>
      <c r="S691" s="60">
        <f t="shared" si="31"/>
        <v>1</v>
      </c>
      <c r="T691" s="61">
        <f>MONTH(dataset_1!B:B)</f>
        <v>1</v>
      </c>
      <c r="U691" s="61">
        <f t="shared" si="32"/>
        <v>2011</v>
      </c>
      <c r="V691" s="59" t="str">
        <f>TEXT(F691/24,"H AM/PM")</f>
        <v>1 AM</v>
      </c>
      <c r="W691" s="59" t="str">
        <f>IF(H691=6,"Saturday",IF(H691=0,"Sunday",IF(H691=1,"Monday",IF(H691=2,"Tuesday",IF(H691=3,"Wednesday",IF(H691=4,"Thursday",IF(H691=5,"Friday")))))))</f>
        <v>Tuesday</v>
      </c>
      <c r="X691" s="59" t="str">
        <f>IF(G691=FALSE,"Working day", IF(G691=TRUE,"Holiday"))</f>
        <v>Working day</v>
      </c>
    </row>
    <row r="692" spans="1:24" x14ac:dyDescent="0.25">
      <c r="A692" s="32">
        <v>691</v>
      </c>
      <c r="B692" s="33">
        <v>40575</v>
      </c>
      <c r="C692" s="26">
        <v>1</v>
      </c>
      <c r="D692" s="26">
        <v>0</v>
      </c>
      <c r="E692" s="26">
        <v>2</v>
      </c>
      <c r="F692" s="26">
        <v>2</v>
      </c>
      <c r="G692" s="26" t="b">
        <v>0</v>
      </c>
      <c r="H692" s="26">
        <v>2</v>
      </c>
      <c r="I692" s="26">
        <v>2</v>
      </c>
      <c r="J692" s="26">
        <v>0.16</v>
      </c>
      <c r="K692" s="26">
        <v>0.2273</v>
      </c>
      <c r="L692" s="26">
        <v>0.69</v>
      </c>
      <c r="M692">
        <v>0</v>
      </c>
      <c r="N692" s="26">
        <v>0</v>
      </c>
      <c r="O692" s="26">
        <v>2</v>
      </c>
      <c r="P692" s="26">
        <v>2</v>
      </c>
      <c r="Q692" s="34" t="str">
        <f t="shared" si="30"/>
        <v>Cloudy</v>
      </c>
      <c r="R692" s="41" t="str">
        <f>IF(I692=1,"Normal",IF(I692=2,"Yellow Alert",IF(I692=3,"Orange Alert",IF(I692=4,"Red Alert"))))</f>
        <v>Yellow Alert</v>
      </c>
      <c r="S692" s="60">
        <f t="shared" si="31"/>
        <v>1</v>
      </c>
      <c r="T692" s="61">
        <f>MONTH(dataset_1!B:B)</f>
        <v>1</v>
      </c>
      <c r="U692" s="61">
        <f t="shared" si="32"/>
        <v>2011</v>
      </c>
      <c r="V692" s="59" t="str">
        <f>TEXT(F692/24,"H AM/PM")</f>
        <v>2 AM</v>
      </c>
      <c r="W692" s="59" t="str">
        <f>IF(H692=6,"Saturday",IF(H692=0,"Sunday",IF(H692=1,"Monday",IF(H692=2,"Tuesday",IF(H692=3,"Wednesday",IF(H692=4,"Thursday",IF(H692=5,"Friday")))))))</f>
        <v>Tuesday</v>
      </c>
      <c r="X692" s="59" t="str">
        <f>IF(G692=FALSE,"Working day", IF(G692=TRUE,"Holiday"))</f>
        <v>Working day</v>
      </c>
    </row>
    <row r="693" spans="1:24" x14ac:dyDescent="0.25">
      <c r="A693" s="32">
        <v>692</v>
      </c>
      <c r="B693" s="33">
        <v>40575</v>
      </c>
      <c r="C693" s="26">
        <v>1</v>
      </c>
      <c r="D693" s="26">
        <v>0</v>
      </c>
      <c r="E693" s="26">
        <v>2</v>
      </c>
      <c r="F693" s="26">
        <v>3</v>
      </c>
      <c r="G693" s="26" t="b">
        <v>0</v>
      </c>
      <c r="H693" s="26">
        <v>2</v>
      </c>
      <c r="I693" s="26">
        <v>2</v>
      </c>
      <c r="J693" s="26">
        <v>0.16</v>
      </c>
      <c r="K693" s="26">
        <v>0.2273</v>
      </c>
      <c r="L693" s="26">
        <v>0.69</v>
      </c>
      <c r="M693">
        <v>0</v>
      </c>
      <c r="N693" s="26">
        <v>0</v>
      </c>
      <c r="O693" s="26">
        <v>2</v>
      </c>
      <c r="P693" s="26">
        <v>2</v>
      </c>
      <c r="Q693" s="34" t="str">
        <f t="shared" si="30"/>
        <v>Cloudy</v>
      </c>
      <c r="R693" s="41" t="str">
        <f>IF(I693=1,"Normal",IF(I693=2,"Yellow Alert",IF(I693=3,"Orange Alert",IF(I693=4,"Red Alert"))))</f>
        <v>Yellow Alert</v>
      </c>
      <c r="S693" s="60">
        <f t="shared" si="31"/>
        <v>1</v>
      </c>
      <c r="T693" s="61">
        <f>MONTH(dataset_1!B:B)</f>
        <v>1</v>
      </c>
      <c r="U693" s="61">
        <f t="shared" si="32"/>
        <v>2011</v>
      </c>
      <c r="V693" s="59" t="str">
        <f>TEXT(F693/24,"H AM/PM")</f>
        <v>3 AM</v>
      </c>
      <c r="W693" s="59" t="str">
        <f>IF(H693=6,"Saturday",IF(H693=0,"Sunday",IF(H693=1,"Monday",IF(H693=2,"Tuesday",IF(H693=3,"Wednesday",IF(H693=4,"Thursday",IF(H693=5,"Friday")))))))</f>
        <v>Tuesday</v>
      </c>
      <c r="X693" s="59" t="str">
        <f>IF(G693=FALSE,"Working day", IF(G693=TRUE,"Holiday"))</f>
        <v>Working day</v>
      </c>
    </row>
    <row r="694" spans="1:24" x14ac:dyDescent="0.25">
      <c r="A694" s="32">
        <v>693</v>
      </c>
      <c r="B694" s="33">
        <v>40575</v>
      </c>
      <c r="C694" s="26">
        <v>1</v>
      </c>
      <c r="D694" s="26">
        <v>0</v>
      </c>
      <c r="E694" s="26">
        <v>2</v>
      </c>
      <c r="F694" s="26">
        <v>5</v>
      </c>
      <c r="G694" s="26" t="b">
        <v>0</v>
      </c>
      <c r="H694" s="26">
        <v>2</v>
      </c>
      <c r="I694" s="26">
        <v>3</v>
      </c>
      <c r="J694" s="26">
        <v>0.14000000000000001</v>
      </c>
      <c r="K694" s="26">
        <v>0.21210000000000001</v>
      </c>
      <c r="L694" s="26">
        <v>0.93</v>
      </c>
      <c r="M694">
        <v>0</v>
      </c>
      <c r="N694" s="26">
        <v>0</v>
      </c>
      <c r="O694" s="26">
        <v>3</v>
      </c>
      <c r="P694" s="26">
        <v>3</v>
      </c>
      <c r="Q694" s="34" t="str">
        <f t="shared" si="30"/>
        <v>Light Rain</v>
      </c>
      <c r="R694" s="41" t="str">
        <f>IF(I694=1,"Normal",IF(I694=2,"Yellow Alert",IF(I694=3,"Orange Alert",IF(I694=4,"Red Alert"))))</f>
        <v>Orange Alert</v>
      </c>
      <c r="S694" s="60">
        <f t="shared" si="31"/>
        <v>1</v>
      </c>
      <c r="T694" s="61">
        <f>MONTH(dataset_1!B:B)</f>
        <v>1</v>
      </c>
      <c r="U694" s="61">
        <f t="shared" si="32"/>
        <v>2011</v>
      </c>
      <c r="V694" s="59" t="str">
        <f>TEXT(F694/24,"H AM/PM")</f>
        <v>5 AM</v>
      </c>
      <c r="W694" s="59" t="str">
        <f>IF(H694=6,"Saturday",IF(H694=0,"Sunday",IF(H694=1,"Monday",IF(H694=2,"Tuesday",IF(H694=3,"Wednesday",IF(H694=4,"Thursday",IF(H694=5,"Friday")))))))</f>
        <v>Tuesday</v>
      </c>
      <c r="X694" s="59" t="str">
        <f>IF(G694=FALSE,"Working day", IF(G694=TRUE,"Holiday"))</f>
        <v>Working day</v>
      </c>
    </row>
    <row r="695" spans="1:24" x14ac:dyDescent="0.25">
      <c r="A695" s="32">
        <v>694</v>
      </c>
      <c r="B695" s="33">
        <v>40575</v>
      </c>
      <c r="C695" s="26">
        <v>1</v>
      </c>
      <c r="D695" s="26">
        <v>0</v>
      </c>
      <c r="E695" s="26">
        <v>2</v>
      </c>
      <c r="F695" s="26">
        <v>6</v>
      </c>
      <c r="G695" s="26" t="b">
        <v>0</v>
      </c>
      <c r="H695" s="26">
        <v>2</v>
      </c>
      <c r="I695" s="26">
        <v>3</v>
      </c>
      <c r="J695" s="26">
        <v>0.14000000000000001</v>
      </c>
      <c r="K695" s="26">
        <v>0.21210000000000001</v>
      </c>
      <c r="L695" s="26">
        <v>0.93</v>
      </c>
      <c r="M695">
        <v>0</v>
      </c>
      <c r="N695" s="26">
        <v>0</v>
      </c>
      <c r="O695" s="26">
        <v>22</v>
      </c>
      <c r="P695" s="26">
        <v>22</v>
      </c>
      <c r="Q695" s="34" t="str">
        <f t="shared" si="30"/>
        <v>Light Rain</v>
      </c>
      <c r="R695" s="41" t="str">
        <f>IF(I695=1,"Normal",IF(I695=2,"Yellow Alert",IF(I695=3,"Orange Alert",IF(I695=4,"Red Alert"))))</f>
        <v>Orange Alert</v>
      </c>
      <c r="S695" s="60">
        <f t="shared" si="31"/>
        <v>1</v>
      </c>
      <c r="T695" s="61">
        <f>MONTH(dataset_1!B:B)</f>
        <v>1</v>
      </c>
      <c r="U695" s="61">
        <f t="shared" si="32"/>
        <v>2011</v>
      </c>
      <c r="V695" s="59" t="str">
        <f>TEXT(F695/24,"H AM/PM")</f>
        <v>6 AM</v>
      </c>
      <c r="W695" s="59" t="str">
        <f>IF(H695=6,"Saturday",IF(H695=0,"Sunday",IF(H695=1,"Monday",IF(H695=2,"Tuesday",IF(H695=3,"Wednesday",IF(H695=4,"Thursday",IF(H695=5,"Friday")))))))</f>
        <v>Tuesday</v>
      </c>
      <c r="X695" s="59" t="str">
        <f>IF(G695=FALSE,"Working day", IF(G695=TRUE,"Holiday"))</f>
        <v>Working day</v>
      </c>
    </row>
    <row r="696" spans="1:24" x14ac:dyDescent="0.25">
      <c r="A696" s="32">
        <v>695</v>
      </c>
      <c r="B696" s="33">
        <v>40575</v>
      </c>
      <c r="C696" s="26">
        <v>1</v>
      </c>
      <c r="D696" s="26">
        <v>0</v>
      </c>
      <c r="E696" s="26">
        <v>2</v>
      </c>
      <c r="F696" s="26">
        <v>7</v>
      </c>
      <c r="G696" s="26" t="b">
        <v>0</v>
      </c>
      <c r="H696" s="26">
        <v>2</v>
      </c>
      <c r="I696" s="26">
        <v>3</v>
      </c>
      <c r="J696" s="26">
        <v>0.16</v>
      </c>
      <c r="K696" s="26">
        <v>0.2273</v>
      </c>
      <c r="L696" s="26">
        <v>0.93</v>
      </c>
      <c r="M696">
        <v>0</v>
      </c>
      <c r="N696" s="26">
        <v>0</v>
      </c>
      <c r="O696" s="26">
        <v>52</v>
      </c>
      <c r="P696" s="26">
        <v>52</v>
      </c>
      <c r="Q696" s="34" t="str">
        <f t="shared" si="30"/>
        <v>Light Rain</v>
      </c>
      <c r="R696" s="41" t="str">
        <f>IF(I696=1,"Normal",IF(I696=2,"Yellow Alert",IF(I696=3,"Orange Alert",IF(I696=4,"Red Alert"))))</f>
        <v>Orange Alert</v>
      </c>
      <c r="S696" s="60">
        <f t="shared" si="31"/>
        <v>1</v>
      </c>
      <c r="T696" s="61">
        <f>MONTH(dataset_1!B:B)</f>
        <v>1</v>
      </c>
      <c r="U696" s="61">
        <f t="shared" si="32"/>
        <v>2011</v>
      </c>
      <c r="V696" s="59" t="str">
        <f>TEXT(F696/24,"H AM/PM")</f>
        <v>7 AM</v>
      </c>
      <c r="W696" s="59" t="str">
        <f>IF(H696=6,"Saturday",IF(H696=0,"Sunday",IF(H696=1,"Monday",IF(H696=2,"Tuesday",IF(H696=3,"Wednesday",IF(H696=4,"Thursday",IF(H696=5,"Friday")))))))</f>
        <v>Tuesday</v>
      </c>
      <c r="X696" s="59" t="str">
        <f>IF(G696=FALSE,"Working day", IF(G696=TRUE,"Holiday"))</f>
        <v>Working day</v>
      </c>
    </row>
    <row r="697" spans="1:24" x14ac:dyDescent="0.25">
      <c r="A697" s="32">
        <v>696</v>
      </c>
      <c r="B697" s="33">
        <v>40575</v>
      </c>
      <c r="C697" s="26">
        <v>1</v>
      </c>
      <c r="D697" s="26">
        <v>0</v>
      </c>
      <c r="E697" s="26">
        <v>2</v>
      </c>
      <c r="F697" s="26">
        <v>8</v>
      </c>
      <c r="G697" s="26" t="b">
        <v>0</v>
      </c>
      <c r="H697" s="26">
        <v>2</v>
      </c>
      <c r="I697" s="26">
        <v>3</v>
      </c>
      <c r="J697" s="26">
        <v>0.16</v>
      </c>
      <c r="K697" s="26">
        <v>0.2273</v>
      </c>
      <c r="L697" s="26">
        <v>0.93</v>
      </c>
      <c r="M697">
        <v>0</v>
      </c>
      <c r="N697" s="26">
        <v>3</v>
      </c>
      <c r="O697" s="26">
        <v>132</v>
      </c>
      <c r="P697" s="26">
        <v>135</v>
      </c>
      <c r="Q697" s="34" t="str">
        <f t="shared" si="30"/>
        <v>Light Rain</v>
      </c>
      <c r="R697" s="41" t="str">
        <f>IF(I697=1,"Normal",IF(I697=2,"Yellow Alert",IF(I697=3,"Orange Alert",IF(I697=4,"Red Alert"))))</f>
        <v>Orange Alert</v>
      </c>
      <c r="S697" s="60">
        <f t="shared" si="31"/>
        <v>1</v>
      </c>
      <c r="T697" s="61">
        <f>MONTH(dataset_1!B:B)</f>
        <v>1</v>
      </c>
      <c r="U697" s="61">
        <f t="shared" si="32"/>
        <v>2011</v>
      </c>
      <c r="V697" s="59" t="str">
        <f>TEXT(F697/24,"H AM/PM")</f>
        <v>8 AM</v>
      </c>
      <c r="W697" s="59" t="str">
        <f>IF(H697=6,"Saturday",IF(H697=0,"Sunday",IF(H697=1,"Monday",IF(H697=2,"Tuesday",IF(H697=3,"Wednesday",IF(H697=4,"Thursday",IF(H697=5,"Friday")))))))</f>
        <v>Tuesday</v>
      </c>
      <c r="X697" s="59" t="str">
        <f>IF(G697=FALSE,"Working day", IF(G697=TRUE,"Holiday"))</f>
        <v>Working day</v>
      </c>
    </row>
    <row r="698" spans="1:24" x14ac:dyDescent="0.25">
      <c r="A698" s="32">
        <v>697</v>
      </c>
      <c r="B698" s="33">
        <v>40575</v>
      </c>
      <c r="C698" s="26">
        <v>1</v>
      </c>
      <c r="D698" s="26">
        <v>0</v>
      </c>
      <c r="E698" s="26">
        <v>2</v>
      </c>
      <c r="F698" s="26">
        <v>9</v>
      </c>
      <c r="G698" s="26" t="b">
        <v>0</v>
      </c>
      <c r="H698" s="26">
        <v>2</v>
      </c>
      <c r="I698" s="26">
        <v>2</v>
      </c>
      <c r="J698" s="26">
        <v>0.16</v>
      </c>
      <c r="K698" s="26">
        <v>0.2273</v>
      </c>
      <c r="L698" s="26">
        <v>0.93</v>
      </c>
      <c r="M698">
        <v>0</v>
      </c>
      <c r="N698" s="26">
        <v>2</v>
      </c>
      <c r="O698" s="26">
        <v>114</v>
      </c>
      <c r="P698" s="26">
        <v>116</v>
      </c>
      <c r="Q698" s="34" t="str">
        <f t="shared" si="30"/>
        <v>Cloudy</v>
      </c>
      <c r="R698" s="41" t="str">
        <f>IF(I698=1,"Normal",IF(I698=2,"Yellow Alert",IF(I698=3,"Orange Alert",IF(I698=4,"Red Alert"))))</f>
        <v>Yellow Alert</v>
      </c>
      <c r="S698" s="60">
        <f t="shared" si="31"/>
        <v>1</v>
      </c>
      <c r="T698" s="61">
        <f>MONTH(dataset_1!B:B)</f>
        <v>1</v>
      </c>
      <c r="U698" s="61">
        <f t="shared" si="32"/>
        <v>2011</v>
      </c>
      <c r="V698" s="59" t="str">
        <f>TEXT(F698/24,"H AM/PM")</f>
        <v>9 AM</v>
      </c>
      <c r="W698" s="59" t="str">
        <f>IF(H698=6,"Saturday",IF(H698=0,"Sunday",IF(H698=1,"Monday",IF(H698=2,"Tuesday",IF(H698=3,"Wednesday",IF(H698=4,"Thursday",IF(H698=5,"Friday")))))))</f>
        <v>Tuesday</v>
      </c>
      <c r="X698" s="59" t="str">
        <f>IF(G698=FALSE,"Working day", IF(G698=TRUE,"Holiday"))</f>
        <v>Working day</v>
      </c>
    </row>
    <row r="699" spans="1:24" x14ac:dyDescent="0.25">
      <c r="A699" s="32">
        <v>698</v>
      </c>
      <c r="B699" s="33">
        <v>40575</v>
      </c>
      <c r="C699" s="26">
        <v>1</v>
      </c>
      <c r="D699" s="26">
        <v>0</v>
      </c>
      <c r="E699" s="26">
        <v>2</v>
      </c>
      <c r="F699" s="26">
        <v>10</v>
      </c>
      <c r="G699" s="26" t="b">
        <v>0</v>
      </c>
      <c r="H699" s="26">
        <v>2</v>
      </c>
      <c r="I699" s="26">
        <v>2</v>
      </c>
      <c r="J699" s="26">
        <v>0.16</v>
      </c>
      <c r="K699" s="26">
        <v>0.2273</v>
      </c>
      <c r="L699" s="26">
        <v>0.93</v>
      </c>
      <c r="M699">
        <v>0</v>
      </c>
      <c r="N699" s="26">
        <v>0</v>
      </c>
      <c r="O699" s="26">
        <v>47</v>
      </c>
      <c r="P699" s="26">
        <v>47</v>
      </c>
      <c r="Q699" s="34" t="str">
        <f t="shared" si="30"/>
        <v>Cloudy</v>
      </c>
      <c r="R699" s="41" t="str">
        <f>IF(I699=1,"Normal",IF(I699=2,"Yellow Alert",IF(I699=3,"Orange Alert",IF(I699=4,"Red Alert"))))</f>
        <v>Yellow Alert</v>
      </c>
      <c r="S699" s="60">
        <f t="shared" si="31"/>
        <v>1</v>
      </c>
      <c r="T699" s="61">
        <f>MONTH(dataset_1!B:B)</f>
        <v>1</v>
      </c>
      <c r="U699" s="61">
        <f t="shared" si="32"/>
        <v>2011</v>
      </c>
      <c r="V699" s="59" t="str">
        <f>TEXT(F699/24,"H AM/PM")</f>
        <v>10 AM</v>
      </c>
      <c r="W699" s="59" t="str">
        <f>IF(H699=6,"Saturday",IF(H699=0,"Sunday",IF(H699=1,"Monday",IF(H699=2,"Tuesday",IF(H699=3,"Wednesday",IF(H699=4,"Thursday",IF(H699=5,"Friday")))))))</f>
        <v>Tuesday</v>
      </c>
      <c r="X699" s="59" t="str">
        <f>IF(G699=FALSE,"Working day", IF(G699=TRUE,"Holiday"))</f>
        <v>Working day</v>
      </c>
    </row>
    <row r="700" spans="1:24" x14ac:dyDescent="0.25">
      <c r="A700" s="32">
        <v>699</v>
      </c>
      <c r="B700" s="33">
        <v>40575</v>
      </c>
      <c r="C700" s="26">
        <v>1</v>
      </c>
      <c r="D700" s="26">
        <v>0</v>
      </c>
      <c r="E700" s="26">
        <v>2</v>
      </c>
      <c r="F700" s="26">
        <v>11</v>
      </c>
      <c r="G700" s="26" t="b">
        <v>0</v>
      </c>
      <c r="H700" s="26">
        <v>2</v>
      </c>
      <c r="I700" s="26">
        <v>2</v>
      </c>
      <c r="J700" s="26">
        <v>0.18</v>
      </c>
      <c r="K700" s="26">
        <v>0.2424</v>
      </c>
      <c r="L700" s="26">
        <v>0.86</v>
      </c>
      <c r="M700">
        <v>0</v>
      </c>
      <c r="N700" s="26">
        <v>2</v>
      </c>
      <c r="O700" s="26">
        <v>49</v>
      </c>
      <c r="P700" s="26">
        <v>51</v>
      </c>
      <c r="Q700" s="34" t="str">
        <f t="shared" si="30"/>
        <v>Cloudy</v>
      </c>
      <c r="R700" s="41" t="str">
        <f>IF(I700=1,"Normal",IF(I700=2,"Yellow Alert",IF(I700=3,"Orange Alert",IF(I700=4,"Red Alert"))))</f>
        <v>Yellow Alert</v>
      </c>
      <c r="S700" s="60">
        <f t="shared" si="31"/>
        <v>1</v>
      </c>
      <c r="T700" s="61">
        <f>MONTH(dataset_1!B:B)</f>
        <v>1</v>
      </c>
      <c r="U700" s="61">
        <f t="shared" si="32"/>
        <v>2011</v>
      </c>
      <c r="V700" s="59" t="str">
        <f>TEXT(F700/24,"H AM/PM")</f>
        <v>11 AM</v>
      </c>
      <c r="W700" s="59" t="str">
        <f>IF(H700=6,"Saturday",IF(H700=0,"Sunday",IF(H700=1,"Monday",IF(H700=2,"Tuesday",IF(H700=3,"Wednesday",IF(H700=4,"Thursday",IF(H700=5,"Friday")))))))</f>
        <v>Tuesday</v>
      </c>
      <c r="X700" s="59" t="str">
        <f>IF(G700=FALSE,"Working day", IF(G700=TRUE,"Holiday"))</f>
        <v>Working day</v>
      </c>
    </row>
    <row r="701" spans="1:24" x14ac:dyDescent="0.25">
      <c r="A701" s="32">
        <v>700</v>
      </c>
      <c r="B701" s="33">
        <v>40575</v>
      </c>
      <c r="C701" s="26">
        <v>1</v>
      </c>
      <c r="D701" s="26">
        <v>0</v>
      </c>
      <c r="E701" s="26">
        <v>2</v>
      </c>
      <c r="F701" s="26">
        <v>12</v>
      </c>
      <c r="G701" s="26" t="b">
        <v>0</v>
      </c>
      <c r="H701" s="26">
        <v>2</v>
      </c>
      <c r="I701" s="26">
        <v>2</v>
      </c>
      <c r="J701" s="26">
        <v>0.2</v>
      </c>
      <c r="K701" s="26">
        <v>0.2576</v>
      </c>
      <c r="L701" s="26">
        <v>0.86</v>
      </c>
      <c r="M701">
        <v>0</v>
      </c>
      <c r="N701" s="26">
        <v>2</v>
      </c>
      <c r="O701" s="26">
        <v>53</v>
      </c>
      <c r="P701" s="26">
        <v>55</v>
      </c>
      <c r="Q701" s="34" t="str">
        <f t="shared" si="30"/>
        <v>Cloudy</v>
      </c>
      <c r="R701" s="41" t="str">
        <f>IF(I701=1,"Normal",IF(I701=2,"Yellow Alert",IF(I701=3,"Orange Alert",IF(I701=4,"Red Alert"))))</f>
        <v>Yellow Alert</v>
      </c>
      <c r="S701" s="60">
        <f t="shared" si="31"/>
        <v>1</v>
      </c>
      <c r="T701" s="61">
        <f>MONTH(dataset_1!B:B)</f>
        <v>1</v>
      </c>
      <c r="U701" s="61">
        <f t="shared" si="32"/>
        <v>2011</v>
      </c>
      <c r="V701" s="59" t="str">
        <f>TEXT(F701/24,"H AM/PM")</f>
        <v>12 PM</v>
      </c>
      <c r="W701" s="59" t="str">
        <f>IF(H701=6,"Saturday",IF(H701=0,"Sunday",IF(H701=1,"Monday",IF(H701=2,"Tuesday",IF(H701=3,"Wednesday",IF(H701=4,"Thursday",IF(H701=5,"Friday")))))))</f>
        <v>Tuesday</v>
      </c>
      <c r="X701" s="59" t="str">
        <f>IF(G701=FALSE,"Working day", IF(G701=TRUE,"Holiday"))</f>
        <v>Working day</v>
      </c>
    </row>
    <row r="702" spans="1:24" x14ac:dyDescent="0.25">
      <c r="A702" s="32">
        <v>701</v>
      </c>
      <c r="B702" s="33">
        <v>40575</v>
      </c>
      <c r="C702" s="26">
        <v>1</v>
      </c>
      <c r="D702" s="26">
        <v>0</v>
      </c>
      <c r="E702" s="26">
        <v>2</v>
      </c>
      <c r="F702" s="26">
        <v>13</v>
      </c>
      <c r="G702" s="26" t="b">
        <v>0</v>
      </c>
      <c r="H702" s="26">
        <v>2</v>
      </c>
      <c r="I702" s="26">
        <v>2</v>
      </c>
      <c r="J702" s="26">
        <v>0.2</v>
      </c>
      <c r="K702" s="26">
        <v>0.2576</v>
      </c>
      <c r="L702" s="26">
        <v>0.86</v>
      </c>
      <c r="M702">
        <v>0</v>
      </c>
      <c r="N702" s="26">
        <v>3</v>
      </c>
      <c r="O702" s="26">
        <v>49</v>
      </c>
      <c r="P702" s="26">
        <v>52</v>
      </c>
      <c r="Q702" s="34" t="str">
        <f t="shared" si="30"/>
        <v>Cloudy</v>
      </c>
      <c r="R702" s="41" t="str">
        <f>IF(I702=1,"Normal",IF(I702=2,"Yellow Alert",IF(I702=3,"Orange Alert",IF(I702=4,"Red Alert"))))</f>
        <v>Yellow Alert</v>
      </c>
      <c r="S702" s="60">
        <f t="shared" si="31"/>
        <v>1</v>
      </c>
      <c r="T702" s="61">
        <f>MONTH(dataset_1!B:B)</f>
        <v>1</v>
      </c>
      <c r="U702" s="61">
        <f t="shared" si="32"/>
        <v>2011</v>
      </c>
      <c r="V702" s="59" t="str">
        <f>TEXT(F702/24,"H AM/PM")</f>
        <v>1 PM</v>
      </c>
      <c r="W702" s="59" t="str">
        <f>IF(H702=6,"Saturday",IF(H702=0,"Sunday",IF(H702=1,"Monday",IF(H702=2,"Tuesday",IF(H702=3,"Wednesday",IF(H702=4,"Thursday",IF(H702=5,"Friday")))))))</f>
        <v>Tuesday</v>
      </c>
      <c r="X702" s="59" t="str">
        <f>IF(G702=FALSE,"Working day", IF(G702=TRUE,"Holiday"))</f>
        <v>Working day</v>
      </c>
    </row>
    <row r="703" spans="1:24" x14ac:dyDescent="0.25">
      <c r="A703" s="32">
        <v>702</v>
      </c>
      <c r="B703" s="33">
        <v>40575</v>
      </c>
      <c r="C703" s="26">
        <v>1</v>
      </c>
      <c r="D703" s="26">
        <v>0</v>
      </c>
      <c r="E703" s="26">
        <v>2</v>
      </c>
      <c r="F703" s="26">
        <v>14</v>
      </c>
      <c r="G703" s="26" t="b">
        <v>0</v>
      </c>
      <c r="H703" s="26">
        <v>2</v>
      </c>
      <c r="I703" s="26">
        <v>2</v>
      </c>
      <c r="J703" s="26">
        <v>0.22</v>
      </c>
      <c r="K703" s="26">
        <v>0.2576</v>
      </c>
      <c r="L703" s="26">
        <v>0.8</v>
      </c>
      <c r="M703">
        <v>8.9599999999999999E-2</v>
      </c>
      <c r="N703" s="26">
        <v>5</v>
      </c>
      <c r="O703" s="26">
        <v>49</v>
      </c>
      <c r="P703" s="26">
        <v>54</v>
      </c>
      <c r="Q703" s="34" t="str">
        <f t="shared" si="30"/>
        <v>Cloudy</v>
      </c>
      <c r="R703" s="41" t="str">
        <f>IF(I703=1,"Normal",IF(I703=2,"Yellow Alert",IF(I703=3,"Orange Alert",IF(I703=4,"Red Alert"))))</f>
        <v>Yellow Alert</v>
      </c>
      <c r="S703" s="60">
        <f t="shared" si="31"/>
        <v>1</v>
      </c>
      <c r="T703" s="61">
        <f>MONTH(dataset_1!B:B)</f>
        <v>1</v>
      </c>
      <c r="U703" s="61">
        <f t="shared" si="32"/>
        <v>2011</v>
      </c>
      <c r="V703" s="59" t="str">
        <f>TEXT(F703/24,"H AM/PM")</f>
        <v>2 PM</v>
      </c>
      <c r="W703" s="59" t="str">
        <f>IF(H703=6,"Saturday",IF(H703=0,"Sunday",IF(H703=1,"Monday",IF(H703=2,"Tuesday",IF(H703=3,"Wednesday",IF(H703=4,"Thursday",IF(H703=5,"Friday")))))))</f>
        <v>Tuesday</v>
      </c>
      <c r="X703" s="59" t="str">
        <f>IF(G703=FALSE,"Working day", IF(G703=TRUE,"Holiday"))</f>
        <v>Working day</v>
      </c>
    </row>
    <row r="704" spans="1:24" x14ac:dyDescent="0.25">
      <c r="A704" s="32">
        <v>703</v>
      </c>
      <c r="B704" s="33">
        <v>40575</v>
      </c>
      <c r="C704" s="26">
        <v>1</v>
      </c>
      <c r="D704" s="26">
        <v>0</v>
      </c>
      <c r="E704" s="26">
        <v>2</v>
      </c>
      <c r="F704" s="26">
        <v>15</v>
      </c>
      <c r="G704" s="26" t="b">
        <v>0</v>
      </c>
      <c r="H704" s="26">
        <v>2</v>
      </c>
      <c r="I704" s="26">
        <v>2</v>
      </c>
      <c r="J704" s="26">
        <v>0.24</v>
      </c>
      <c r="K704" s="26">
        <v>0.28789999999999999</v>
      </c>
      <c r="L704" s="26">
        <v>0.75</v>
      </c>
      <c r="M704">
        <v>0</v>
      </c>
      <c r="N704" s="26">
        <v>7</v>
      </c>
      <c r="O704" s="26">
        <v>45</v>
      </c>
      <c r="P704" s="26">
        <v>52</v>
      </c>
      <c r="Q704" s="34" t="str">
        <f t="shared" si="30"/>
        <v>Cloudy</v>
      </c>
      <c r="R704" s="41" t="str">
        <f>IF(I704=1,"Normal",IF(I704=2,"Yellow Alert",IF(I704=3,"Orange Alert",IF(I704=4,"Red Alert"))))</f>
        <v>Yellow Alert</v>
      </c>
      <c r="S704" s="60">
        <f t="shared" si="31"/>
        <v>1</v>
      </c>
      <c r="T704" s="61">
        <f>MONTH(dataset_1!B:B)</f>
        <v>1</v>
      </c>
      <c r="U704" s="61">
        <f t="shared" si="32"/>
        <v>2011</v>
      </c>
      <c r="V704" s="59" t="str">
        <f>TEXT(F704/24,"H AM/PM")</f>
        <v>3 PM</v>
      </c>
      <c r="W704" s="59" t="str">
        <f>IF(H704=6,"Saturday",IF(H704=0,"Sunday",IF(H704=1,"Monday",IF(H704=2,"Tuesday",IF(H704=3,"Wednesday",IF(H704=4,"Thursday",IF(H704=5,"Friday")))))))</f>
        <v>Tuesday</v>
      </c>
      <c r="X704" s="59" t="str">
        <f>IF(G704=FALSE,"Working day", IF(G704=TRUE,"Holiday"))</f>
        <v>Working day</v>
      </c>
    </row>
    <row r="705" spans="1:24" x14ac:dyDescent="0.25">
      <c r="A705" s="32">
        <v>704</v>
      </c>
      <c r="B705" s="33">
        <v>40575</v>
      </c>
      <c r="C705" s="26">
        <v>1</v>
      </c>
      <c r="D705" s="26">
        <v>0</v>
      </c>
      <c r="E705" s="26">
        <v>2</v>
      </c>
      <c r="F705" s="26">
        <v>16</v>
      </c>
      <c r="G705" s="26" t="b">
        <v>0</v>
      </c>
      <c r="H705" s="26">
        <v>2</v>
      </c>
      <c r="I705" s="26">
        <v>2</v>
      </c>
      <c r="J705" s="26">
        <v>0.24</v>
      </c>
      <c r="K705" s="26">
        <v>0.2424</v>
      </c>
      <c r="L705" s="26">
        <v>0.75</v>
      </c>
      <c r="M705">
        <v>0.1343</v>
      </c>
      <c r="N705" s="26">
        <v>3</v>
      </c>
      <c r="O705" s="26">
        <v>61</v>
      </c>
      <c r="P705" s="26">
        <v>64</v>
      </c>
      <c r="Q705" s="34" t="str">
        <f t="shared" si="30"/>
        <v>Cloudy</v>
      </c>
      <c r="R705" s="41" t="str">
        <f>IF(I705=1,"Normal",IF(I705=2,"Yellow Alert",IF(I705=3,"Orange Alert",IF(I705=4,"Red Alert"))))</f>
        <v>Yellow Alert</v>
      </c>
      <c r="S705" s="60">
        <f t="shared" si="31"/>
        <v>1</v>
      </c>
      <c r="T705" s="61">
        <f>MONTH(dataset_1!B:B)</f>
        <v>1</v>
      </c>
      <c r="U705" s="61">
        <f t="shared" si="32"/>
        <v>2011</v>
      </c>
      <c r="V705" s="59" t="str">
        <f>TEXT(F705/24,"H AM/PM")</f>
        <v>4 PM</v>
      </c>
      <c r="W705" s="59" t="str">
        <f>IF(H705=6,"Saturday",IF(H705=0,"Sunday",IF(H705=1,"Monday",IF(H705=2,"Tuesday",IF(H705=3,"Wednesday",IF(H705=4,"Thursday",IF(H705=5,"Friday")))))))</f>
        <v>Tuesday</v>
      </c>
      <c r="X705" s="59" t="str">
        <f>IF(G705=FALSE,"Working day", IF(G705=TRUE,"Holiday"))</f>
        <v>Working day</v>
      </c>
    </row>
    <row r="706" spans="1:24" x14ac:dyDescent="0.25">
      <c r="A706" s="32">
        <v>705</v>
      </c>
      <c r="B706" s="33">
        <v>40575</v>
      </c>
      <c r="C706" s="26">
        <v>1</v>
      </c>
      <c r="D706" s="26">
        <v>0</v>
      </c>
      <c r="E706" s="26">
        <v>2</v>
      </c>
      <c r="F706" s="26">
        <v>17</v>
      </c>
      <c r="G706" s="26" t="b">
        <v>0</v>
      </c>
      <c r="H706" s="26">
        <v>2</v>
      </c>
      <c r="I706" s="26">
        <v>2</v>
      </c>
      <c r="J706" s="26">
        <v>0.24</v>
      </c>
      <c r="K706" s="26">
        <v>0.28789999999999999</v>
      </c>
      <c r="L706" s="26">
        <v>0.75</v>
      </c>
      <c r="M706">
        <v>0</v>
      </c>
      <c r="N706" s="26">
        <v>4</v>
      </c>
      <c r="O706" s="26">
        <v>172</v>
      </c>
      <c r="P706" s="26">
        <v>176</v>
      </c>
      <c r="Q706" s="34" t="str">
        <f t="shared" ref="Q706:Q769" si="33">IF(I706=1,"Clear",IF(I706=2,"Cloudy",IF(I706=3,"Light Rain",IF(I706=4,"Heavy Rain"))))</f>
        <v>Cloudy</v>
      </c>
      <c r="R706" s="41" t="str">
        <f>IF(I706=1,"Normal",IF(I706=2,"Yellow Alert",IF(I706=3,"Orange Alert",IF(I706=4,"Red Alert"))))</f>
        <v>Yellow Alert</v>
      </c>
      <c r="S706" s="60">
        <f t="shared" ref="S706:S769" si="34">DAY(B:B)</f>
        <v>1</v>
      </c>
      <c r="T706" s="61">
        <f>MONTH(dataset_1!B:B)</f>
        <v>1</v>
      </c>
      <c r="U706" s="61">
        <f t="shared" ref="U706:U769" si="35">YEAR(B:B)</f>
        <v>2011</v>
      </c>
      <c r="V706" s="59" t="str">
        <f>TEXT(F706/24,"H AM/PM")</f>
        <v>5 PM</v>
      </c>
      <c r="W706" s="59" t="str">
        <f>IF(H706=6,"Saturday",IF(H706=0,"Sunday",IF(H706=1,"Monday",IF(H706=2,"Tuesday",IF(H706=3,"Wednesday",IF(H706=4,"Thursday",IF(H706=5,"Friday")))))))</f>
        <v>Tuesday</v>
      </c>
      <c r="X706" s="59" t="str">
        <f>IF(G706=FALSE,"Working day", IF(G706=TRUE,"Holiday"))</f>
        <v>Working day</v>
      </c>
    </row>
    <row r="707" spans="1:24" x14ac:dyDescent="0.25">
      <c r="A707" s="32">
        <v>706</v>
      </c>
      <c r="B707" s="33">
        <v>40575</v>
      </c>
      <c r="C707" s="26">
        <v>1</v>
      </c>
      <c r="D707" s="26">
        <v>0</v>
      </c>
      <c r="E707" s="26">
        <v>2</v>
      </c>
      <c r="F707" s="26">
        <v>18</v>
      </c>
      <c r="G707" s="26" t="b">
        <v>0</v>
      </c>
      <c r="H707" s="26">
        <v>2</v>
      </c>
      <c r="I707" s="26">
        <v>2</v>
      </c>
      <c r="J707" s="26">
        <v>0.24</v>
      </c>
      <c r="K707" s="26">
        <v>0.2576</v>
      </c>
      <c r="L707" s="26">
        <v>0.81</v>
      </c>
      <c r="M707">
        <v>0.1045</v>
      </c>
      <c r="N707" s="26">
        <v>3</v>
      </c>
      <c r="O707" s="26">
        <v>165</v>
      </c>
      <c r="P707" s="26">
        <v>168</v>
      </c>
      <c r="Q707" s="34" t="str">
        <f t="shared" si="33"/>
        <v>Cloudy</v>
      </c>
      <c r="R707" s="41" t="str">
        <f>IF(I707=1,"Normal",IF(I707=2,"Yellow Alert",IF(I707=3,"Orange Alert",IF(I707=4,"Red Alert"))))</f>
        <v>Yellow Alert</v>
      </c>
      <c r="S707" s="60">
        <f t="shared" si="34"/>
        <v>1</v>
      </c>
      <c r="T707" s="61">
        <f>MONTH(dataset_1!B:B)</f>
        <v>1</v>
      </c>
      <c r="U707" s="61">
        <f t="shared" si="35"/>
        <v>2011</v>
      </c>
      <c r="V707" s="59" t="str">
        <f>TEXT(F707/24,"H AM/PM")</f>
        <v>6 PM</v>
      </c>
      <c r="W707" s="59" t="str">
        <f>IF(H707=6,"Saturday",IF(H707=0,"Sunday",IF(H707=1,"Monday",IF(H707=2,"Tuesday",IF(H707=3,"Wednesday",IF(H707=4,"Thursday",IF(H707=5,"Friday")))))))</f>
        <v>Tuesday</v>
      </c>
      <c r="X707" s="59" t="str">
        <f>IF(G707=FALSE,"Working day", IF(G707=TRUE,"Holiday"))</f>
        <v>Working day</v>
      </c>
    </row>
    <row r="708" spans="1:24" x14ac:dyDescent="0.25">
      <c r="A708" s="32">
        <v>707</v>
      </c>
      <c r="B708" s="33">
        <v>40575</v>
      </c>
      <c r="C708" s="26">
        <v>1</v>
      </c>
      <c r="D708" s="26">
        <v>0</v>
      </c>
      <c r="E708" s="26">
        <v>2</v>
      </c>
      <c r="F708" s="26">
        <v>19</v>
      </c>
      <c r="G708" s="26" t="b">
        <v>0</v>
      </c>
      <c r="H708" s="26">
        <v>2</v>
      </c>
      <c r="I708" s="26">
        <v>2</v>
      </c>
      <c r="J708" s="26">
        <v>0.24</v>
      </c>
      <c r="K708" s="26">
        <v>0.2424</v>
      </c>
      <c r="L708" s="26">
        <v>0.81</v>
      </c>
      <c r="M708">
        <v>0.1343</v>
      </c>
      <c r="N708" s="26">
        <v>3</v>
      </c>
      <c r="O708" s="26">
        <v>105</v>
      </c>
      <c r="P708" s="26">
        <v>108</v>
      </c>
      <c r="Q708" s="34" t="str">
        <f t="shared" si="33"/>
        <v>Cloudy</v>
      </c>
      <c r="R708" s="41" t="str">
        <f>IF(I708=1,"Normal",IF(I708=2,"Yellow Alert",IF(I708=3,"Orange Alert",IF(I708=4,"Red Alert"))))</f>
        <v>Yellow Alert</v>
      </c>
      <c r="S708" s="60">
        <f t="shared" si="34"/>
        <v>1</v>
      </c>
      <c r="T708" s="61">
        <f>MONTH(dataset_1!B:B)</f>
        <v>1</v>
      </c>
      <c r="U708" s="61">
        <f t="shared" si="35"/>
        <v>2011</v>
      </c>
      <c r="V708" s="59" t="str">
        <f>TEXT(F708/24,"H AM/PM")</f>
        <v>7 PM</v>
      </c>
      <c r="W708" s="59" t="str">
        <f>IF(H708=6,"Saturday",IF(H708=0,"Sunday",IF(H708=1,"Monday",IF(H708=2,"Tuesday",IF(H708=3,"Wednesday",IF(H708=4,"Thursday",IF(H708=5,"Friday")))))))</f>
        <v>Tuesday</v>
      </c>
      <c r="X708" s="59" t="str">
        <f>IF(G708=FALSE,"Working day", IF(G708=TRUE,"Holiday"))</f>
        <v>Working day</v>
      </c>
    </row>
    <row r="709" spans="1:24" x14ac:dyDescent="0.25">
      <c r="A709" s="32">
        <v>708</v>
      </c>
      <c r="B709" s="33">
        <v>40575</v>
      </c>
      <c r="C709" s="26">
        <v>1</v>
      </c>
      <c r="D709" s="26">
        <v>0</v>
      </c>
      <c r="E709" s="26">
        <v>2</v>
      </c>
      <c r="F709" s="26">
        <v>20</v>
      </c>
      <c r="G709" s="26" t="b">
        <v>0</v>
      </c>
      <c r="H709" s="26">
        <v>2</v>
      </c>
      <c r="I709" s="26">
        <v>2</v>
      </c>
      <c r="J709" s="26">
        <v>0.22</v>
      </c>
      <c r="K709" s="26">
        <v>0.2273</v>
      </c>
      <c r="L709" s="26">
        <v>0.87</v>
      </c>
      <c r="M709">
        <v>0.1343</v>
      </c>
      <c r="N709" s="26">
        <v>5</v>
      </c>
      <c r="O709" s="26">
        <v>69</v>
      </c>
      <c r="P709" s="26">
        <v>74</v>
      </c>
      <c r="Q709" s="34" t="str">
        <f t="shared" si="33"/>
        <v>Cloudy</v>
      </c>
      <c r="R709" s="41" t="str">
        <f>IF(I709=1,"Normal",IF(I709=2,"Yellow Alert",IF(I709=3,"Orange Alert",IF(I709=4,"Red Alert"))))</f>
        <v>Yellow Alert</v>
      </c>
      <c r="S709" s="60">
        <f t="shared" si="34"/>
        <v>1</v>
      </c>
      <c r="T709" s="61">
        <f>MONTH(dataset_1!B:B)</f>
        <v>1</v>
      </c>
      <c r="U709" s="61">
        <f t="shared" si="35"/>
        <v>2011</v>
      </c>
      <c r="V709" s="59" t="str">
        <f>TEXT(F709/24,"H AM/PM")</f>
        <v>8 PM</v>
      </c>
      <c r="W709" s="59" t="str">
        <f>IF(H709=6,"Saturday",IF(H709=0,"Sunday",IF(H709=1,"Monday",IF(H709=2,"Tuesday",IF(H709=3,"Wednesday",IF(H709=4,"Thursday",IF(H709=5,"Friday")))))))</f>
        <v>Tuesday</v>
      </c>
      <c r="X709" s="59" t="str">
        <f>IF(G709=FALSE,"Working day", IF(G709=TRUE,"Holiday"))</f>
        <v>Working day</v>
      </c>
    </row>
    <row r="710" spans="1:24" x14ac:dyDescent="0.25">
      <c r="A710" s="32">
        <v>709</v>
      </c>
      <c r="B710" s="33">
        <v>40575</v>
      </c>
      <c r="C710" s="26">
        <v>1</v>
      </c>
      <c r="D710" s="26">
        <v>0</v>
      </c>
      <c r="E710" s="26">
        <v>2</v>
      </c>
      <c r="F710" s="26">
        <v>21</v>
      </c>
      <c r="G710" s="26" t="b">
        <v>0</v>
      </c>
      <c r="H710" s="26">
        <v>2</v>
      </c>
      <c r="I710" s="26">
        <v>2</v>
      </c>
      <c r="J710" s="26">
        <v>0.22</v>
      </c>
      <c r="K710" s="26">
        <v>0.2273</v>
      </c>
      <c r="L710" s="26">
        <v>0.87</v>
      </c>
      <c r="M710">
        <v>0.1343</v>
      </c>
      <c r="N710" s="26">
        <v>0</v>
      </c>
      <c r="O710" s="26">
        <v>64</v>
      </c>
      <c r="P710" s="26">
        <v>64</v>
      </c>
      <c r="Q710" s="34" t="str">
        <f t="shared" si="33"/>
        <v>Cloudy</v>
      </c>
      <c r="R710" s="41" t="str">
        <f>IF(I710=1,"Normal",IF(I710=2,"Yellow Alert",IF(I710=3,"Orange Alert",IF(I710=4,"Red Alert"))))</f>
        <v>Yellow Alert</v>
      </c>
      <c r="S710" s="60">
        <f t="shared" si="34"/>
        <v>1</v>
      </c>
      <c r="T710" s="61">
        <f>MONTH(dataset_1!B:B)</f>
        <v>1</v>
      </c>
      <c r="U710" s="61">
        <f t="shared" si="35"/>
        <v>2011</v>
      </c>
      <c r="V710" s="59" t="str">
        <f>TEXT(F710/24,"H AM/PM")</f>
        <v>9 PM</v>
      </c>
      <c r="W710" s="59" t="str">
        <f>IF(H710=6,"Saturday",IF(H710=0,"Sunday",IF(H710=1,"Monday",IF(H710=2,"Tuesday",IF(H710=3,"Wednesday",IF(H710=4,"Thursday",IF(H710=5,"Friday")))))))</f>
        <v>Tuesday</v>
      </c>
      <c r="X710" s="59" t="str">
        <f>IF(G710=FALSE,"Working day", IF(G710=TRUE,"Holiday"))</f>
        <v>Working day</v>
      </c>
    </row>
    <row r="711" spans="1:24" x14ac:dyDescent="0.25">
      <c r="A711" s="32">
        <v>710</v>
      </c>
      <c r="B711" s="33">
        <v>40575</v>
      </c>
      <c r="C711" s="26">
        <v>1</v>
      </c>
      <c r="D711" s="26">
        <v>0</v>
      </c>
      <c r="E711" s="26">
        <v>2</v>
      </c>
      <c r="F711" s="26">
        <v>22</v>
      </c>
      <c r="G711" s="26" t="b">
        <v>0</v>
      </c>
      <c r="H711" s="26">
        <v>2</v>
      </c>
      <c r="I711" s="26">
        <v>2</v>
      </c>
      <c r="J711" s="26">
        <v>0.22</v>
      </c>
      <c r="K711" s="26">
        <v>0.2576</v>
      </c>
      <c r="L711" s="26">
        <v>0.87</v>
      </c>
      <c r="M711">
        <v>8.9599999999999999E-2</v>
      </c>
      <c r="N711" s="26">
        <v>2</v>
      </c>
      <c r="O711" s="26">
        <v>34</v>
      </c>
      <c r="P711" s="26">
        <v>36</v>
      </c>
      <c r="Q711" s="34" t="str">
        <f t="shared" si="33"/>
        <v>Cloudy</v>
      </c>
      <c r="R711" s="41" t="str">
        <f>IF(I711=1,"Normal",IF(I711=2,"Yellow Alert",IF(I711=3,"Orange Alert",IF(I711=4,"Red Alert"))))</f>
        <v>Yellow Alert</v>
      </c>
      <c r="S711" s="60">
        <f t="shared" si="34"/>
        <v>1</v>
      </c>
      <c r="T711" s="61">
        <f>MONTH(dataset_1!B:B)</f>
        <v>1</v>
      </c>
      <c r="U711" s="61">
        <f t="shared" si="35"/>
        <v>2011</v>
      </c>
      <c r="V711" s="59" t="str">
        <f>TEXT(F711/24,"H AM/PM")</f>
        <v>10 PM</v>
      </c>
      <c r="W711" s="59" t="str">
        <f>IF(H711=6,"Saturday",IF(H711=0,"Sunday",IF(H711=1,"Monday",IF(H711=2,"Tuesday",IF(H711=3,"Wednesday",IF(H711=4,"Thursday",IF(H711=5,"Friday")))))))</f>
        <v>Tuesday</v>
      </c>
      <c r="X711" s="59" t="str">
        <f>IF(G711=FALSE,"Working day", IF(G711=TRUE,"Holiday"))</f>
        <v>Working day</v>
      </c>
    </row>
    <row r="712" spans="1:24" x14ac:dyDescent="0.25">
      <c r="A712" s="32">
        <v>711</v>
      </c>
      <c r="B712" s="33">
        <v>40575</v>
      </c>
      <c r="C712" s="26">
        <v>1</v>
      </c>
      <c r="D712" s="26">
        <v>0</v>
      </c>
      <c r="E712" s="26">
        <v>2</v>
      </c>
      <c r="F712" s="26">
        <v>23</v>
      </c>
      <c r="G712" s="26" t="b">
        <v>0</v>
      </c>
      <c r="H712" s="26">
        <v>2</v>
      </c>
      <c r="I712" s="26">
        <v>3</v>
      </c>
      <c r="J712" s="26">
        <v>0.2</v>
      </c>
      <c r="K712" s="26">
        <v>0.19700000000000001</v>
      </c>
      <c r="L712" s="26">
        <v>0.93</v>
      </c>
      <c r="M712">
        <v>0.19400000000000001</v>
      </c>
      <c r="N712" s="26">
        <v>1</v>
      </c>
      <c r="O712" s="26">
        <v>15</v>
      </c>
      <c r="P712" s="26">
        <v>16</v>
      </c>
      <c r="Q712" s="34" t="str">
        <f t="shared" si="33"/>
        <v>Light Rain</v>
      </c>
      <c r="R712" s="41" t="str">
        <f>IF(I712=1,"Normal",IF(I712=2,"Yellow Alert",IF(I712=3,"Orange Alert",IF(I712=4,"Red Alert"))))</f>
        <v>Orange Alert</v>
      </c>
      <c r="S712" s="60">
        <f t="shared" si="34"/>
        <v>1</v>
      </c>
      <c r="T712" s="61">
        <f>MONTH(dataset_1!B:B)</f>
        <v>1</v>
      </c>
      <c r="U712" s="61">
        <f t="shared" si="35"/>
        <v>2011</v>
      </c>
      <c r="V712" s="59" t="str">
        <f>TEXT(F712/24,"H AM/PM")</f>
        <v>11 PM</v>
      </c>
      <c r="W712" s="59" t="str">
        <f>IF(H712=6,"Saturday",IF(H712=0,"Sunday",IF(H712=1,"Monday",IF(H712=2,"Tuesday",IF(H712=3,"Wednesday",IF(H712=4,"Thursday",IF(H712=5,"Friday")))))))</f>
        <v>Tuesday</v>
      </c>
      <c r="X712" s="59" t="str">
        <f>IF(G712=FALSE,"Working day", IF(G712=TRUE,"Holiday"))</f>
        <v>Working day</v>
      </c>
    </row>
    <row r="713" spans="1:24" x14ac:dyDescent="0.25">
      <c r="A713" s="32">
        <v>712</v>
      </c>
      <c r="B713" s="33">
        <v>40576</v>
      </c>
      <c r="C713" s="26">
        <v>1</v>
      </c>
      <c r="D713" s="26">
        <v>0</v>
      </c>
      <c r="E713" s="26">
        <v>2</v>
      </c>
      <c r="F713" s="26">
        <v>0</v>
      </c>
      <c r="G713" s="26" t="b">
        <v>0</v>
      </c>
      <c r="H713" s="26">
        <v>3</v>
      </c>
      <c r="I713" s="26">
        <v>3</v>
      </c>
      <c r="J713" s="26">
        <v>0.22</v>
      </c>
      <c r="K713" s="26">
        <v>0.2424</v>
      </c>
      <c r="L713" s="26">
        <v>0.93</v>
      </c>
      <c r="M713">
        <v>0.1045</v>
      </c>
      <c r="N713" s="26">
        <v>0</v>
      </c>
      <c r="O713" s="26">
        <v>2</v>
      </c>
      <c r="P713" s="26">
        <v>2</v>
      </c>
      <c r="Q713" s="34" t="str">
        <f t="shared" si="33"/>
        <v>Light Rain</v>
      </c>
      <c r="R713" s="41" t="str">
        <f>IF(I713=1,"Normal",IF(I713=2,"Yellow Alert",IF(I713=3,"Orange Alert",IF(I713=4,"Red Alert"))))</f>
        <v>Orange Alert</v>
      </c>
      <c r="S713" s="60">
        <f t="shared" si="34"/>
        <v>2</v>
      </c>
      <c r="T713" s="61">
        <f>MONTH(dataset_1!B:B)</f>
        <v>1</v>
      </c>
      <c r="U713" s="61">
        <f t="shared" si="35"/>
        <v>2011</v>
      </c>
      <c r="V713" s="59" t="str">
        <f>TEXT(F713/24,"H AM/PM")</f>
        <v>12 AM</v>
      </c>
      <c r="W713" s="59" t="str">
        <f>IF(H713=6,"Saturday",IF(H713=0,"Sunday",IF(H713=1,"Monday",IF(H713=2,"Tuesday",IF(H713=3,"Wednesday",IF(H713=4,"Thursday",IF(H713=5,"Friday")))))))</f>
        <v>Wednesday</v>
      </c>
      <c r="X713" s="59" t="str">
        <f>IF(G713=FALSE,"Working day", IF(G713=TRUE,"Holiday"))</f>
        <v>Working day</v>
      </c>
    </row>
    <row r="714" spans="1:24" x14ac:dyDescent="0.25">
      <c r="A714" s="32">
        <v>713</v>
      </c>
      <c r="B714" s="33">
        <v>40576</v>
      </c>
      <c r="C714" s="26">
        <v>1</v>
      </c>
      <c r="D714" s="26">
        <v>0</v>
      </c>
      <c r="E714" s="26">
        <v>2</v>
      </c>
      <c r="F714" s="26">
        <v>1</v>
      </c>
      <c r="G714" s="26" t="b">
        <v>0</v>
      </c>
      <c r="H714" s="26">
        <v>3</v>
      </c>
      <c r="I714" s="26">
        <v>3</v>
      </c>
      <c r="J714" s="26">
        <v>0.22</v>
      </c>
      <c r="K714" s="26">
        <v>0.2273</v>
      </c>
      <c r="L714" s="26">
        <v>0.93</v>
      </c>
      <c r="M714">
        <v>0.19400000000000001</v>
      </c>
      <c r="N714" s="26">
        <v>0</v>
      </c>
      <c r="O714" s="26">
        <v>3</v>
      </c>
      <c r="P714" s="26">
        <v>3</v>
      </c>
      <c r="Q714" s="34" t="str">
        <f t="shared" si="33"/>
        <v>Light Rain</v>
      </c>
      <c r="R714" s="41" t="str">
        <f>IF(I714=1,"Normal",IF(I714=2,"Yellow Alert",IF(I714=3,"Orange Alert",IF(I714=4,"Red Alert"))))</f>
        <v>Orange Alert</v>
      </c>
      <c r="S714" s="60">
        <f t="shared" si="34"/>
        <v>2</v>
      </c>
      <c r="T714" s="61">
        <f>MONTH(dataset_1!B:B)</f>
        <v>1</v>
      </c>
      <c r="U714" s="61">
        <f t="shared" si="35"/>
        <v>2011</v>
      </c>
      <c r="V714" s="59" t="str">
        <f>TEXT(F714/24,"H AM/PM")</f>
        <v>1 AM</v>
      </c>
      <c r="W714" s="59" t="str">
        <f>IF(H714=6,"Saturday",IF(H714=0,"Sunday",IF(H714=1,"Monday",IF(H714=2,"Tuesday",IF(H714=3,"Wednesday",IF(H714=4,"Thursday",IF(H714=5,"Friday")))))))</f>
        <v>Wednesday</v>
      </c>
      <c r="X714" s="59" t="str">
        <f>IF(G714=FALSE,"Working day", IF(G714=TRUE,"Holiday"))</f>
        <v>Working day</v>
      </c>
    </row>
    <row r="715" spans="1:24" x14ac:dyDescent="0.25">
      <c r="A715" s="32">
        <v>714</v>
      </c>
      <c r="B715" s="33">
        <v>40576</v>
      </c>
      <c r="C715" s="26">
        <v>1</v>
      </c>
      <c r="D715" s="26">
        <v>0</v>
      </c>
      <c r="E715" s="26">
        <v>2</v>
      </c>
      <c r="F715" s="26">
        <v>2</v>
      </c>
      <c r="G715" s="26" t="b">
        <v>0</v>
      </c>
      <c r="H715" s="26">
        <v>3</v>
      </c>
      <c r="I715" s="26">
        <v>3</v>
      </c>
      <c r="J715" s="26">
        <v>0.22</v>
      </c>
      <c r="K715" s="26">
        <v>0.2273</v>
      </c>
      <c r="L715" s="26">
        <v>0.93</v>
      </c>
      <c r="M715">
        <v>0.1343</v>
      </c>
      <c r="N715" s="26">
        <v>4</v>
      </c>
      <c r="O715" s="26">
        <v>0</v>
      </c>
      <c r="P715" s="26">
        <v>4</v>
      </c>
      <c r="Q715" s="34" t="str">
        <f t="shared" si="33"/>
        <v>Light Rain</v>
      </c>
      <c r="R715" s="41" t="str">
        <f>IF(I715=1,"Normal",IF(I715=2,"Yellow Alert",IF(I715=3,"Orange Alert",IF(I715=4,"Red Alert"))))</f>
        <v>Orange Alert</v>
      </c>
      <c r="S715" s="60">
        <f t="shared" si="34"/>
        <v>2</v>
      </c>
      <c r="T715" s="61">
        <f>MONTH(dataset_1!B:B)</f>
        <v>1</v>
      </c>
      <c r="U715" s="61">
        <f t="shared" si="35"/>
        <v>2011</v>
      </c>
      <c r="V715" s="59" t="str">
        <f>TEXT(F715/24,"H AM/PM")</f>
        <v>2 AM</v>
      </c>
      <c r="W715" s="59" t="str">
        <f>IF(H715=6,"Saturday",IF(H715=0,"Sunday",IF(H715=1,"Monday",IF(H715=2,"Tuesday",IF(H715=3,"Wednesday",IF(H715=4,"Thursday",IF(H715=5,"Friday")))))))</f>
        <v>Wednesday</v>
      </c>
      <c r="X715" s="59" t="str">
        <f>IF(G715=FALSE,"Working day", IF(G715=TRUE,"Holiday"))</f>
        <v>Working day</v>
      </c>
    </row>
    <row r="716" spans="1:24" x14ac:dyDescent="0.25">
      <c r="A716" s="32">
        <v>715</v>
      </c>
      <c r="B716" s="33">
        <v>40576</v>
      </c>
      <c r="C716" s="26">
        <v>1</v>
      </c>
      <c r="D716" s="26">
        <v>0</v>
      </c>
      <c r="E716" s="26">
        <v>2</v>
      </c>
      <c r="F716" s="26">
        <v>3</v>
      </c>
      <c r="G716" s="26" t="b">
        <v>0</v>
      </c>
      <c r="H716" s="26">
        <v>3</v>
      </c>
      <c r="I716" s="26">
        <v>3</v>
      </c>
      <c r="J716" s="26">
        <v>0.22</v>
      </c>
      <c r="K716" s="26">
        <v>0.2273</v>
      </c>
      <c r="L716" s="26">
        <v>0.93</v>
      </c>
      <c r="M716">
        <v>0.1343</v>
      </c>
      <c r="N716" s="26">
        <v>0</v>
      </c>
      <c r="O716" s="26">
        <v>1</v>
      </c>
      <c r="P716" s="26">
        <v>1</v>
      </c>
      <c r="Q716" s="34" t="str">
        <f t="shared" si="33"/>
        <v>Light Rain</v>
      </c>
      <c r="R716" s="41" t="str">
        <f>IF(I716=1,"Normal",IF(I716=2,"Yellow Alert",IF(I716=3,"Orange Alert",IF(I716=4,"Red Alert"))))</f>
        <v>Orange Alert</v>
      </c>
      <c r="S716" s="60">
        <f t="shared" si="34"/>
        <v>2</v>
      </c>
      <c r="T716" s="61">
        <f>MONTH(dataset_1!B:B)</f>
        <v>1</v>
      </c>
      <c r="U716" s="61">
        <f t="shared" si="35"/>
        <v>2011</v>
      </c>
      <c r="V716" s="59" t="str">
        <f>TEXT(F716/24,"H AM/PM")</f>
        <v>3 AM</v>
      </c>
      <c r="W716" s="59" t="str">
        <f>IF(H716=6,"Saturday",IF(H716=0,"Sunday",IF(H716=1,"Monday",IF(H716=2,"Tuesday",IF(H716=3,"Wednesday",IF(H716=4,"Thursday",IF(H716=5,"Friday")))))))</f>
        <v>Wednesday</v>
      </c>
      <c r="X716" s="59" t="str">
        <f>IF(G716=FALSE,"Working day", IF(G716=TRUE,"Holiday"))</f>
        <v>Working day</v>
      </c>
    </row>
    <row r="717" spans="1:24" x14ac:dyDescent="0.25">
      <c r="A717" s="32">
        <v>716</v>
      </c>
      <c r="B717" s="33">
        <v>40576</v>
      </c>
      <c r="C717" s="26">
        <v>1</v>
      </c>
      <c r="D717" s="26">
        <v>0</v>
      </c>
      <c r="E717" s="26">
        <v>2</v>
      </c>
      <c r="F717" s="26">
        <v>4</v>
      </c>
      <c r="G717" s="26" t="b">
        <v>0</v>
      </c>
      <c r="H717" s="26">
        <v>3</v>
      </c>
      <c r="I717" s="26">
        <v>3</v>
      </c>
      <c r="J717" s="26">
        <v>0.22</v>
      </c>
      <c r="K717" s="26">
        <v>0.21210000000000001</v>
      </c>
      <c r="L717" s="26">
        <v>0.93</v>
      </c>
      <c r="M717">
        <v>0.28360000000000002</v>
      </c>
      <c r="N717" s="26">
        <v>0</v>
      </c>
      <c r="O717" s="26">
        <v>1</v>
      </c>
      <c r="P717" s="26">
        <v>1</v>
      </c>
      <c r="Q717" s="34" t="str">
        <f t="shared" si="33"/>
        <v>Light Rain</v>
      </c>
      <c r="R717" s="41" t="str">
        <f>IF(I717=1,"Normal",IF(I717=2,"Yellow Alert",IF(I717=3,"Orange Alert",IF(I717=4,"Red Alert"))))</f>
        <v>Orange Alert</v>
      </c>
      <c r="S717" s="60">
        <f t="shared" si="34"/>
        <v>2</v>
      </c>
      <c r="T717" s="61">
        <f>MONTH(dataset_1!B:B)</f>
        <v>1</v>
      </c>
      <c r="U717" s="61">
        <f t="shared" si="35"/>
        <v>2011</v>
      </c>
      <c r="V717" s="59" t="str">
        <f>TEXT(F717/24,"H AM/PM")</f>
        <v>4 AM</v>
      </c>
      <c r="W717" s="59" t="str">
        <f>IF(H717=6,"Saturday",IF(H717=0,"Sunday",IF(H717=1,"Monday",IF(H717=2,"Tuesday",IF(H717=3,"Wednesday",IF(H717=4,"Thursday",IF(H717=5,"Friday")))))))</f>
        <v>Wednesday</v>
      </c>
      <c r="X717" s="59" t="str">
        <f>IF(G717=FALSE,"Working day", IF(G717=TRUE,"Holiday"))</f>
        <v>Working day</v>
      </c>
    </row>
    <row r="718" spans="1:24" x14ac:dyDescent="0.25">
      <c r="A718" s="32">
        <v>717</v>
      </c>
      <c r="B718" s="33">
        <v>40576</v>
      </c>
      <c r="C718" s="26">
        <v>1</v>
      </c>
      <c r="D718" s="26">
        <v>0</v>
      </c>
      <c r="E718" s="26">
        <v>2</v>
      </c>
      <c r="F718" s="26">
        <v>5</v>
      </c>
      <c r="G718" s="26" t="b">
        <v>0</v>
      </c>
      <c r="H718" s="26">
        <v>3</v>
      </c>
      <c r="I718" s="26">
        <v>3</v>
      </c>
      <c r="J718" s="26">
        <v>0.22</v>
      </c>
      <c r="K718" s="26">
        <v>0.2424</v>
      </c>
      <c r="L718" s="26">
        <v>0.93</v>
      </c>
      <c r="M718">
        <v>0.1045</v>
      </c>
      <c r="N718" s="26">
        <v>0</v>
      </c>
      <c r="O718" s="26">
        <v>3</v>
      </c>
      <c r="P718" s="26">
        <v>3</v>
      </c>
      <c r="Q718" s="34" t="str">
        <f t="shared" si="33"/>
        <v>Light Rain</v>
      </c>
      <c r="R718" s="41" t="str">
        <f>IF(I718=1,"Normal",IF(I718=2,"Yellow Alert",IF(I718=3,"Orange Alert",IF(I718=4,"Red Alert"))))</f>
        <v>Orange Alert</v>
      </c>
      <c r="S718" s="60">
        <f t="shared" si="34"/>
        <v>2</v>
      </c>
      <c r="T718" s="61">
        <f>MONTH(dataset_1!B:B)</f>
        <v>1</v>
      </c>
      <c r="U718" s="61">
        <f t="shared" si="35"/>
        <v>2011</v>
      </c>
      <c r="V718" s="59" t="str">
        <f>TEXT(F718/24,"H AM/PM")</f>
        <v>5 AM</v>
      </c>
      <c r="W718" s="59" t="str">
        <f>IF(H718=6,"Saturday",IF(H718=0,"Sunday",IF(H718=1,"Monday",IF(H718=2,"Tuesday",IF(H718=3,"Wednesday",IF(H718=4,"Thursday",IF(H718=5,"Friday")))))))</f>
        <v>Wednesday</v>
      </c>
      <c r="X718" s="59" t="str">
        <f>IF(G718=FALSE,"Working day", IF(G718=TRUE,"Holiday"))</f>
        <v>Working day</v>
      </c>
    </row>
    <row r="719" spans="1:24" x14ac:dyDescent="0.25">
      <c r="A719" s="32">
        <v>718</v>
      </c>
      <c r="B719" s="33">
        <v>40576</v>
      </c>
      <c r="C719" s="26">
        <v>1</v>
      </c>
      <c r="D719" s="26">
        <v>0</v>
      </c>
      <c r="E719" s="26">
        <v>2</v>
      </c>
      <c r="F719" s="26">
        <v>6</v>
      </c>
      <c r="G719" s="26" t="b">
        <v>0</v>
      </c>
      <c r="H719" s="26">
        <v>3</v>
      </c>
      <c r="I719" s="26">
        <v>3</v>
      </c>
      <c r="J719" s="26">
        <v>0.22</v>
      </c>
      <c r="K719" s="26">
        <v>0.2424</v>
      </c>
      <c r="L719" s="26">
        <v>0.93</v>
      </c>
      <c r="M719">
        <v>0.1045</v>
      </c>
      <c r="N719" s="26">
        <v>1</v>
      </c>
      <c r="O719" s="26">
        <v>17</v>
      </c>
      <c r="P719" s="26">
        <v>18</v>
      </c>
      <c r="Q719" s="34" t="str">
        <f t="shared" si="33"/>
        <v>Light Rain</v>
      </c>
      <c r="R719" s="41" t="str">
        <f>IF(I719=1,"Normal",IF(I719=2,"Yellow Alert",IF(I719=3,"Orange Alert",IF(I719=4,"Red Alert"))))</f>
        <v>Orange Alert</v>
      </c>
      <c r="S719" s="60">
        <f t="shared" si="34"/>
        <v>2</v>
      </c>
      <c r="T719" s="61">
        <f>MONTH(dataset_1!B:B)</f>
        <v>1</v>
      </c>
      <c r="U719" s="61">
        <f t="shared" si="35"/>
        <v>2011</v>
      </c>
      <c r="V719" s="59" t="str">
        <f>TEXT(F719/24,"H AM/PM")</f>
        <v>6 AM</v>
      </c>
      <c r="W719" s="59" t="str">
        <f>IF(H719=6,"Saturday",IF(H719=0,"Sunday",IF(H719=1,"Monday",IF(H719=2,"Tuesday",IF(H719=3,"Wednesday",IF(H719=4,"Thursday",IF(H719=5,"Friday")))))))</f>
        <v>Wednesday</v>
      </c>
      <c r="X719" s="59" t="str">
        <f>IF(G719=FALSE,"Working day", IF(G719=TRUE,"Holiday"))</f>
        <v>Working day</v>
      </c>
    </row>
    <row r="720" spans="1:24" x14ac:dyDescent="0.25">
      <c r="A720" s="32">
        <v>719</v>
      </c>
      <c r="B720" s="33">
        <v>40576</v>
      </c>
      <c r="C720" s="26">
        <v>1</v>
      </c>
      <c r="D720" s="26">
        <v>0</v>
      </c>
      <c r="E720" s="26">
        <v>2</v>
      </c>
      <c r="F720" s="26">
        <v>7</v>
      </c>
      <c r="G720" s="26" t="b">
        <v>0</v>
      </c>
      <c r="H720" s="26">
        <v>3</v>
      </c>
      <c r="I720" s="26">
        <v>3</v>
      </c>
      <c r="J720" s="26">
        <v>0.22</v>
      </c>
      <c r="K720" s="26">
        <v>0.21210000000000001</v>
      </c>
      <c r="L720" s="26">
        <v>0.93</v>
      </c>
      <c r="M720">
        <v>0.22389999999999999</v>
      </c>
      <c r="N720" s="26">
        <v>1</v>
      </c>
      <c r="O720" s="26">
        <v>48</v>
      </c>
      <c r="P720" s="26">
        <v>49</v>
      </c>
      <c r="Q720" s="34" t="str">
        <f t="shared" si="33"/>
        <v>Light Rain</v>
      </c>
      <c r="R720" s="41" t="str">
        <f>IF(I720=1,"Normal",IF(I720=2,"Yellow Alert",IF(I720=3,"Orange Alert",IF(I720=4,"Red Alert"))))</f>
        <v>Orange Alert</v>
      </c>
      <c r="S720" s="60">
        <f t="shared" si="34"/>
        <v>2</v>
      </c>
      <c r="T720" s="61">
        <f>MONTH(dataset_1!B:B)</f>
        <v>1</v>
      </c>
      <c r="U720" s="61">
        <f t="shared" si="35"/>
        <v>2011</v>
      </c>
      <c r="V720" s="59" t="str">
        <f>TEXT(F720/24,"H AM/PM")</f>
        <v>7 AM</v>
      </c>
      <c r="W720" s="59" t="str">
        <f>IF(H720=6,"Saturday",IF(H720=0,"Sunday",IF(H720=1,"Monday",IF(H720=2,"Tuesday",IF(H720=3,"Wednesday",IF(H720=4,"Thursday",IF(H720=5,"Friday")))))))</f>
        <v>Wednesday</v>
      </c>
      <c r="X720" s="59" t="str">
        <f>IF(G720=FALSE,"Working day", IF(G720=TRUE,"Holiday"))</f>
        <v>Working day</v>
      </c>
    </row>
    <row r="721" spans="1:24" x14ac:dyDescent="0.25">
      <c r="A721" s="32">
        <v>720</v>
      </c>
      <c r="B721" s="33">
        <v>40576</v>
      </c>
      <c r="C721" s="26">
        <v>1</v>
      </c>
      <c r="D721" s="26">
        <v>0</v>
      </c>
      <c r="E721" s="26">
        <v>2</v>
      </c>
      <c r="F721" s="26">
        <v>8</v>
      </c>
      <c r="G721" s="26" t="b">
        <v>0</v>
      </c>
      <c r="H721" s="26">
        <v>3</v>
      </c>
      <c r="I721" s="26">
        <v>3</v>
      </c>
      <c r="J721" s="26">
        <v>0.22</v>
      </c>
      <c r="K721" s="26">
        <v>0.21210000000000001</v>
      </c>
      <c r="L721" s="26">
        <v>0.93</v>
      </c>
      <c r="M721">
        <v>0.22389999999999999</v>
      </c>
      <c r="N721" s="26">
        <v>1</v>
      </c>
      <c r="O721" s="26">
        <v>154</v>
      </c>
      <c r="P721" s="26">
        <v>155</v>
      </c>
      <c r="Q721" s="34" t="str">
        <f t="shared" si="33"/>
        <v>Light Rain</v>
      </c>
      <c r="R721" s="41" t="str">
        <f>IF(I721=1,"Normal",IF(I721=2,"Yellow Alert",IF(I721=3,"Orange Alert",IF(I721=4,"Red Alert"))))</f>
        <v>Orange Alert</v>
      </c>
      <c r="S721" s="60">
        <f t="shared" si="34"/>
        <v>2</v>
      </c>
      <c r="T721" s="61">
        <f>MONTH(dataset_1!B:B)</f>
        <v>1</v>
      </c>
      <c r="U721" s="61">
        <f t="shared" si="35"/>
        <v>2011</v>
      </c>
      <c r="V721" s="59" t="str">
        <f>TEXT(F721/24,"H AM/PM")</f>
        <v>8 AM</v>
      </c>
      <c r="W721" s="59" t="str">
        <f>IF(H721=6,"Saturday",IF(H721=0,"Sunday",IF(H721=1,"Monday",IF(H721=2,"Tuesday",IF(H721=3,"Wednesday",IF(H721=4,"Thursday",IF(H721=5,"Friday")))))))</f>
        <v>Wednesday</v>
      </c>
      <c r="X721" s="59" t="str">
        <f>IF(G721=FALSE,"Working day", IF(G721=TRUE,"Holiday"))</f>
        <v>Working day</v>
      </c>
    </row>
    <row r="722" spans="1:24" x14ac:dyDescent="0.25">
      <c r="A722" s="32">
        <v>721</v>
      </c>
      <c r="B722" s="33">
        <v>40576</v>
      </c>
      <c r="C722" s="26">
        <v>1</v>
      </c>
      <c r="D722" s="26">
        <v>0</v>
      </c>
      <c r="E722" s="26">
        <v>2</v>
      </c>
      <c r="F722" s="26">
        <v>9</v>
      </c>
      <c r="G722" s="26" t="b">
        <v>0</v>
      </c>
      <c r="H722" s="26">
        <v>3</v>
      </c>
      <c r="I722" s="26">
        <v>2</v>
      </c>
      <c r="J722" s="26">
        <v>0.24</v>
      </c>
      <c r="K722" s="26">
        <v>0.2576</v>
      </c>
      <c r="L722" s="26">
        <v>0.93</v>
      </c>
      <c r="M722">
        <v>8.9599999999999999E-2</v>
      </c>
      <c r="N722" s="26">
        <v>4</v>
      </c>
      <c r="O722" s="26">
        <v>119</v>
      </c>
      <c r="P722" s="26">
        <v>123</v>
      </c>
      <c r="Q722" s="34" t="str">
        <f t="shared" si="33"/>
        <v>Cloudy</v>
      </c>
      <c r="R722" s="41" t="str">
        <f>IF(I722=1,"Normal",IF(I722=2,"Yellow Alert",IF(I722=3,"Orange Alert",IF(I722=4,"Red Alert"))))</f>
        <v>Yellow Alert</v>
      </c>
      <c r="S722" s="60">
        <f t="shared" si="34"/>
        <v>2</v>
      </c>
      <c r="T722" s="61">
        <f>MONTH(dataset_1!B:B)</f>
        <v>1</v>
      </c>
      <c r="U722" s="61">
        <f t="shared" si="35"/>
        <v>2011</v>
      </c>
      <c r="V722" s="59" t="str">
        <f>TEXT(F722/24,"H AM/PM")</f>
        <v>9 AM</v>
      </c>
      <c r="W722" s="59" t="str">
        <f>IF(H722=6,"Saturday",IF(H722=0,"Sunday",IF(H722=1,"Monday",IF(H722=2,"Tuesday",IF(H722=3,"Wednesday",IF(H722=4,"Thursday",IF(H722=5,"Friday")))))))</f>
        <v>Wednesday</v>
      </c>
      <c r="X722" s="59" t="str">
        <f>IF(G722=FALSE,"Working day", IF(G722=TRUE,"Holiday"))</f>
        <v>Working day</v>
      </c>
    </row>
    <row r="723" spans="1:24" x14ac:dyDescent="0.25">
      <c r="A723" s="32">
        <v>722</v>
      </c>
      <c r="B723" s="33">
        <v>40576</v>
      </c>
      <c r="C723" s="26">
        <v>1</v>
      </c>
      <c r="D723" s="26">
        <v>0</v>
      </c>
      <c r="E723" s="26">
        <v>2</v>
      </c>
      <c r="F723" s="26">
        <v>10</v>
      </c>
      <c r="G723" s="26" t="b">
        <v>0</v>
      </c>
      <c r="H723" s="26">
        <v>3</v>
      </c>
      <c r="I723" s="26">
        <v>2</v>
      </c>
      <c r="J723" s="26">
        <v>0.22</v>
      </c>
      <c r="K723" s="26">
        <v>0.2727</v>
      </c>
      <c r="L723" s="26">
        <v>1</v>
      </c>
      <c r="M723">
        <v>0</v>
      </c>
      <c r="N723" s="26">
        <v>2</v>
      </c>
      <c r="O723" s="26">
        <v>59</v>
      </c>
      <c r="P723" s="26">
        <v>61</v>
      </c>
      <c r="Q723" s="34" t="str">
        <f t="shared" si="33"/>
        <v>Cloudy</v>
      </c>
      <c r="R723" s="41" t="str">
        <f>IF(I723=1,"Normal",IF(I723=2,"Yellow Alert",IF(I723=3,"Orange Alert",IF(I723=4,"Red Alert"))))</f>
        <v>Yellow Alert</v>
      </c>
      <c r="S723" s="60">
        <f t="shared" si="34"/>
        <v>2</v>
      </c>
      <c r="T723" s="61">
        <f>MONTH(dataset_1!B:B)</f>
        <v>1</v>
      </c>
      <c r="U723" s="61">
        <f t="shared" si="35"/>
        <v>2011</v>
      </c>
      <c r="V723" s="59" t="str">
        <f>TEXT(F723/24,"H AM/PM")</f>
        <v>10 AM</v>
      </c>
      <c r="W723" s="59" t="str">
        <f>IF(H723=6,"Saturday",IF(H723=0,"Sunday",IF(H723=1,"Monday",IF(H723=2,"Tuesday",IF(H723=3,"Wednesday",IF(H723=4,"Thursday",IF(H723=5,"Friday")))))))</f>
        <v>Wednesday</v>
      </c>
      <c r="X723" s="59" t="str">
        <f>IF(G723=FALSE,"Working day", IF(G723=TRUE,"Holiday"))</f>
        <v>Working day</v>
      </c>
    </row>
    <row r="724" spans="1:24" x14ac:dyDescent="0.25">
      <c r="A724" s="32">
        <v>723</v>
      </c>
      <c r="B724" s="33">
        <v>40576</v>
      </c>
      <c r="C724" s="26">
        <v>1</v>
      </c>
      <c r="D724" s="26">
        <v>0</v>
      </c>
      <c r="E724" s="26">
        <v>2</v>
      </c>
      <c r="F724" s="26">
        <v>11</v>
      </c>
      <c r="G724" s="26" t="b">
        <v>0</v>
      </c>
      <c r="H724" s="26">
        <v>3</v>
      </c>
      <c r="I724" s="26">
        <v>2</v>
      </c>
      <c r="J724" s="26">
        <v>0.24</v>
      </c>
      <c r="K724" s="26">
        <v>0.2273</v>
      </c>
      <c r="L724" s="26">
        <v>0.93</v>
      </c>
      <c r="M724">
        <v>0.19400000000000001</v>
      </c>
      <c r="N724" s="26">
        <v>5</v>
      </c>
      <c r="O724" s="26">
        <v>47</v>
      </c>
      <c r="P724" s="26">
        <v>52</v>
      </c>
      <c r="Q724" s="34" t="str">
        <f t="shared" si="33"/>
        <v>Cloudy</v>
      </c>
      <c r="R724" s="41" t="str">
        <f>IF(I724=1,"Normal",IF(I724=2,"Yellow Alert",IF(I724=3,"Orange Alert",IF(I724=4,"Red Alert"))))</f>
        <v>Yellow Alert</v>
      </c>
      <c r="S724" s="60">
        <f t="shared" si="34"/>
        <v>2</v>
      </c>
      <c r="T724" s="61">
        <f>MONTH(dataset_1!B:B)</f>
        <v>1</v>
      </c>
      <c r="U724" s="61">
        <f t="shared" si="35"/>
        <v>2011</v>
      </c>
      <c r="V724" s="59" t="str">
        <f>TEXT(F724/24,"H AM/PM")</f>
        <v>11 AM</v>
      </c>
      <c r="W724" s="59" t="str">
        <f>IF(H724=6,"Saturday",IF(H724=0,"Sunday",IF(H724=1,"Monday",IF(H724=2,"Tuesday",IF(H724=3,"Wednesday",IF(H724=4,"Thursday",IF(H724=5,"Friday")))))))</f>
        <v>Wednesday</v>
      </c>
      <c r="X724" s="59" t="str">
        <f>IF(G724=FALSE,"Working day", IF(G724=TRUE,"Holiday"))</f>
        <v>Working day</v>
      </c>
    </row>
    <row r="725" spans="1:24" x14ac:dyDescent="0.25">
      <c r="A725" s="32">
        <v>724</v>
      </c>
      <c r="B725" s="33">
        <v>40576</v>
      </c>
      <c r="C725" s="26">
        <v>1</v>
      </c>
      <c r="D725" s="26">
        <v>0</v>
      </c>
      <c r="E725" s="26">
        <v>2</v>
      </c>
      <c r="F725" s="26">
        <v>12</v>
      </c>
      <c r="G725" s="26" t="b">
        <v>0</v>
      </c>
      <c r="H725" s="26">
        <v>3</v>
      </c>
      <c r="I725" s="26">
        <v>2</v>
      </c>
      <c r="J725" s="26">
        <v>0.24</v>
      </c>
      <c r="K725" s="26">
        <v>0.2273</v>
      </c>
      <c r="L725" s="26">
        <v>0.93</v>
      </c>
      <c r="M725">
        <v>0.22389999999999999</v>
      </c>
      <c r="N725" s="26">
        <v>3</v>
      </c>
      <c r="O725" s="26">
        <v>61</v>
      </c>
      <c r="P725" s="26">
        <v>64</v>
      </c>
      <c r="Q725" s="34" t="str">
        <f t="shared" si="33"/>
        <v>Cloudy</v>
      </c>
      <c r="R725" s="41" t="str">
        <f>IF(I725=1,"Normal",IF(I725=2,"Yellow Alert",IF(I725=3,"Orange Alert",IF(I725=4,"Red Alert"))))</f>
        <v>Yellow Alert</v>
      </c>
      <c r="S725" s="60">
        <f t="shared" si="34"/>
        <v>2</v>
      </c>
      <c r="T725" s="61">
        <f>MONTH(dataset_1!B:B)</f>
        <v>1</v>
      </c>
      <c r="U725" s="61">
        <f t="shared" si="35"/>
        <v>2011</v>
      </c>
      <c r="V725" s="59" t="str">
        <f>TEXT(F725/24,"H AM/PM")</f>
        <v>12 PM</v>
      </c>
      <c r="W725" s="59" t="str">
        <f>IF(H725=6,"Saturday",IF(H725=0,"Sunday",IF(H725=1,"Monday",IF(H725=2,"Tuesday",IF(H725=3,"Wednesday",IF(H725=4,"Thursday",IF(H725=5,"Friday")))))))</f>
        <v>Wednesday</v>
      </c>
      <c r="X725" s="59" t="str">
        <f>IF(G725=FALSE,"Working day", IF(G725=TRUE,"Holiday"))</f>
        <v>Working day</v>
      </c>
    </row>
    <row r="726" spans="1:24" x14ac:dyDescent="0.25">
      <c r="A726" s="32">
        <v>725</v>
      </c>
      <c r="B726" s="33">
        <v>40576</v>
      </c>
      <c r="C726" s="26">
        <v>1</v>
      </c>
      <c r="D726" s="26">
        <v>0</v>
      </c>
      <c r="E726" s="26">
        <v>2</v>
      </c>
      <c r="F726" s="26">
        <v>13</v>
      </c>
      <c r="G726" s="26" t="b">
        <v>0</v>
      </c>
      <c r="H726" s="26">
        <v>3</v>
      </c>
      <c r="I726" s="26">
        <v>1</v>
      </c>
      <c r="J726" s="26">
        <v>0.34</v>
      </c>
      <c r="K726" s="26">
        <v>0.33329999999999999</v>
      </c>
      <c r="L726" s="26">
        <v>0.93</v>
      </c>
      <c r="M726">
        <v>0.16420000000000001</v>
      </c>
      <c r="N726" s="26">
        <v>1</v>
      </c>
      <c r="O726" s="26">
        <v>74</v>
      </c>
      <c r="P726" s="26">
        <v>75</v>
      </c>
      <c r="Q726" s="34" t="str">
        <f t="shared" si="33"/>
        <v>Clear</v>
      </c>
      <c r="R726" s="41" t="str">
        <f>IF(I726=1,"Normal",IF(I726=2,"Yellow Alert",IF(I726=3,"Orange Alert",IF(I726=4,"Red Alert"))))</f>
        <v>Normal</v>
      </c>
      <c r="S726" s="60">
        <f t="shared" si="34"/>
        <v>2</v>
      </c>
      <c r="T726" s="61">
        <f>MONTH(dataset_1!B:B)</f>
        <v>1</v>
      </c>
      <c r="U726" s="61">
        <f t="shared" si="35"/>
        <v>2011</v>
      </c>
      <c r="V726" s="59" t="str">
        <f>TEXT(F726/24,"H AM/PM")</f>
        <v>1 PM</v>
      </c>
      <c r="W726" s="59" t="str">
        <f>IF(H726=6,"Saturday",IF(H726=0,"Sunday",IF(H726=1,"Monday",IF(H726=2,"Tuesday",IF(H726=3,"Wednesday",IF(H726=4,"Thursday",IF(H726=5,"Friday")))))))</f>
        <v>Wednesday</v>
      </c>
      <c r="X726" s="59" t="str">
        <f>IF(G726=FALSE,"Working day", IF(G726=TRUE,"Holiday"))</f>
        <v>Working day</v>
      </c>
    </row>
    <row r="727" spans="1:24" x14ac:dyDescent="0.25">
      <c r="A727" s="32">
        <v>726</v>
      </c>
      <c r="B727" s="33">
        <v>40576</v>
      </c>
      <c r="C727" s="26">
        <v>1</v>
      </c>
      <c r="D727" s="26">
        <v>0</v>
      </c>
      <c r="E727" s="26">
        <v>2</v>
      </c>
      <c r="F727" s="26">
        <v>14</v>
      </c>
      <c r="G727" s="26" t="b">
        <v>0</v>
      </c>
      <c r="H727" s="26">
        <v>3</v>
      </c>
      <c r="I727" s="26">
        <v>1</v>
      </c>
      <c r="J727" s="26">
        <v>0.38</v>
      </c>
      <c r="K727" s="26">
        <v>0.39389999999999997</v>
      </c>
      <c r="L727" s="26">
        <v>0.82</v>
      </c>
      <c r="M727">
        <v>0.3881</v>
      </c>
      <c r="N727" s="26">
        <v>2</v>
      </c>
      <c r="O727" s="26">
        <v>61</v>
      </c>
      <c r="P727" s="26">
        <v>63</v>
      </c>
      <c r="Q727" s="34" t="str">
        <f t="shared" si="33"/>
        <v>Clear</v>
      </c>
      <c r="R727" s="41" t="str">
        <f>IF(I727=1,"Normal",IF(I727=2,"Yellow Alert",IF(I727=3,"Orange Alert",IF(I727=4,"Red Alert"))))</f>
        <v>Normal</v>
      </c>
      <c r="S727" s="60">
        <f t="shared" si="34"/>
        <v>2</v>
      </c>
      <c r="T727" s="61">
        <f>MONTH(dataset_1!B:B)</f>
        <v>1</v>
      </c>
      <c r="U727" s="61">
        <f t="shared" si="35"/>
        <v>2011</v>
      </c>
      <c r="V727" s="59" t="str">
        <f>TEXT(F727/24,"H AM/PM")</f>
        <v>2 PM</v>
      </c>
      <c r="W727" s="59" t="str">
        <f>IF(H727=6,"Saturday",IF(H727=0,"Sunday",IF(H727=1,"Monday",IF(H727=2,"Tuesday",IF(H727=3,"Wednesday",IF(H727=4,"Thursday",IF(H727=5,"Friday")))))))</f>
        <v>Wednesday</v>
      </c>
      <c r="X727" s="59" t="str">
        <f>IF(G727=FALSE,"Working day", IF(G727=TRUE,"Holiday"))</f>
        <v>Working day</v>
      </c>
    </row>
    <row r="728" spans="1:24" x14ac:dyDescent="0.25">
      <c r="A728" s="32">
        <v>727</v>
      </c>
      <c r="B728" s="33">
        <v>40576</v>
      </c>
      <c r="C728" s="26">
        <v>1</v>
      </c>
      <c r="D728" s="26">
        <v>0</v>
      </c>
      <c r="E728" s="26">
        <v>2</v>
      </c>
      <c r="F728" s="26">
        <v>15</v>
      </c>
      <c r="G728" s="26" t="b">
        <v>0</v>
      </c>
      <c r="H728" s="26">
        <v>3</v>
      </c>
      <c r="I728" s="26">
        <v>1</v>
      </c>
      <c r="J728" s="26">
        <v>0.38</v>
      </c>
      <c r="K728" s="26">
        <v>0.39389999999999997</v>
      </c>
      <c r="L728" s="26">
        <v>0.76</v>
      </c>
      <c r="M728">
        <v>0.32840000000000003</v>
      </c>
      <c r="N728" s="26">
        <v>10</v>
      </c>
      <c r="O728" s="26">
        <v>66</v>
      </c>
      <c r="P728" s="26">
        <v>76</v>
      </c>
      <c r="Q728" s="34" t="str">
        <f t="shared" si="33"/>
        <v>Clear</v>
      </c>
      <c r="R728" s="41" t="str">
        <f>IF(I728=1,"Normal",IF(I728=2,"Yellow Alert",IF(I728=3,"Orange Alert",IF(I728=4,"Red Alert"))))</f>
        <v>Normal</v>
      </c>
      <c r="S728" s="60">
        <f t="shared" si="34"/>
        <v>2</v>
      </c>
      <c r="T728" s="61">
        <f>MONTH(dataset_1!B:B)</f>
        <v>1</v>
      </c>
      <c r="U728" s="61">
        <f t="shared" si="35"/>
        <v>2011</v>
      </c>
      <c r="V728" s="59" t="str">
        <f>TEXT(F728/24,"H AM/PM")</f>
        <v>3 PM</v>
      </c>
      <c r="W728" s="59" t="str">
        <f>IF(H728=6,"Saturday",IF(H728=0,"Sunday",IF(H728=1,"Monday",IF(H728=2,"Tuesday",IF(H728=3,"Wednesday",IF(H728=4,"Thursday",IF(H728=5,"Friday")))))))</f>
        <v>Wednesday</v>
      </c>
      <c r="X728" s="59" t="str">
        <f>IF(G728=FALSE,"Working day", IF(G728=TRUE,"Holiday"))</f>
        <v>Working day</v>
      </c>
    </row>
    <row r="729" spans="1:24" x14ac:dyDescent="0.25">
      <c r="A729" s="32">
        <v>728</v>
      </c>
      <c r="B729" s="33">
        <v>40576</v>
      </c>
      <c r="C729" s="26">
        <v>1</v>
      </c>
      <c r="D729" s="26">
        <v>0</v>
      </c>
      <c r="E729" s="26">
        <v>2</v>
      </c>
      <c r="F729" s="26">
        <v>16</v>
      </c>
      <c r="G729" s="26" t="b">
        <v>0</v>
      </c>
      <c r="H729" s="26">
        <v>3</v>
      </c>
      <c r="I729" s="26">
        <v>1</v>
      </c>
      <c r="J729" s="26">
        <v>0.36</v>
      </c>
      <c r="K729" s="26">
        <v>0.33329999999999999</v>
      </c>
      <c r="L729" s="26">
        <v>0.71</v>
      </c>
      <c r="M729">
        <v>0.29849999999999999</v>
      </c>
      <c r="N729" s="26">
        <v>8</v>
      </c>
      <c r="O729" s="26">
        <v>95</v>
      </c>
      <c r="P729" s="26">
        <v>103</v>
      </c>
      <c r="Q729" s="34" t="str">
        <f t="shared" si="33"/>
        <v>Clear</v>
      </c>
      <c r="R729" s="41" t="str">
        <f>IF(I729=1,"Normal",IF(I729=2,"Yellow Alert",IF(I729=3,"Orange Alert",IF(I729=4,"Red Alert"))))</f>
        <v>Normal</v>
      </c>
      <c r="S729" s="60">
        <f t="shared" si="34"/>
        <v>2</v>
      </c>
      <c r="T729" s="61">
        <f>MONTH(dataset_1!B:B)</f>
        <v>1</v>
      </c>
      <c r="U729" s="61">
        <f t="shared" si="35"/>
        <v>2011</v>
      </c>
      <c r="V729" s="59" t="str">
        <f>TEXT(F729/24,"H AM/PM")</f>
        <v>4 PM</v>
      </c>
      <c r="W729" s="59" t="str">
        <f>IF(H729=6,"Saturday",IF(H729=0,"Sunday",IF(H729=1,"Monday",IF(H729=2,"Tuesday",IF(H729=3,"Wednesday",IF(H729=4,"Thursday",IF(H729=5,"Friday")))))))</f>
        <v>Wednesday</v>
      </c>
      <c r="X729" s="59" t="str">
        <f>IF(G729=FALSE,"Working day", IF(G729=TRUE,"Holiday"))</f>
        <v>Working day</v>
      </c>
    </row>
    <row r="730" spans="1:24" x14ac:dyDescent="0.25">
      <c r="A730" s="32">
        <v>729</v>
      </c>
      <c r="B730" s="33">
        <v>40576</v>
      </c>
      <c r="C730" s="26">
        <v>1</v>
      </c>
      <c r="D730" s="26">
        <v>0</v>
      </c>
      <c r="E730" s="26">
        <v>2</v>
      </c>
      <c r="F730" s="26">
        <v>17</v>
      </c>
      <c r="G730" s="26" t="b">
        <v>0</v>
      </c>
      <c r="H730" s="26">
        <v>3</v>
      </c>
      <c r="I730" s="26">
        <v>1</v>
      </c>
      <c r="J730" s="26">
        <v>0.36</v>
      </c>
      <c r="K730" s="26">
        <v>0.31819999999999998</v>
      </c>
      <c r="L730" s="26">
        <v>0.53</v>
      </c>
      <c r="M730">
        <v>0.52239999999999998</v>
      </c>
      <c r="N730" s="26">
        <v>7</v>
      </c>
      <c r="O730" s="26">
        <v>183</v>
      </c>
      <c r="P730" s="26">
        <v>190</v>
      </c>
      <c r="Q730" s="34" t="str">
        <f t="shared" si="33"/>
        <v>Clear</v>
      </c>
      <c r="R730" s="41" t="str">
        <f>IF(I730=1,"Normal",IF(I730=2,"Yellow Alert",IF(I730=3,"Orange Alert",IF(I730=4,"Red Alert"))))</f>
        <v>Normal</v>
      </c>
      <c r="S730" s="60">
        <f t="shared" si="34"/>
        <v>2</v>
      </c>
      <c r="T730" s="61">
        <f>MONTH(dataset_1!B:B)</f>
        <v>1</v>
      </c>
      <c r="U730" s="61">
        <f t="shared" si="35"/>
        <v>2011</v>
      </c>
      <c r="V730" s="59" t="str">
        <f>TEXT(F730/24,"H AM/PM")</f>
        <v>5 PM</v>
      </c>
      <c r="W730" s="59" t="str">
        <f>IF(H730=6,"Saturday",IF(H730=0,"Sunday",IF(H730=1,"Monday",IF(H730=2,"Tuesday",IF(H730=3,"Wednesday",IF(H730=4,"Thursday",IF(H730=5,"Friday")))))))</f>
        <v>Wednesday</v>
      </c>
      <c r="X730" s="59" t="str">
        <f>IF(G730=FALSE,"Working day", IF(G730=TRUE,"Holiday"))</f>
        <v>Working day</v>
      </c>
    </row>
    <row r="731" spans="1:24" x14ac:dyDescent="0.25">
      <c r="A731" s="32">
        <v>730</v>
      </c>
      <c r="B731" s="33">
        <v>40576</v>
      </c>
      <c r="C731" s="26">
        <v>1</v>
      </c>
      <c r="D731" s="26">
        <v>0</v>
      </c>
      <c r="E731" s="26">
        <v>2</v>
      </c>
      <c r="F731" s="26">
        <v>18</v>
      </c>
      <c r="G731" s="26" t="b">
        <v>0</v>
      </c>
      <c r="H731" s="26">
        <v>3</v>
      </c>
      <c r="I731" s="26">
        <v>1</v>
      </c>
      <c r="J731" s="26">
        <v>0.34</v>
      </c>
      <c r="K731" s="26">
        <v>0.28789999999999999</v>
      </c>
      <c r="L731" s="26">
        <v>0.42</v>
      </c>
      <c r="M731">
        <v>0.55220000000000002</v>
      </c>
      <c r="N731" s="26">
        <v>7</v>
      </c>
      <c r="O731" s="26">
        <v>175</v>
      </c>
      <c r="P731" s="26">
        <v>182</v>
      </c>
      <c r="Q731" s="34" t="str">
        <f t="shared" si="33"/>
        <v>Clear</v>
      </c>
      <c r="R731" s="41" t="str">
        <f>IF(I731=1,"Normal",IF(I731=2,"Yellow Alert",IF(I731=3,"Orange Alert",IF(I731=4,"Red Alert"))))</f>
        <v>Normal</v>
      </c>
      <c r="S731" s="60">
        <f t="shared" si="34"/>
        <v>2</v>
      </c>
      <c r="T731" s="61">
        <f>MONTH(dataset_1!B:B)</f>
        <v>1</v>
      </c>
      <c r="U731" s="61">
        <f t="shared" si="35"/>
        <v>2011</v>
      </c>
      <c r="V731" s="59" t="str">
        <f>TEXT(F731/24,"H AM/PM")</f>
        <v>6 PM</v>
      </c>
      <c r="W731" s="59" t="str">
        <f>IF(H731=6,"Saturday",IF(H731=0,"Sunday",IF(H731=1,"Monday",IF(H731=2,"Tuesday",IF(H731=3,"Wednesday",IF(H731=4,"Thursday",IF(H731=5,"Friday")))))))</f>
        <v>Wednesday</v>
      </c>
      <c r="X731" s="59" t="str">
        <f>IF(G731=FALSE,"Working day", IF(G731=TRUE,"Holiday"))</f>
        <v>Working day</v>
      </c>
    </row>
    <row r="732" spans="1:24" x14ac:dyDescent="0.25">
      <c r="A732" s="32">
        <v>731</v>
      </c>
      <c r="B732" s="33">
        <v>40576</v>
      </c>
      <c r="C732" s="26">
        <v>1</v>
      </c>
      <c r="D732" s="26">
        <v>0</v>
      </c>
      <c r="E732" s="26">
        <v>2</v>
      </c>
      <c r="F732" s="26">
        <v>19</v>
      </c>
      <c r="G732" s="26" t="b">
        <v>0</v>
      </c>
      <c r="H732" s="26">
        <v>3</v>
      </c>
      <c r="I732" s="26">
        <v>1</v>
      </c>
      <c r="J732" s="26">
        <v>0.28000000000000003</v>
      </c>
      <c r="K732" s="26">
        <v>0.2424</v>
      </c>
      <c r="L732" s="26">
        <v>0.45</v>
      </c>
      <c r="M732">
        <v>0.49249999999999999</v>
      </c>
      <c r="N732" s="26">
        <v>3</v>
      </c>
      <c r="O732" s="26">
        <v>88</v>
      </c>
      <c r="P732" s="26">
        <v>91</v>
      </c>
      <c r="Q732" s="34" t="str">
        <f t="shared" si="33"/>
        <v>Clear</v>
      </c>
      <c r="R732" s="41" t="str">
        <f>IF(I732=1,"Normal",IF(I732=2,"Yellow Alert",IF(I732=3,"Orange Alert",IF(I732=4,"Red Alert"))))</f>
        <v>Normal</v>
      </c>
      <c r="S732" s="60">
        <f t="shared" si="34"/>
        <v>2</v>
      </c>
      <c r="T732" s="61">
        <f>MONTH(dataset_1!B:B)</f>
        <v>1</v>
      </c>
      <c r="U732" s="61">
        <f t="shared" si="35"/>
        <v>2011</v>
      </c>
      <c r="V732" s="59" t="str">
        <f>TEXT(F732/24,"H AM/PM")</f>
        <v>7 PM</v>
      </c>
      <c r="W732" s="59" t="str">
        <f>IF(H732=6,"Saturday",IF(H732=0,"Sunday",IF(H732=1,"Monday",IF(H732=2,"Tuesday",IF(H732=3,"Wednesday",IF(H732=4,"Thursday",IF(H732=5,"Friday")))))))</f>
        <v>Wednesday</v>
      </c>
      <c r="X732" s="59" t="str">
        <f>IF(G732=FALSE,"Working day", IF(G732=TRUE,"Holiday"))</f>
        <v>Working day</v>
      </c>
    </row>
    <row r="733" spans="1:24" x14ac:dyDescent="0.25">
      <c r="A733" s="32">
        <v>732</v>
      </c>
      <c r="B733" s="33">
        <v>40576</v>
      </c>
      <c r="C733" s="26">
        <v>1</v>
      </c>
      <c r="D733" s="26">
        <v>0</v>
      </c>
      <c r="E733" s="26">
        <v>2</v>
      </c>
      <c r="F733" s="26">
        <v>20</v>
      </c>
      <c r="G733" s="26" t="b">
        <v>0</v>
      </c>
      <c r="H733" s="26">
        <v>3</v>
      </c>
      <c r="I733" s="26">
        <v>1</v>
      </c>
      <c r="J733" s="26">
        <v>0.24</v>
      </c>
      <c r="K733" s="26">
        <v>0.19700000000000001</v>
      </c>
      <c r="L733" s="26">
        <v>0.48</v>
      </c>
      <c r="M733">
        <v>0.55220000000000002</v>
      </c>
      <c r="N733" s="26">
        <v>4</v>
      </c>
      <c r="O733" s="26">
        <v>71</v>
      </c>
      <c r="P733" s="26">
        <v>75</v>
      </c>
      <c r="Q733" s="34" t="str">
        <f t="shared" si="33"/>
        <v>Clear</v>
      </c>
      <c r="R733" s="41" t="str">
        <f>IF(I733=1,"Normal",IF(I733=2,"Yellow Alert",IF(I733=3,"Orange Alert",IF(I733=4,"Red Alert"))))</f>
        <v>Normal</v>
      </c>
      <c r="S733" s="60">
        <f t="shared" si="34"/>
        <v>2</v>
      </c>
      <c r="T733" s="61">
        <f>MONTH(dataset_1!B:B)</f>
        <v>1</v>
      </c>
      <c r="U733" s="61">
        <f t="shared" si="35"/>
        <v>2011</v>
      </c>
      <c r="V733" s="59" t="str">
        <f>TEXT(F733/24,"H AM/PM")</f>
        <v>8 PM</v>
      </c>
      <c r="W733" s="59" t="str">
        <f>IF(H733=6,"Saturday",IF(H733=0,"Sunday",IF(H733=1,"Monday",IF(H733=2,"Tuesday",IF(H733=3,"Wednesday",IF(H733=4,"Thursday",IF(H733=5,"Friday")))))))</f>
        <v>Wednesday</v>
      </c>
      <c r="X733" s="59" t="str">
        <f>IF(G733=FALSE,"Working day", IF(G733=TRUE,"Holiday"))</f>
        <v>Working day</v>
      </c>
    </row>
    <row r="734" spans="1:24" x14ac:dyDescent="0.25">
      <c r="A734" s="32">
        <v>733</v>
      </c>
      <c r="B734" s="33">
        <v>40576</v>
      </c>
      <c r="C734" s="26">
        <v>1</v>
      </c>
      <c r="D734" s="26">
        <v>0</v>
      </c>
      <c r="E734" s="26">
        <v>2</v>
      </c>
      <c r="F734" s="26">
        <v>21</v>
      </c>
      <c r="G734" s="26" t="b">
        <v>0</v>
      </c>
      <c r="H734" s="26">
        <v>3</v>
      </c>
      <c r="I734" s="26">
        <v>1</v>
      </c>
      <c r="J734" s="26">
        <v>0.22</v>
      </c>
      <c r="K734" s="26">
        <v>0.19700000000000001</v>
      </c>
      <c r="L734" s="26">
        <v>0.47</v>
      </c>
      <c r="M734">
        <v>0.32840000000000003</v>
      </c>
      <c r="N734" s="26">
        <v>1</v>
      </c>
      <c r="O734" s="26">
        <v>62</v>
      </c>
      <c r="P734" s="26">
        <v>63</v>
      </c>
      <c r="Q734" s="34" t="str">
        <f t="shared" si="33"/>
        <v>Clear</v>
      </c>
      <c r="R734" s="41" t="str">
        <f>IF(I734=1,"Normal",IF(I734=2,"Yellow Alert",IF(I734=3,"Orange Alert",IF(I734=4,"Red Alert"))))</f>
        <v>Normal</v>
      </c>
      <c r="S734" s="60">
        <f t="shared" si="34"/>
        <v>2</v>
      </c>
      <c r="T734" s="61">
        <f>MONTH(dataset_1!B:B)</f>
        <v>1</v>
      </c>
      <c r="U734" s="61">
        <f t="shared" si="35"/>
        <v>2011</v>
      </c>
      <c r="V734" s="59" t="str">
        <f>TEXT(F734/24,"H AM/PM")</f>
        <v>9 PM</v>
      </c>
      <c r="W734" s="59" t="str">
        <f>IF(H734=6,"Saturday",IF(H734=0,"Sunday",IF(H734=1,"Monday",IF(H734=2,"Tuesday",IF(H734=3,"Wednesday",IF(H734=4,"Thursday",IF(H734=5,"Friday")))))))</f>
        <v>Wednesday</v>
      </c>
      <c r="X734" s="59" t="str">
        <f>IF(G734=FALSE,"Working day", IF(G734=TRUE,"Holiday"))</f>
        <v>Working day</v>
      </c>
    </row>
    <row r="735" spans="1:24" x14ac:dyDescent="0.25">
      <c r="A735" s="32">
        <v>734</v>
      </c>
      <c r="B735" s="33">
        <v>40576</v>
      </c>
      <c r="C735" s="26">
        <v>1</v>
      </c>
      <c r="D735" s="26">
        <v>0</v>
      </c>
      <c r="E735" s="26">
        <v>2</v>
      </c>
      <c r="F735" s="26">
        <v>22</v>
      </c>
      <c r="G735" s="26" t="b">
        <v>0</v>
      </c>
      <c r="H735" s="26">
        <v>3</v>
      </c>
      <c r="I735" s="26">
        <v>1</v>
      </c>
      <c r="J735" s="26">
        <v>0.22</v>
      </c>
      <c r="K735" s="26">
        <v>0.21210000000000001</v>
      </c>
      <c r="L735" s="26">
        <v>0.44</v>
      </c>
      <c r="M735">
        <v>0.25369999999999998</v>
      </c>
      <c r="N735" s="26">
        <v>5</v>
      </c>
      <c r="O735" s="26">
        <v>35</v>
      </c>
      <c r="P735" s="26">
        <v>40</v>
      </c>
      <c r="Q735" s="34" t="str">
        <f t="shared" si="33"/>
        <v>Clear</v>
      </c>
      <c r="R735" s="41" t="str">
        <f>IF(I735=1,"Normal",IF(I735=2,"Yellow Alert",IF(I735=3,"Orange Alert",IF(I735=4,"Red Alert"))))</f>
        <v>Normal</v>
      </c>
      <c r="S735" s="60">
        <f t="shared" si="34"/>
        <v>2</v>
      </c>
      <c r="T735" s="61">
        <f>MONTH(dataset_1!B:B)</f>
        <v>1</v>
      </c>
      <c r="U735" s="61">
        <f t="shared" si="35"/>
        <v>2011</v>
      </c>
      <c r="V735" s="59" t="str">
        <f>TEXT(F735/24,"H AM/PM")</f>
        <v>10 PM</v>
      </c>
      <c r="W735" s="59" t="str">
        <f>IF(H735=6,"Saturday",IF(H735=0,"Sunday",IF(H735=1,"Monday",IF(H735=2,"Tuesday",IF(H735=3,"Wednesday",IF(H735=4,"Thursday",IF(H735=5,"Friday")))))))</f>
        <v>Wednesday</v>
      </c>
      <c r="X735" s="59" t="str">
        <f>IF(G735=FALSE,"Working day", IF(G735=TRUE,"Holiday"))</f>
        <v>Working day</v>
      </c>
    </row>
    <row r="736" spans="1:24" x14ac:dyDescent="0.25">
      <c r="A736" s="32">
        <v>735</v>
      </c>
      <c r="B736" s="33">
        <v>40576</v>
      </c>
      <c r="C736" s="26">
        <v>1</v>
      </c>
      <c r="D736" s="26">
        <v>0</v>
      </c>
      <c r="E736" s="26">
        <v>2</v>
      </c>
      <c r="F736" s="26">
        <v>23</v>
      </c>
      <c r="G736" s="26" t="b">
        <v>0</v>
      </c>
      <c r="H736" s="26">
        <v>3</v>
      </c>
      <c r="I736" s="26">
        <v>1</v>
      </c>
      <c r="J736" s="26">
        <v>0.2</v>
      </c>
      <c r="K736" s="26">
        <v>0.16669999999999999</v>
      </c>
      <c r="L736" s="26">
        <v>0.44</v>
      </c>
      <c r="M736">
        <v>0.44779999999999998</v>
      </c>
      <c r="N736" s="26">
        <v>3</v>
      </c>
      <c r="O736" s="26">
        <v>29</v>
      </c>
      <c r="P736" s="26">
        <v>32</v>
      </c>
      <c r="Q736" s="34" t="str">
        <f t="shared" si="33"/>
        <v>Clear</v>
      </c>
      <c r="R736" s="41" t="str">
        <f>IF(I736=1,"Normal",IF(I736=2,"Yellow Alert",IF(I736=3,"Orange Alert",IF(I736=4,"Red Alert"))))</f>
        <v>Normal</v>
      </c>
      <c r="S736" s="60">
        <f t="shared" si="34"/>
        <v>2</v>
      </c>
      <c r="T736" s="61">
        <f>MONTH(dataset_1!B:B)</f>
        <v>1</v>
      </c>
      <c r="U736" s="61">
        <f t="shared" si="35"/>
        <v>2011</v>
      </c>
      <c r="V736" s="59" t="str">
        <f>TEXT(F736/24,"H AM/PM")</f>
        <v>11 PM</v>
      </c>
      <c r="W736" s="59" t="str">
        <f>IF(H736=6,"Saturday",IF(H736=0,"Sunday",IF(H736=1,"Monday",IF(H736=2,"Tuesday",IF(H736=3,"Wednesday",IF(H736=4,"Thursday",IF(H736=5,"Friday")))))))</f>
        <v>Wednesday</v>
      </c>
      <c r="X736" s="59" t="str">
        <f>IF(G736=FALSE,"Working day", IF(G736=TRUE,"Holiday"))</f>
        <v>Working day</v>
      </c>
    </row>
    <row r="737" spans="1:24" x14ac:dyDescent="0.25">
      <c r="A737" s="32">
        <v>736</v>
      </c>
      <c r="B737" s="33">
        <v>40577</v>
      </c>
      <c r="C737" s="26">
        <v>1</v>
      </c>
      <c r="D737" s="26">
        <v>0</v>
      </c>
      <c r="E737" s="26">
        <v>2</v>
      </c>
      <c r="F737" s="26">
        <v>0</v>
      </c>
      <c r="G737" s="26" t="b">
        <v>0</v>
      </c>
      <c r="H737" s="26">
        <v>4</v>
      </c>
      <c r="I737" s="26">
        <v>1</v>
      </c>
      <c r="J737" s="26">
        <v>0.2</v>
      </c>
      <c r="K737" s="26">
        <v>0.16669999999999999</v>
      </c>
      <c r="L737" s="26">
        <v>0.4</v>
      </c>
      <c r="M737">
        <v>0.44779999999999998</v>
      </c>
      <c r="N737" s="26">
        <v>1</v>
      </c>
      <c r="O737" s="26">
        <v>11</v>
      </c>
      <c r="P737" s="26">
        <v>12</v>
      </c>
      <c r="Q737" s="34" t="str">
        <f t="shared" si="33"/>
        <v>Clear</v>
      </c>
      <c r="R737" s="41" t="str">
        <f>IF(I737=1,"Normal",IF(I737=2,"Yellow Alert",IF(I737=3,"Orange Alert",IF(I737=4,"Red Alert"))))</f>
        <v>Normal</v>
      </c>
      <c r="S737" s="60">
        <f t="shared" si="34"/>
        <v>3</v>
      </c>
      <c r="T737" s="61">
        <f>MONTH(dataset_1!B:B)</f>
        <v>1</v>
      </c>
      <c r="U737" s="61">
        <f t="shared" si="35"/>
        <v>2011</v>
      </c>
      <c r="V737" s="59" t="str">
        <f>TEXT(F737/24,"H AM/PM")</f>
        <v>12 AM</v>
      </c>
      <c r="W737" s="59" t="str">
        <f>IF(H737=6,"Saturday",IF(H737=0,"Sunday",IF(H737=1,"Monday",IF(H737=2,"Tuesday",IF(H737=3,"Wednesday",IF(H737=4,"Thursday",IF(H737=5,"Friday")))))))</f>
        <v>Thursday</v>
      </c>
      <c r="X737" s="59" t="str">
        <f>IF(G737=FALSE,"Working day", IF(G737=TRUE,"Holiday"))</f>
        <v>Working day</v>
      </c>
    </row>
    <row r="738" spans="1:24" x14ac:dyDescent="0.25">
      <c r="A738" s="32">
        <v>737</v>
      </c>
      <c r="B738" s="33">
        <v>40577</v>
      </c>
      <c r="C738" s="26">
        <v>1</v>
      </c>
      <c r="D738" s="26">
        <v>0</v>
      </c>
      <c r="E738" s="26">
        <v>2</v>
      </c>
      <c r="F738" s="26">
        <v>1</v>
      </c>
      <c r="G738" s="26" t="b">
        <v>0</v>
      </c>
      <c r="H738" s="26">
        <v>4</v>
      </c>
      <c r="I738" s="26">
        <v>1</v>
      </c>
      <c r="J738" s="26">
        <v>0.2</v>
      </c>
      <c r="K738" s="26">
        <v>0.1515</v>
      </c>
      <c r="L738" s="26">
        <v>0.44</v>
      </c>
      <c r="M738">
        <v>0.52239999999999998</v>
      </c>
      <c r="N738" s="26">
        <v>0</v>
      </c>
      <c r="O738" s="26">
        <v>5</v>
      </c>
      <c r="P738" s="26">
        <v>5</v>
      </c>
      <c r="Q738" s="34" t="str">
        <f t="shared" si="33"/>
        <v>Clear</v>
      </c>
      <c r="R738" s="41" t="str">
        <f>IF(I738=1,"Normal",IF(I738=2,"Yellow Alert",IF(I738=3,"Orange Alert",IF(I738=4,"Red Alert"))))</f>
        <v>Normal</v>
      </c>
      <c r="S738" s="60">
        <f t="shared" si="34"/>
        <v>3</v>
      </c>
      <c r="T738" s="61">
        <f>MONTH(dataset_1!B:B)</f>
        <v>1</v>
      </c>
      <c r="U738" s="61">
        <f t="shared" si="35"/>
        <v>2011</v>
      </c>
      <c r="V738" s="59" t="str">
        <f>TEXT(F738/24,"H AM/PM")</f>
        <v>1 AM</v>
      </c>
      <c r="W738" s="59" t="str">
        <f>IF(H738=6,"Saturday",IF(H738=0,"Sunday",IF(H738=1,"Monday",IF(H738=2,"Tuesday",IF(H738=3,"Wednesday",IF(H738=4,"Thursday",IF(H738=5,"Friday")))))))</f>
        <v>Thursday</v>
      </c>
      <c r="X738" s="59" t="str">
        <f>IF(G738=FALSE,"Working day", IF(G738=TRUE,"Holiday"))</f>
        <v>Working day</v>
      </c>
    </row>
    <row r="739" spans="1:24" x14ac:dyDescent="0.25">
      <c r="A739" s="32">
        <v>738</v>
      </c>
      <c r="B739" s="33">
        <v>40577</v>
      </c>
      <c r="C739" s="26">
        <v>1</v>
      </c>
      <c r="D739" s="26">
        <v>0</v>
      </c>
      <c r="E739" s="26">
        <v>2</v>
      </c>
      <c r="F739" s="26">
        <v>2</v>
      </c>
      <c r="G739" s="26" t="b">
        <v>0</v>
      </c>
      <c r="H739" s="26">
        <v>4</v>
      </c>
      <c r="I739" s="26">
        <v>1</v>
      </c>
      <c r="J739" s="26">
        <v>0.18</v>
      </c>
      <c r="K739" s="26">
        <v>0.16669999999999999</v>
      </c>
      <c r="L739" s="26">
        <v>0.43</v>
      </c>
      <c r="M739">
        <v>0.25369999999999998</v>
      </c>
      <c r="N739" s="26">
        <v>0</v>
      </c>
      <c r="O739" s="26">
        <v>2</v>
      </c>
      <c r="P739" s="26">
        <v>2</v>
      </c>
      <c r="Q739" s="34" t="str">
        <f t="shared" si="33"/>
        <v>Clear</v>
      </c>
      <c r="R739" s="41" t="str">
        <f>IF(I739=1,"Normal",IF(I739=2,"Yellow Alert",IF(I739=3,"Orange Alert",IF(I739=4,"Red Alert"))))</f>
        <v>Normal</v>
      </c>
      <c r="S739" s="60">
        <f t="shared" si="34"/>
        <v>3</v>
      </c>
      <c r="T739" s="61">
        <f>MONTH(dataset_1!B:B)</f>
        <v>1</v>
      </c>
      <c r="U739" s="61">
        <f t="shared" si="35"/>
        <v>2011</v>
      </c>
      <c r="V739" s="59" t="str">
        <f>TEXT(F739/24,"H AM/PM")</f>
        <v>2 AM</v>
      </c>
      <c r="W739" s="59" t="str">
        <f>IF(H739=6,"Saturday",IF(H739=0,"Sunday",IF(H739=1,"Monday",IF(H739=2,"Tuesday",IF(H739=3,"Wednesday",IF(H739=4,"Thursday",IF(H739=5,"Friday")))))))</f>
        <v>Thursday</v>
      </c>
      <c r="X739" s="59" t="str">
        <f>IF(G739=FALSE,"Working day", IF(G739=TRUE,"Holiday"))</f>
        <v>Working day</v>
      </c>
    </row>
    <row r="740" spans="1:24" x14ac:dyDescent="0.25">
      <c r="A740" s="32">
        <v>739</v>
      </c>
      <c r="B740" s="33">
        <v>40577</v>
      </c>
      <c r="C740" s="26">
        <v>1</v>
      </c>
      <c r="D740" s="26">
        <v>0</v>
      </c>
      <c r="E740" s="26">
        <v>2</v>
      </c>
      <c r="F740" s="26">
        <v>3</v>
      </c>
      <c r="G740" s="26" t="b">
        <v>0</v>
      </c>
      <c r="H740" s="26">
        <v>4</v>
      </c>
      <c r="I740" s="26">
        <v>1</v>
      </c>
      <c r="J740" s="26">
        <v>0.18</v>
      </c>
      <c r="K740" s="26">
        <v>0.16669999999999999</v>
      </c>
      <c r="L740" s="26">
        <v>0.43</v>
      </c>
      <c r="M740">
        <v>0.25369999999999998</v>
      </c>
      <c r="N740" s="26">
        <v>0</v>
      </c>
      <c r="O740" s="26">
        <v>1</v>
      </c>
      <c r="P740" s="26">
        <v>1</v>
      </c>
      <c r="Q740" s="34" t="str">
        <f t="shared" si="33"/>
        <v>Clear</v>
      </c>
      <c r="R740" s="41" t="str">
        <f>IF(I740=1,"Normal",IF(I740=2,"Yellow Alert",IF(I740=3,"Orange Alert",IF(I740=4,"Red Alert"))))</f>
        <v>Normal</v>
      </c>
      <c r="S740" s="60">
        <f t="shared" si="34"/>
        <v>3</v>
      </c>
      <c r="T740" s="61">
        <f>MONTH(dataset_1!B:B)</f>
        <v>1</v>
      </c>
      <c r="U740" s="61">
        <f t="shared" si="35"/>
        <v>2011</v>
      </c>
      <c r="V740" s="59" t="str">
        <f>TEXT(F740/24,"H AM/PM")</f>
        <v>3 AM</v>
      </c>
      <c r="W740" s="59" t="str">
        <f>IF(H740=6,"Saturday",IF(H740=0,"Sunday",IF(H740=1,"Monday",IF(H740=2,"Tuesday",IF(H740=3,"Wednesday",IF(H740=4,"Thursday",IF(H740=5,"Friday")))))))</f>
        <v>Thursday</v>
      </c>
      <c r="X740" s="59" t="str">
        <f>IF(G740=FALSE,"Working day", IF(G740=TRUE,"Holiday"))</f>
        <v>Working day</v>
      </c>
    </row>
    <row r="741" spans="1:24" x14ac:dyDescent="0.25">
      <c r="A741" s="32">
        <v>740</v>
      </c>
      <c r="B741" s="33">
        <v>40577</v>
      </c>
      <c r="C741" s="26">
        <v>1</v>
      </c>
      <c r="D741" s="26">
        <v>0</v>
      </c>
      <c r="E741" s="26">
        <v>2</v>
      </c>
      <c r="F741" s="26">
        <v>5</v>
      </c>
      <c r="G741" s="26" t="b">
        <v>0</v>
      </c>
      <c r="H741" s="26">
        <v>4</v>
      </c>
      <c r="I741" s="26">
        <v>1</v>
      </c>
      <c r="J741" s="26">
        <v>0.16</v>
      </c>
      <c r="K741" s="26">
        <v>0.13639999999999999</v>
      </c>
      <c r="L741" s="26">
        <v>0.5</v>
      </c>
      <c r="M741">
        <v>0.29849999999999999</v>
      </c>
      <c r="N741" s="26">
        <v>0</v>
      </c>
      <c r="O741" s="26">
        <v>2</v>
      </c>
      <c r="P741" s="26">
        <v>2</v>
      </c>
      <c r="Q741" s="34" t="str">
        <f t="shared" si="33"/>
        <v>Clear</v>
      </c>
      <c r="R741" s="41" t="str">
        <f>IF(I741=1,"Normal",IF(I741=2,"Yellow Alert",IF(I741=3,"Orange Alert",IF(I741=4,"Red Alert"))))</f>
        <v>Normal</v>
      </c>
      <c r="S741" s="60">
        <f t="shared" si="34"/>
        <v>3</v>
      </c>
      <c r="T741" s="61">
        <f>MONTH(dataset_1!B:B)</f>
        <v>1</v>
      </c>
      <c r="U741" s="61">
        <f t="shared" si="35"/>
        <v>2011</v>
      </c>
      <c r="V741" s="59" t="str">
        <f>TEXT(F741/24,"H AM/PM")</f>
        <v>5 AM</v>
      </c>
      <c r="W741" s="59" t="str">
        <f>IF(H741=6,"Saturday",IF(H741=0,"Sunday",IF(H741=1,"Monday",IF(H741=2,"Tuesday",IF(H741=3,"Wednesday",IF(H741=4,"Thursday",IF(H741=5,"Friday")))))))</f>
        <v>Thursday</v>
      </c>
      <c r="X741" s="59" t="str">
        <f>IF(G741=FALSE,"Working day", IF(G741=TRUE,"Holiday"))</f>
        <v>Working day</v>
      </c>
    </row>
    <row r="742" spans="1:24" x14ac:dyDescent="0.25">
      <c r="A742" s="32">
        <v>741</v>
      </c>
      <c r="B742" s="33">
        <v>40577</v>
      </c>
      <c r="C742" s="26">
        <v>1</v>
      </c>
      <c r="D742" s="26">
        <v>0</v>
      </c>
      <c r="E742" s="26">
        <v>2</v>
      </c>
      <c r="F742" s="26">
        <v>6</v>
      </c>
      <c r="G742" s="26" t="b">
        <v>0</v>
      </c>
      <c r="H742" s="26">
        <v>4</v>
      </c>
      <c r="I742" s="26">
        <v>1</v>
      </c>
      <c r="J742" s="26">
        <v>0.16</v>
      </c>
      <c r="K742" s="26">
        <v>0.13639999999999999</v>
      </c>
      <c r="L742" s="26">
        <v>0.43</v>
      </c>
      <c r="M742">
        <v>0.35820000000000002</v>
      </c>
      <c r="N742" s="26">
        <v>0</v>
      </c>
      <c r="O742" s="26">
        <v>39</v>
      </c>
      <c r="P742" s="26">
        <v>39</v>
      </c>
      <c r="Q742" s="34" t="str">
        <f t="shared" si="33"/>
        <v>Clear</v>
      </c>
      <c r="R742" s="41" t="str">
        <f>IF(I742=1,"Normal",IF(I742=2,"Yellow Alert",IF(I742=3,"Orange Alert",IF(I742=4,"Red Alert"))))</f>
        <v>Normal</v>
      </c>
      <c r="S742" s="60">
        <f t="shared" si="34"/>
        <v>3</v>
      </c>
      <c r="T742" s="61">
        <f>MONTH(dataset_1!B:B)</f>
        <v>1</v>
      </c>
      <c r="U742" s="61">
        <f t="shared" si="35"/>
        <v>2011</v>
      </c>
      <c r="V742" s="59" t="str">
        <f>TEXT(F742/24,"H AM/PM")</f>
        <v>6 AM</v>
      </c>
      <c r="W742" s="59" t="str">
        <f>IF(H742=6,"Saturday",IF(H742=0,"Sunday",IF(H742=1,"Monday",IF(H742=2,"Tuesday",IF(H742=3,"Wednesday",IF(H742=4,"Thursday",IF(H742=5,"Friday")))))))</f>
        <v>Thursday</v>
      </c>
      <c r="X742" s="59" t="str">
        <f>IF(G742=FALSE,"Working day", IF(G742=TRUE,"Holiday"))</f>
        <v>Working day</v>
      </c>
    </row>
    <row r="743" spans="1:24" x14ac:dyDescent="0.25">
      <c r="A743" s="32">
        <v>742</v>
      </c>
      <c r="B743" s="33">
        <v>40577</v>
      </c>
      <c r="C743" s="26">
        <v>1</v>
      </c>
      <c r="D743" s="26">
        <v>0</v>
      </c>
      <c r="E743" s="26">
        <v>2</v>
      </c>
      <c r="F743" s="26">
        <v>7</v>
      </c>
      <c r="G743" s="26" t="b">
        <v>0</v>
      </c>
      <c r="H743" s="26">
        <v>4</v>
      </c>
      <c r="I743" s="26">
        <v>1</v>
      </c>
      <c r="J743" s="26">
        <v>0.14000000000000001</v>
      </c>
      <c r="K743" s="26">
        <v>0.1212</v>
      </c>
      <c r="L743" s="26">
        <v>0.5</v>
      </c>
      <c r="M743">
        <v>0.32840000000000003</v>
      </c>
      <c r="N743" s="26">
        <v>1</v>
      </c>
      <c r="O743" s="26">
        <v>86</v>
      </c>
      <c r="P743" s="26">
        <v>87</v>
      </c>
      <c r="Q743" s="34" t="str">
        <f t="shared" si="33"/>
        <v>Clear</v>
      </c>
      <c r="R743" s="41" t="str">
        <f>IF(I743=1,"Normal",IF(I743=2,"Yellow Alert",IF(I743=3,"Orange Alert",IF(I743=4,"Red Alert"))))</f>
        <v>Normal</v>
      </c>
      <c r="S743" s="60">
        <f t="shared" si="34"/>
        <v>3</v>
      </c>
      <c r="T743" s="61">
        <f>MONTH(dataset_1!B:B)</f>
        <v>1</v>
      </c>
      <c r="U743" s="61">
        <f t="shared" si="35"/>
        <v>2011</v>
      </c>
      <c r="V743" s="59" t="str">
        <f>TEXT(F743/24,"H AM/PM")</f>
        <v>7 AM</v>
      </c>
      <c r="W743" s="59" t="str">
        <f>IF(H743=6,"Saturday",IF(H743=0,"Sunday",IF(H743=1,"Monday",IF(H743=2,"Tuesday",IF(H743=3,"Wednesday",IF(H743=4,"Thursday",IF(H743=5,"Friday")))))))</f>
        <v>Thursday</v>
      </c>
      <c r="X743" s="59" t="str">
        <f>IF(G743=FALSE,"Working day", IF(G743=TRUE,"Holiday"))</f>
        <v>Working day</v>
      </c>
    </row>
    <row r="744" spans="1:24" x14ac:dyDescent="0.25">
      <c r="A744" s="32">
        <v>743</v>
      </c>
      <c r="B744" s="33">
        <v>40577</v>
      </c>
      <c r="C744" s="26">
        <v>1</v>
      </c>
      <c r="D744" s="26">
        <v>0</v>
      </c>
      <c r="E744" s="26">
        <v>2</v>
      </c>
      <c r="F744" s="26">
        <v>8</v>
      </c>
      <c r="G744" s="26" t="b">
        <v>0</v>
      </c>
      <c r="H744" s="26">
        <v>4</v>
      </c>
      <c r="I744" s="26">
        <v>1</v>
      </c>
      <c r="J744" s="26">
        <v>0.14000000000000001</v>
      </c>
      <c r="K744" s="26">
        <v>0.1212</v>
      </c>
      <c r="L744" s="26">
        <v>0.5</v>
      </c>
      <c r="M744">
        <v>0.35820000000000002</v>
      </c>
      <c r="N744" s="26">
        <v>4</v>
      </c>
      <c r="O744" s="26">
        <v>184</v>
      </c>
      <c r="P744" s="26">
        <v>188</v>
      </c>
      <c r="Q744" s="34" t="str">
        <f t="shared" si="33"/>
        <v>Clear</v>
      </c>
      <c r="R744" s="41" t="str">
        <f>IF(I744=1,"Normal",IF(I744=2,"Yellow Alert",IF(I744=3,"Orange Alert",IF(I744=4,"Red Alert"))))</f>
        <v>Normal</v>
      </c>
      <c r="S744" s="60">
        <f t="shared" si="34"/>
        <v>3</v>
      </c>
      <c r="T744" s="61">
        <f>MONTH(dataset_1!B:B)</f>
        <v>1</v>
      </c>
      <c r="U744" s="61">
        <f t="shared" si="35"/>
        <v>2011</v>
      </c>
      <c r="V744" s="59" t="str">
        <f>TEXT(F744/24,"H AM/PM")</f>
        <v>8 AM</v>
      </c>
      <c r="W744" s="59" t="str">
        <f>IF(H744=6,"Saturday",IF(H744=0,"Sunday",IF(H744=1,"Monday",IF(H744=2,"Tuesday",IF(H744=3,"Wednesday",IF(H744=4,"Thursday",IF(H744=5,"Friday")))))))</f>
        <v>Thursday</v>
      </c>
      <c r="X744" s="59" t="str">
        <f>IF(G744=FALSE,"Working day", IF(G744=TRUE,"Holiday"))</f>
        <v>Working day</v>
      </c>
    </row>
    <row r="745" spans="1:24" x14ac:dyDescent="0.25">
      <c r="A745" s="32">
        <v>744</v>
      </c>
      <c r="B745" s="33">
        <v>40577</v>
      </c>
      <c r="C745" s="26">
        <v>1</v>
      </c>
      <c r="D745" s="26">
        <v>0</v>
      </c>
      <c r="E745" s="26">
        <v>2</v>
      </c>
      <c r="F745" s="26">
        <v>9</v>
      </c>
      <c r="G745" s="26" t="b">
        <v>0</v>
      </c>
      <c r="H745" s="26">
        <v>4</v>
      </c>
      <c r="I745" s="26">
        <v>1</v>
      </c>
      <c r="J745" s="26">
        <v>0.16</v>
      </c>
      <c r="K745" s="26">
        <v>0.13639999999999999</v>
      </c>
      <c r="L745" s="26">
        <v>0.47</v>
      </c>
      <c r="M745">
        <v>0.29849999999999999</v>
      </c>
      <c r="N745" s="26">
        <v>6</v>
      </c>
      <c r="O745" s="26">
        <v>127</v>
      </c>
      <c r="P745" s="26">
        <v>133</v>
      </c>
      <c r="Q745" s="34" t="str">
        <f t="shared" si="33"/>
        <v>Clear</v>
      </c>
      <c r="R745" s="41" t="str">
        <f>IF(I745=1,"Normal",IF(I745=2,"Yellow Alert",IF(I745=3,"Orange Alert",IF(I745=4,"Red Alert"))))</f>
        <v>Normal</v>
      </c>
      <c r="S745" s="60">
        <f t="shared" si="34"/>
        <v>3</v>
      </c>
      <c r="T745" s="61">
        <f>MONTH(dataset_1!B:B)</f>
        <v>1</v>
      </c>
      <c r="U745" s="61">
        <f t="shared" si="35"/>
        <v>2011</v>
      </c>
      <c r="V745" s="59" t="str">
        <f>TEXT(F745/24,"H AM/PM")</f>
        <v>9 AM</v>
      </c>
      <c r="W745" s="59" t="str">
        <f>IF(H745=6,"Saturday",IF(H745=0,"Sunday",IF(H745=1,"Monday",IF(H745=2,"Tuesday",IF(H745=3,"Wednesday",IF(H745=4,"Thursday",IF(H745=5,"Friday")))))))</f>
        <v>Thursday</v>
      </c>
      <c r="X745" s="59" t="str">
        <f>IF(G745=FALSE,"Working day", IF(G745=TRUE,"Holiday"))</f>
        <v>Working day</v>
      </c>
    </row>
    <row r="746" spans="1:24" x14ac:dyDescent="0.25">
      <c r="A746" s="32">
        <v>745</v>
      </c>
      <c r="B746" s="33">
        <v>40577</v>
      </c>
      <c r="C746" s="26">
        <v>1</v>
      </c>
      <c r="D746" s="26">
        <v>0</v>
      </c>
      <c r="E746" s="26">
        <v>2</v>
      </c>
      <c r="F746" s="26">
        <v>10</v>
      </c>
      <c r="G746" s="26" t="b">
        <v>0</v>
      </c>
      <c r="H746" s="26">
        <v>4</v>
      </c>
      <c r="I746" s="26">
        <v>1</v>
      </c>
      <c r="J746" s="26">
        <v>0.18</v>
      </c>
      <c r="K746" s="26">
        <v>0.1515</v>
      </c>
      <c r="L746" s="26">
        <v>0.43</v>
      </c>
      <c r="M746">
        <v>0.32840000000000003</v>
      </c>
      <c r="N746" s="26">
        <v>2</v>
      </c>
      <c r="O746" s="26">
        <v>50</v>
      </c>
      <c r="P746" s="26">
        <v>52</v>
      </c>
      <c r="Q746" s="34" t="str">
        <f t="shared" si="33"/>
        <v>Clear</v>
      </c>
      <c r="R746" s="41" t="str">
        <f>IF(I746=1,"Normal",IF(I746=2,"Yellow Alert",IF(I746=3,"Orange Alert",IF(I746=4,"Red Alert"))))</f>
        <v>Normal</v>
      </c>
      <c r="S746" s="60">
        <f t="shared" si="34"/>
        <v>3</v>
      </c>
      <c r="T746" s="61">
        <f>MONTH(dataset_1!B:B)</f>
        <v>1</v>
      </c>
      <c r="U746" s="61">
        <f t="shared" si="35"/>
        <v>2011</v>
      </c>
      <c r="V746" s="59" t="str">
        <f>TEXT(F746/24,"H AM/PM")</f>
        <v>10 AM</v>
      </c>
      <c r="W746" s="59" t="str">
        <f>IF(H746=6,"Saturday",IF(H746=0,"Sunday",IF(H746=1,"Monday",IF(H746=2,"Tuesday",IF(H746=3,"Wednesday",IF(H746=4,"Thursday",IF(H746=5,"Friday")))))))</f>
        <v>Thursday</v>
      </c>
      <c r="X746" s="59" t="str">
        <f>IF(G746=FALSE,"Working day", IF(G746=TRUE,"Holiday"))</f>
        <v>Working day</v>
      </c>
    </row>
    <row r="747" spans="1:24" x14ac:dyDescent="0.25">
      <c r="A747" s="32">
        <v>746</v>
      </c>
      <c r="B747" s="33">
        <v>40577</v>
      </c>
      <c r="C747" s="26">
        <v>1</v>
      </c>
      <c r="D747" s="26">
        <v>0</v>
      </c>
      <c r="E747" s="26">
        <v>2</v>
      </c>
      <c r="F747" s="26">
        <v>11</v>
      </c>
      <c r="G747" s="26" t="b">
        <v>0</v>
      </c>
      <c r="H747" s="26">
        <v>4</v>
      </c>
      <c r="I747" s="26">
        <v>1</v>
      </c>
      <c r="J747" s="26">
        <v>0.18</v>
      </c>
      <c r="K747" s="26">
        <v>0.13639999999999999</v>
      </c>
      <c r="L747" s="26">
        <v>0.43</v>
      </c>
      <c r="M747">
        <v>0.44779999999999998</v>
      </c>
      <c r="N747" s="26">
        <v>9</v>
      </c>
      <c r="O747" s="26">
        <v>55</v>
      </c>
      <c r="P747" s="26">
        <v>64</v>
      </c>
      <c r="Q747" s="34" t="str">
        <f t="shared" si="33"/>
        <v>Clear</v>
      </c>
      <c r="R747" s="41" t="str">
        <f>IF(I747=1,"Normal",IF(I747=2,"Yellow Alert",IF(I747=3,"Orange Alert",IF(I747=4,"Red Alert"))))</f>
        <v>Normal</v>
      </c>
      <c r="S747" s="60">
        <f t="shared" si="34"/>
        <v>3</v>
      </c>
      <c r="T747" s="61">
        <f>MONTH(dataset_1!B:B)</f>
        <v>1</v>
      </c>
      <c r="U747" s="61">
        <f t="shared" si="35"/>
        <v>2011</v>
      </c>
      <c r="V747" s="59" t="str">
        <f>TEXT(F747/24,"H AM/PM")</f>
        <v>11 AM</v>
      </c>
      <c r="W747" s="59" t="str">
        <f>IF(H747=6,"Saturday",IF(H747=0,"Sunday",IF(H747=1,"Monday",IF(H747=2,"Tuesday",IF(H747=3,"Wednesday",IF(H747=4,"Thursday",IF(H747=5,"Friday")))))))</f>
        <v>Thursday</v>
      </c>
      <c r="X747" s="59" t="str">
        <f>IF(G747=FALSE,"Working day", IF(G747=TRUE,"Holiday"))</f>
        <v>Working day</v>
      </c>
    </row>
    <row r="748" spans="1:24" x14ac:dyDescent="0.25">
      <c r="A748" s="32">
        <v>747</v>
      </c>
      <c r="B748" s="33">
        <v>40577</v>
      </c>
      <c r="C748" s="26">
        <v>1</v>
      </c>
      <c r="D748" s="26">
        <v>0</v>
      </c>
      <c r="E748" s="26">
        <v>2</v>
      </c>
      <c r="F748" s="26">
        <v>12</v>
      </c>
      <c r="G748" s="26" t="b">
        <v>0</v>
      </c>
      <c r="H748" s="26">
        <v>4</v>
      </c>
      <c r="I748" s="26">
        <v>1</v>
      </c>
      <c r="J748" s="26">
        <v>0.2</v>
      </c>
      <c r="K748" s="26">
        <v>0.18179999999999999</v>
      </c>
      <c r="L748" s="26">
        <v>0.4</v>
      </c>
      <c r="M748">
        <v>0.35820000000000002</v>
      </c>
      <c r="N748" s="26">
        <v>2</v>
      </c>
      <c r="O748" s="26">
        <v>67</v>
      </c>
      <c r="P748" s="26">
        <v>69</v>
      </c>
      <c r="Q748" s="34" t="str">
        <f t="shared" si="33"/>
        <v>Clear</v>
      </c>
      <c r="R748" s="41" t="str">
        <f>IF(I748=1,"Normal",IF(I748=2,"Yellow Alert",IF(I748=3,"Orange Alert",IF(I748=4,"Red Alert"))))</f>
        <v>Normal</v>
      </c>
      <c r="S748" s="60">
        <f t="shared" si="34"/>
        <v>3</v>
      </c>
      <c r="T748" s="61">
        <f>MONTH(dataset_1!B:B)</f>
        <v>1</v>
      </c>
      <c r="U748" s="61">
        <f t="shared" si="35"/>
        <v>2011</v>
      </c>
      <c r="V748" s="59" t="str">
        <f>TEXT(F748/24,"H AM/PM")</f>
        <v>12 PM</v>
      </c>
      <c r="W748" s="59" t="str">
        <f>IF(H748=6,"Saturday",IF(H748=0,"Sunday",IF(H748=1,"Monday",IF(H748=2,"Tuesday",IF(H748=3,"Wednesday",IF(H748=4,"Thursday",IF(H748=5,"Friday")))))))</f>
        <v>Thursday</v>
      </c>
      <c r="X748" s="59" t="str">
        <f>IF(G748=FALSE,"Working day", IF(G748=TRUE,"Holiday"))</f>
        <v>Working day</v>
      </c>
    </row>
    <row r="749" spans="1:24" x14ac:dyDescent="0.25">
      <c r="A749" s="32">
        <v>748</v>
      </c>
      <c r="B749" s="33">
        <v>40577</v>
      </c>
      <c r="C749" s="26">
        <v>1</v>
      </c>
      <c r="D749" s="26">
        <v>0</v>
      </c>
      <c r="E749" s="26">
        <v>2</v>
      </c>
      <c r="F749" s="26">
        <v>13</v>
      </c>
      <c r="G749" s="26" t="b">
        <v>0</v>
      </c>
      <c r="H749" s="26">
        <v>4</v>
      </c>
      <c r="I749" s="26">
        <v>1</v>
      </c>
      <c r="J749" s="26">
        <v>0.2</v>
      </c>
      <c r="K749" s="26">
        <v>0.16669999999999999</v>
      </c>
      <c r="L749" s="26">
        <v>0.4</v>
      </c>
      <c r="M749">
        <v>0.41789999999999999</v>
      </c>
      <c r="N749" s="26">
        <v>4</v>
      </c>
      <c r="O749" s="26">
        <v>47</v>
      </c>
      <c r="P749" s="26">
        <v>51</v>
      </c>
      <c r="Q749" s="34" t="str">
        <f t="shared" si="33"/>
        <v>Clear</v>
      </c>
      <c r="R749" s="41" t="str">
        <f>IF(I749=1,"Normal",IF(I749=2,"Yellow Alert",IF(I749=3,"Orange Alert",IF(I749=4,"Red Alert"))))</f>
        <v>Normal</v>
      </c>
      <c r="S749" s="60">
        <f t="shared" si="34"/>
        <v>3</v>
      </c>
      <c r="T749" s="61">
        <f>MONTH(dataset_1!B:B)</f>
        <v>1</v>
      </c>
      <c r="U749" s="61">
        <f t="shared" si="35"/>
        <v>2011</v>
      </c>
      <c r="V749" s="59" t="str">
        <f>TEXT(F749/24,"H AM/PM")</f>
        <v>1 PM</v>
      </c>
      <c r="W749" s="59" t="str">
        <f>IF(H749=6,"Saturday",IF(H749=0,"Sunday",IF(H749=1,"Monday",IF(H749=2,"Tuesday",IF(H749=3,"Wednesday",IF(H749=4,"Thursday",IF(H749=5,"Friday")))))))</f>
        <v>Thursday</v>
      </c>
      <c r="X749" s="59" t="str">
        <f>IF(G749=FALSE,"Working day", IF(G749=TRUE,"Holiday"))</f>
        <v>Working day</v>
      </c>
    </row>
    <row r="750" spans="1:24" x14ac:dyDescent="0.25">
      <c r="A750" s="32">
        <v>749</v>
      </c>
      <c r="B750" s="33">
        <v>40577</v>
      </c>
      <c r="C750" s="26">
        <v>1</v>
      </c>
      <c r="D750" s="26">
        <v>0</v>
      </c>
      <c r="E750" s="26">
        <v>2</v>
      </c>
      <c r="F750" s="26">
        <v>14</v>
      </c>
      <c r="G750" s="26" t="b">
        <v>0</v>
      </c>
      <c r="H750" s="26">
        <v>4</v>
      </c>
      <c r="I750" s="26">
        <v>1</v>
      </c>
      <c r="J750" s="26">
        <v>0.22</v>
      </c>
      <c r="K750" s="26">
        <v>0.19700000000000001</v>
      </c>
      <c r="L750" s="26">
        <v>0.37</v>
      </c>
      <c r="M750">
        <v>0.3881</v>
      </c>
      <c r="N750" s="26">
        <v>4</v>
      </c>
      <c r="O750" s="26">
        <v>43</v>
      </c>
      <c r="P750" s="26">
        <v>47</v>
      </c>
      <c r="Q750" s="34" t="str">
        <f t="shared" si="33"/>
        <v>Clear</v>
      </c>
      <c r="R750" s="41" t="str">
        <f>IF(I750=1,"Normal",IF(I750=2,"Yellow Alert",IF(I750=3,"Orange Alert",IF(I750=4,"Red Alert"))))</f>
        <v>Normal</v>
      </c>
      <c r="S750" s="60">
        <f t="shared" si="34"/>
        <v>3</v>
      </c>
      <c r="T750" s="61">
        <f>MONTH(dataset_1!B:B)</f>
        <v>1</v>
      </c>
      <c r="U750" s="61">
        <f t="shared" si="35"/>
        <v>2011</v>
      </c>
      <c r="V750" s="59" t="str">
        <f>TEXT(F750/24,"H AM/PM")</f>
        <v>2 PM</v>
      </c>
      <c r="W750" s="59" t="str">
        <f>IF(H750=6,"Saturday",IF(H750=0,"Sunday",IF(H750=1,"Monday",IF(H750=2,"Tuesday",IF(H750=3,"Wednesday",IF(H750=4,"Thursday",IF(H750=5,"Friday")))))))</f>
        <v>Thursday</v>
      </c>
      <c r="X750" s="59" t="str">
        <f>IF(G750=FALSE,"Working day", IF(G750=TRUE,"Holiday"))</f>
        <v>Working day</v>
      </c>
    </row>
    <row r="751" spans="1:24" x14ac:dyDescent="0.25">
      <c r="A751" s="32">
        <v>750</v>
      </c>
      <c r="B751" s="33">
        <v>40577</v>
      </c>
      <c r="C751" s="26">
        <v>1</v>
      </c>
      <c r="D751" s="26">
        <v>0</v>
      </c>
      <c r="E751" s="26">
        <v>2</v>
      </c>
      <c r="F751" s="26">
        <v>15</v>
      </c>
      <c r="G751" s="26" t="b">
        <v>0</v>
      </c>
      <c r="H751" s="26">
        <v>4</v>
      </c>
      <c r="I751" s="26">
        <v>1</v>
      </c>
      <c r="J751" s="26">
        <v>0.22</v>
      </c>
      <c r="K751" s="26">
        <v>0.19700000000000001</v>
      </c>
      <c r="L751" s="26">
        <v>0.37</v>
      </c>
      <c r="M751">
        <v>0.32840000000000003</v>
      </c>
      <c r="N751" s="26">
        <v>4</v>
      </c>
      <c r="O751" s="26">
        <v>56</v>
      </c>
      <c r="P751" s="26">
        <v>60</v>
      </c>
      <c r="Q751" s="34" t="str">
        <f t="shared" si="33"/>
        <v>Clear</v>
      </c>
      <c r="R751" s="41" t="str">
        <f>IF(I751=1,"Normal",IF(I751=2,"Yellow Alert",IF(I751=3,"Orange Alert",IF(I751=4,"Red Alert"))))</f>
        <v>Normal</v>
      </c>
      <c r="S751" s="60">
        <f t="shared" si="34"/>
        <v>3</v>
      </c>
      <c r="T751" s="61">
        <f>MONTH(dataset_1!B:B)</f>
        <v>1</v>
      </c>
      <c r="U751" s="61">
        <f t="shared" si="35"/>
        <v>2011</v>
      </c>
      <c r="V751" s="59" t="str">
        <f>TEXT(F751/24,"H AM/PM")</f>
        <v>3 PM</v>
      </c>
      <c r="W751" s="59" t="str">
        <f>IF(H751=6,"Saturday",IF(H751=0,"Sunday",IF(H751=1,"Monday",IF(H751=2,"Tuesday",IF(H751=3,"Wednesday",IF(H751=4,"Thursday",IF(H751=5,"Friday")))))))</f>
        <v>Thursday</v>
      </c>
      <c r="X751" s="59" t="str">
        <f>IF(G751=FALSE,"Working day", IF(G751=TRUE,"Holiday"))</f>
        <v>Working day</v>
      </c>
    </row>
    <row r="752" spans="1:24" x14ac:dyDescent="0.25">
      <c r="A752" s="32">
        <v>751</v>
      </c>
      <c r="B752" s="33">
        <v>40577</v>
      </c>
      <c r="C752" s="26">
        <v>1</v>
      </c>
      <c r="D752" s="26">
        <v>0</v>
      </c>
      <c r="E752" s="26">
        <v>2</v>
      </c>
      <c r="F752" s="26">
        <v>16</v>
      </c>
      <c r="G752" s="26" t="b">
        <v>0</v>
      </c>
      <c r="H752" s="26">
        <v>4</v>
      </c>
      <c r="I752" s="26">
        <v>1</v>
      </c>
      <c r="J752" s="26">
        <v>0.22</v>
      </c>
      <c r="K752" s="26">
        <v>0.21210000000000001</v>
      </c>
      <c r="L752" s="26">
        <v>0.37</v>
      </c>
      <c r="M752">
        <v>0.25369999999999998</v>
      </c>
      <c r="N752" s="26">
        <v>5</v>
      </c>
      <c r="O752" s="26">
        <v>73</v>
      </c>
      <c r="P752" s="26">
        <v>78</v>
      </c>
      <c r="Q752" s="34" t="str">
        <f t="shared" si="33"/>
        <v>Clear</v>
      </c>
      <c r="R752" s="41" t="str">
        <f>IF(I752=1,"Normal",IF(I752=2,"Yellow Alert",IF(I752=3,"Orange Alert",IF(I752=4,"Red Alert"))))</f>
        <v>Normal</v>
      </c>
      <c r="S752" s="60">
        <f t="shared" si="34"/>
        <v>3</v>
      </c>
      <c r="T752" s="61">
        <f>MONTH(dataset_1!B:B)</f>
        <v>1</v>
      </c>
      <c r="U752" s="61">
        <f t="shared" si="35"/>
        <v>2011</v>
      </c>
      <c r="V752" s="59" t="str">
        <f>TEXT(F752/24,"H AM/PM")</f>
        <v>4 PM</v>
      </c>
      <c r="W752" s="59" t="str">
        <f>IF(H752=6,"Saturday",IF(H752=0,"Sunday",IF(H752=1,"Monday",IF(H752=2,"Tuesday",IF(H752=3,"Wednesday",IF(H752=4,"Thursday",IF(H752=5,"Friday")))))))</f>
        <v>Thursday</v>
      </c>
      <c r="X752" s="59" t="str">
        <f>IF(G752=FALSE,"Working day", IF(G752=TRUE,"Holiday"))</f>
        <v>Working day</v>
      </c>
    </row>
    <row r="753" spans="1:24" x14ac:dyDescent="0.25">
      <c r="A753" s="32">
        <v>752</v>
      </c>
      <c r="B753" s="33">
        <v>40577</v>
      </c>
      <c r="C753" s="26">
        <v>1</v>
      </c>
      <c r="D753" s="26">
        <v>0</v>
      </c>
      <c r="E753" s="26">
        <v>2</v>
      </c>
      <c r="F753" s="26">
        <v>17</v>
      </c>
      <c r="G753" s="26" t="b">
        <v>0</v>
      </c>
      <c r="H753" s="26">
        <v>4</v>
      </c>
      <c r="I753" s="26">
        <v>1</v>
      </c>
      <c r="J753" s="26">
        <v>0.2</v>
      </c>
      <c r="K753" s="26">
        <v>0.19700000000000001</v>
      </c>
      <c r="L753" s="26">
        <v>0.4</v>
      </c>
      <c r="M753">
        <v>0.19400000000000001</v>
      </c>
      <c r="N753" s="26">
        <v>5</v>
      </c>
      <c r="O753" s="26">
        <v>170</v>
      </c>
      <c r="P753" s="26">
        <v>175</v>
      </c>
      <c r="Q753" s="34" t="str">
        <f t="shared" si="33"/>
        <v>Clear</v>
      </c>
      <c r="R753" s="41" t="str">
        <f>IF(I753=1,"Normal",IF(I753=2,"Yellow Alert",IF(I753=3,"Orange Alert",IF(I753=4,"Red Alert"))))</f>
        <v>Normal</v>
      </c>
      <c r="S753" s="60">
        <f t="shared" si="34"/>
        <v>3</v>
      </c>
      <c r="T753" s="61">
        <f>MONTH(dataset_1!B:B)</f>
        <v>1</v>
      </c>
      <c r="U753" s="61">
        <f t="shared" si="35"/>
        <v>2011</v>
      </c>
      <c r="V753" s="59" t="str">
        <f>TEXT(F753/24,"H AM/PM")</f>
        <v>5 PM</v>
      </c>
      <c r="W753" s="59" t="str">
        <f>IF(H753=6,"Saturday",IF(H753=0,"Sunday",IF(H753=1,"Monday",IF(H753=2,"Tuesday",IF(H753=3,"Wednesday",IF(H753=4,"Thursday",IF(H753=5,"Friday")))))))</f>
        <v>Thursday</v>
      </c>
      <c r="X753" s="59" t="str">
        <f>IF(G753=FALSE,"Working day", IF(G753=TRUE,"Holiday"))</f>
        <v>Working day</v>
      </c>
    </row>
    <row r="754" spans="1:24" x14ac:dyDescent="0.25">
      <c r="A754" s="32">
        <v>753</v>
      </c>
      <c r="B754" s="33">
        <v>40577</v>
      </c>
      <c r="C754" s="26">
        <v>1</v>
      </c>
      <c r="D754" s="26">
        <v>0</v>
      </c>
      <c r="E754" s="26">
        <v>2</v>
      </c>
      <c r="F754" s="26">
        <v>18</v>
      </c>
      <c r="G754" s="26" t="b">
        <v>0</v>
      </c>
      <c r="H754" s="26">
        <v>4</v>
      </c>
      <c r="I754" s="26">
        <v>1</v>
      </c>
      <c r="J754" s="26">
        <v>0.2</v>
      </c>
      <c r="K754" s="26">
        <v>0.21210000000000001</v>
      </c>
      <c r="L754" s="26">
        <v>0.4</v>
      </c>
      <c r="M754">
        <v>0.16420000000000001</v>
      </c>
      <c r="N754" s="26">
        <v>2</v>
      </c>
      <c r="O754" s="26">
        <v>145</v>
      </c>
      <c r="P754" s="26">
        <v>147</v>
      </c>
      <c r="Q754" s="34" t="str">
        <f t="shared" si="33"/>
        <v>Clear</v>
      </c>
      <c r="R754" s="41" t="str">
        <f>IF(I754=1,"Normal",IF(I754=2,"Yellow Alert",IF(I754=3,"Orange Alert",IF(I754=4,"Red Alert"))))</f>
        <v>Normal</v>
      </c>
      <c r="S754" s="60">
        <f t="shared" si="34"/>
        <v>3</v>
      </c>
      <c r="T754" s="61">
        <f>MONTH(dataset_1!B:B)</f>
        <v>1</v>
      </c>
      <c r="U754" s="61">
        <f t="shared" si="35"/>
        <v>2011</v>
      </c>
      <c r="V754" s="59" t="str">
        <f>TEXT(F754/24,"H AM/PM")</f>
        <v>6 PM</v>
      </c>
      <c r="W754" s="59" t="str">
        <f>IF(H754=6,"Saturday",IF(H754=0,"Sunday",IF(H754=1,"Monday",IF(H754=2,"Tuesday",IF(H754=3,"Wednesday",IF(H754=4,"Thursday",IF(H754=5,"Friday")))))))</f>
        <v>Thursday</v>
      </c>
      <c r="X754" s="59" t="str">
        <f>IF(G754=FALSE,"Working day", IF(G754=TRUE,"Holiday"))</f>
        <v>Working day</v>
      </c>
    </row>
    <row r="755" spans="1:24" x14ac:dyDescent="0.25">
      <c r="A755" s="32">
        <v>754</v>
      </c>
      <c r="B755" s="33">
        <v>40577</v>
      </c>
      <c r="C755" s="26">
        <v>1</v>
      </c>
      <c r="D755" s="26">
        <v>0</v>
      </c>
      <c r="E755" s="26">
        <v>2</v>
      </c>
      <c r="F755" s="26">
        <v>19</v>
      </c>
      <c r="G755" s="26" t="b">
        <v>0</v>
      </c>
      <c r="H755" s="26">
        <v>4</v>
      </c>
      <c r="I755" s="26">
        <v>1</v>
      </c>
      <c r="J755" s="26">
        <v>0.2</v>
      </c>
      <c r="K755" s="26">
        <v>0.2576</v>
      </c>
      <c r="L755" s="26">
        <v>0.4</v>
      </c>
      <c r="M755">
        <v>0</v>
      </c>
      <c r="N755" s="26">
        <v>4</v>
      </c>
      <c r="O755" s="26">
        <v>92</v>
      </c>
      <c r="P755" s="26">
        <v>96</v>
      </c>
      <c r="Q755" s="34" t="str">
        <f t="shared" si="33"/>
        <v>Clear</v>
      </c>
      <c r="R755" s="41" t="str">
        <f>IF(I755=1,"Normal",IF(I755=2,"Yellow Alert",IF(I755=3,"Orange Alert",IF(I755=4,"Red Alert"))))</f>
        <v>Normal</v>
      </c>
      <c r="S755" s="60">
        <f t="shared" si="34"/>
        <v>3</v>
      </c>
      <c r="T755" s="61">
        <f>MONTH(dataset_1!B:B)</f>
        <v>1</v>
      </c>
      <c r="U755" s="61">
        <f t="shared" si="35"/>
        <v>2011</v>
      </c>
      <c r="V755" s="59" t="str">
        <f>TEXT(F755/24,"H AM/PM")</f>
        <v>7 PM</v>
      </c>
      <c r="W755" s="59" t="str">
        <f>IF(H755=6,"Saturday",IF(H755=0,"Sunday",IF(H755=1,"Monday",IF(H755=2,"Tuesday",IF(H755=3,"Wednesday",IF(H755=4,"Thursday",IF(H755=5,"Friday")))))))</f>
        <v>Thursday</v>
      </c>
      <c r="X755" s="59" t="str">
        <f>IF(G755=FALSE,"Working day", IF(G755=TRUE,"Holiday"))</f>
        <v>Working day</v>
      </c>
    </row>
    <row r="756" spans="1:24" x14ac:dyDescent="0.25">
      <c r="A756" s="32">
        <v>755</v>
      </c>
      <c r="B756" s="33">
        <v>40577</v>
      </c>
      <c r="C756" s="26">
        <v>1</v>
      </c>
      <c r="D756" s="26">
        <v>0</v>
      </c>
      <c r="E756" s="26">
        <v>2</v>
      </c>
      <c r="F756" s="26">
        <v>20</v>
      </c>
      <c r="G756" s="26" t="b">
        <v>0</v>
      </c>
      <c r="H756" s="26">
        <v>4</v>
      </c>
      <c r="I756" s="26">
        <v>1</v>
      </c>
      <c r="J756" s="26">
        <v>0.2</v>
      </c>
      <c r="K756" s="26">
        <v>0.2273</v>
      </c>
      <c r="L756" s="26">
        <v>0.47</v>
      </c>
      <c r="M756">
        <v>8.9599999999999999E-2</v>
      </c>
      <c r="N756" s="26">
        <v>1</v>
      </c>
      <c r="O756" s="26">
        <v>108</v>
      </c>
      <c r="P756" s="26">
        <v>109</v>
      </c>
      <c r="Q756" s="34" t="str">
        <f t="shared" si="33"/>
        <v>Clear</v>
      </c>
      <c r="R756" s="41" t="str">
        <f>IF(I756=1,"Normal",IF(I756=2,"Yellow Alert",IF(I756=3,"Orange Alert",IF(I756=4,"Red Alert"))))</f>
        <v>Normal</v>
      </c>
      <c r="S756" s="60">
        <f t="shared" si="34"/>
        <v>3</v>
      </c>
      <c r="T756" s="61">
        <f>MONTH(dataset_1!B:B)</f>
        <v>1</v>
      </c>
      <c r="U756" s="61">
        <f t="shared" si="35"/>
        <v>2011</v>
      </c>
      <c r="V756" s="59" t="str">
        <f>TEXT(F756/24,"H AM/PM")</f>
        <v>8 PM</v>
      </c>
      <c r="W756" s="59" t="str">
        <f>IF(H756=6,"Saturday",IF(H756=0,"Sunday",IF(H756=1,"Monday",IF(H756=2,"Tuesday",IF(H756=3,"Wednesday",IF(H756=4,"Thursday",IF(H756=5,"Friday")))))))</f>
        <v>Thursday</v>
      </c>
      <c r="X756" s="59" t="str">
        <f>IF(G756=FALSE,"Working day", IF(G756=TRUE,"Holiday"))</f>
        <v>Working day</v>
      </c>
    </row>
    <row r="757" spans="1:24" x14ac:dyDescent="0.25">
      <c r="A757" s="32">
        <v>756</v>
      </c>
      <c r="B757" s="33">
        <v>40577</v>
      </c>
      <c r="C757" s="26">
        <v>1</v>
      </c>
      <c r="D757" s="26">
        <v>0</v>
      </c>
      <c r="E757" s="26">
        <v>2</v>
      </c>
      <c r="F757" s="26">
        <v>21</v>
      </c>
      <c r="G757" s="26" t="b">
        <v>0</v>
      </c>
      <c r="H757" s="26">
        <v>4</v>
      </c>
      <c r="I757" s="26">
        <v>1</v>
      </c>
      <c r="J757" s="26">
        <v>0.18</v>
      </c>
      <c r="K757" s="26">
        <v>0.21210000000000001</v>
      </c>
      <c r="L757" s="26">
        <v>0.55000000000000004</v>
      </c>
      <c r="M757">
        <v>0.1045</v>
      </c>
      <c r="N757" s="26">
        <v>1</v>
      </c>
      <c r="O757" s="26">
        <v>53</v>
      </c>
      <c r="P757" s="26">
        <v>54</v>
      </c>
      <c r="Q757" s="34" t="str">
        <f t="shared" si="33"/>
        <v>Clear</v>
      </c>
      <c r="R757" s="41" t="str">
        <f>IF(I757=1,"Normal",IF(I757=2,"Yellow Alert",IF(I757=3,"Orange Alert",IF(I757=4,"Red Alert"))))</f>
        <v>Normal</v>
      </c>
      <c r="S757" s="60">
        <f t="shared" si="34"/>
        <v>3</v>
      </c>
      <c r="T757" s="61">
        <f>MONTH(dataset_1!B:B)</f>
        <v>1</v>
      </c>
      <c r="U757" s="61">
        <f t="shared" si="35"/>
        <v>2011</v>
      </c>
      <c r="V757" s="59" t="str">
        <f>TEXT(F757/24,"H AM/PM")</f>
        <v>9 PM</v>
      </c>
      <c r="W757" s="59" t="str">
        <f>IF(H757=6,"Saturday",IF(H757=0,"Sunday",IF(H757=1,"Monday",IF(H757=2,"Tuesday",IF(H757=3,"Wednesday",IF(H757=4,"Thursday",IF(H757=5,"Friday")))))))</f>
        <v>Thursday</v>
      </c>
      <c r="X757" s="59" t="str">
        <f>IF(G757=FALSE,"Working day", IF(G757=TRUE,"Holiday"))</f>
        <v>Working day</v>
      </c>
    </row>
    <row r="758" spans="1:24" x14ac:dyDescent="0.25">
      <c r="A758" s="32">
        <v>757</v>
      </c>
      <c r="B758" s="33">
        <v>40577</v>
      </c>
      <c r="C758" s="26">
        <v>1</v>
      </c>
      <c r="D758" s="26">
        <v>0</v>
      </c>
      <c r="E758" s="26">
        <v>2</v>
      </c>
      <c r="F758" s="26">
        <v>22</v>
      </c>
      <c r="G758" s="26" t="b">
        <v>0</v>
      </c>
      <c r="H758" s="26">
        <v>4</v>
      </c>
      <c r="I758" s="26">
        <v>1</v>
      </c>
      <c r="J758" s="26">
        <v>0.18</v>
      </c>
      <c r="K758" s="26">
        <v>0.21210000000000001</v>
      </c>
      <c r="L758" s="26">
        <v>0.51</v>
      </c>
      <c r="M758">
        <v>8.9599999999999999E-2</v>
      </c>
      <c r="N758" s="26">
        <v>2</v>
      </c>
      <c r="O758" s="26">
        <v>39</v>
      </c>
      <c r="P758" s="26">
        <v>41</v>
      </c>
      <c r="Q758" s="34" t="str">
        <f t="shared" si="33"/>
        <v>Clear</v>
      </c>
      <c r="R758" s="41" t="str">
        <f>IF(I758=1,"Normal",IF(I758=2,"Yellow Alert",IF(I758=3,"Orange Alert",IF(I758=4,"Red Alert"))))</f>
        <v>Normal</v>
      </c>
      <c r="S758" s="60">
        <f t="shared" si="34"/>
        <v>3</v>
      </c>
      <c r="T758" s="61">
        <f>MONTH(dataset_1!B:B)</f>
        <v>1</v>
      </c>
      <c r="U758" s="61">
        <f t="shared" si="35"/>
        <v>2011</v>
      </c>
      <c r="V758" s="59" t="str">
        <f>TEXT(F758/24,"H AM/PM")</f>
        <v>10 PM</v>
      </c>
      <c r="W758" s="59" t="str">
        <f>IF(H758=6,"Saturday",IF(H758=0,"Sunday",IF(H758=1,"Monday",IF(H758=2,"Tuesday",IF(H758=3,"Wednesday",IF(H758=4,"Thursday",IF(H758=5,"Friday")))))))</f>
        <v>Thursday</v>
      </c>
      <c r="X758" s="59" t="str">
        <f>IF(G758=FALSE,"Working day", IF(G758=TRUE,"Holiday"))</f>
        <v>Working day</v>
      </c>
    </row>
    <row r="759" spans="1:24" x14ac:dyDescent="0.25">
      <c r="A759" s="32">
        <v>758</v>
      </c>
      <c r="B759" s="33">
        <v>40577</v>
      </c>
      <c r="C759" s="26">
        <v>1</v>
      </c>
      <c r="D759" s="26">
        <v>0</v>
      </c>
      <c r="E759" s="26">
        <v>2</v>
      </c>
      <c r="F759" s="26">
        <v>23</v>
      </c>
      <c r="G759" s="26" t="b">
        <v>0</v>
      </c>
      <c r="H759" s="26">
        <v>4</v>
      </c>
      <c r="I759" s="26">
        <v>1</v>
      </c>
      <c r="J759" s="26">
        <v>0.2</v>
      </c>
      <c r="K759" s="26">
        <v>0.2273</v>
      </c>
      <c r="L759" s="26">
        <v>0.47</v>
      </c>
      <c r="M759">
        <v>0.1045</v>
      </c>
      <c r="N759" s="26">
        <v>4</v>
      </c>
      <c r="O759" s="26">
        <v>34</v>
      </c>
      <c r="P759" s="26">
        <v>38</v>
      </c>
      <c r="Q759" s="34" t="str">
        <f t="shared" si="33"/>
        <v>Clear</v>
      </c>
      <c r="R759" s="41" t="str">
        <f>IF(I759=1,"Normal",IF(I759=2,"Yellow Alert",IF(I759=3,"Orange Alert",IF(I759=4,"Red Alert"))))</f>
        <v>Normal</v>
      </c>
      <c r="S759" s="60">
        <f t="shared" si="34"/>
        <v>3</v>
      </c>
      <c r="T759" s="61">
        <f>MONTH(dataset_1!B:B)</f>
        <v>1</v>
      </c>
      <c r="U759" s="61">
        <f t="shared" si="35"/>
        <v>2011</v>
      </c>
      <c r="V759" s="59" t="str">
        <f>TEXT(F759/24,"H AM/PM")</f>
        <v>11 PM</v>
      </c>
      <c r="W759" s="59" t="str">
        <f>IF(H759=6,"Saturday",IF(H759=0,"Sunday",IF(H759=1,"Monday",IF(H759=2,"Tuesday",IF(H759=3,"Wednesday",IF(H759=4,"Thursday",IF(H759=5,"Friday")))))))</f>
        <v>Thursday</v>
      </c>
      <c r="X759" s="59" t="str">
        <f>IF(G759=FALSE,"Working day", IF(G759=TRUE,"Holiday"))</f>
        <v>Working day</v>
      </c>
    </row>
    <row r="760" spans="1:24" x14ac:dyDescent="0.25">
      <c r="A760" s="32">
        <v>759</v>
      </c>
      <c r="B760" s="33">
        <v>40578</v>
      </c>
      <c r="C760" s="26">
        <v>1</v>
      </c>
      <c r="D760" s="26">
        <v>0</v>
      </c>
      <c r="E760" s="26">
        <v>2</v>
      </c>
      <c r="F760" s="26">
        <v>0</v>
      </c>
      <c r="G760" s="26" t="b">
        <v>0</v>
      </c>
      <c r="H760" s="26">
        <v>5</v>
      </c>
      <c r="I760" s="26">
        <v>2</v>
      </c>
      <c r="J760" s="26">
        <v>0.2</v>
      </c>
      <c r="K760" s="26">
        <v>0.2576</v>
      </c>
      <c r="L760" s="26">
        <v>0.44</v>
      </c>
      <c r="M760">
        <v>0</v>
      </c>
      <c r="N760" s="26">
        <v>3</v>
      </c>
      <c r="O760" s="26">
        <v>10</v>
      </c>
      <c r="P760" s="26">
        <v>13</v>
      </c>
      <c r="Q760" s="34" t="str">
        <f t="shared" si="33"/>
        <v>Cloudy</v>
      </c>
      <c r="R760" s="41" t="str">
        <f>IF(I760=1,"Normal",IF(I760=2,"Yellow Alert",IF(I760=3,"Orange Alert",IF(I760=4,"Red Alert"))))</f>
        <v>Yellow Alert</v>
      </c>
      <c r="S760" s="60">
        <f t="shared" si="34"/>
        <v>4</v>
      </c>
      <c r="T760" s="61">
        <f>MONTH(dataset_1!B:B)</f>
        <v>1</v>
      </c>
      <c r="U760" s="61">
        <f t="shared" si="35"/>
        <v>2011</v>
      </c>
      <c r="V760" s="59" t="str">
        <f>TEXT(F760/24,"H AM/PM")</f>
        <v>12 AM</v>
      </c>
      <c r="W760" s="59" t="str">
        <f>IF(H760=6,"Saturday",IF(H760=0,"Sunday",IF(H760=1,"Monday",IF(H760=2,"Tuesday",IF(H760=3,"Wednesday",IF(H760=4,"Thursday",IF(H760=5,"Friday")))))))</f>
        <v>Friday</v>
      </c>
      <c r="X760" s="59" t="str">
        <f>IF(G760=FALSE,"Working day", IF(G760=TRUE,"Holiday"))</f>
        <v>Working day</v>
      </c>
    </row>
    <row r="761" spans="1:24" x14ac:dyDescent="0.25">
      <c r="A761" s="32">
        <v>760</v>
      </c>
      <c r="B761" s="33">
        <v>40578</v>
      </c>
      <c r="C761" s="26">
        <v>1</v>
      </c>
      <c r="D761" s="26">
        <v>0</v>
      </c>
      <c r="E761" s="26">
        <v>2</v>
      </c>
      <c r="F761" s="26">
        <v>1</v>
      </c>
      <c r="G761" s="26" t="b">
        <v>0</v>
      </c>
      <c r="H761" s="26">
        <v>5</v>
      </c>
      <c r="I761" s="26">
        <v>2</v>
      </c>
      <c r="J761" s="26">
        <v>0.16</v>
      </c>
      <c r="K761" s="26">
        <v>0.2273</v>
      </c>
      <c r="L761" s="26">
        <v>0.59</v>
      </c>
      <c r="M761">
        <v>0</v>
      </c>
      <c r="N761" s="26">
        <v>0</v>
      </c>
      <c r="O761" s="26">
        <v>7</v>
      </c>
      <c r="P761" s="26">
        <v>7</v>
      </c>
      <c r="Q761" s="34" t="str">
        <f t="shared" si="33"/>
        <v>Cloudy</v>
      </c>
      <c r="R761" s="41" t="str">
        <f>IF(I761=1,"Normal",IF(I761=2,"Yellow Alert",IF(I761=3,"Orange Alert",IF(I761=4,"Red Alert"))))</f>
        <v>Yellow Alert</v>
      </c>
      <c r="S761" s="60">
        <f t="shared" si="34"/>
        <v>4</v>
      </c>
      <c r="T761" s="61">
        <f>MONTH(dataset_1!B:B)</f>
        <v>1</v>
      </c>
      <c r="U761" s="61">
        <f t="shared" si="35"/>
        <v>2011</v>
      </c>
      <c r="V761" s="59" t="str">
        <f>TEXT(F761/24,"H AM/PM")</f>
        <v>1 AM</v>
      </c>
      <c r="W761" s="59" t="str">
        <f>IF(H761=6,"Saturday",IF(H761=0,"Sunday",IF(H761=1,"Monday",IF(H761=2,"Tuesday",IF(H761=3,"Wednesday",IF(H761=4,"Thursday",IF(H761=5,"Friday")))))))</f>
        <v>Friday</v>
      </c>
      <c r="X761" s="59" t="str">
        <f>IF(G761=FALSE,"Working day", IF(G761=TRUE,"Holiday"))</f>
        <v>Working day</v>
      </c>
    </row>
    <row r="762" spans="1:24" x14ac:dyDescent="0.25">
      <c r="A762" s="32">
        <v>761</v>
      </c>
      <c r="B762" s="33">
        <v>40578</v>
      </c>
      <c r="C762" s="26">
        <v>1</v>
      </c>
      <c r="D762" s="26">
        <v>0</v>
      </c>
      <c r="E762" s="26">
        <v>2</v>
      </c>
      <c r="F762" s="26">
        <v>2</v>
      </c>
      <c r="G762" s="26" t="b">
        <v>0</v>
      </c>
      <c r="H762" s="26">
        <v>5</v>
      </c>
      <c r="I762" s="26">
        <v>2</v>
      </c>
      <c r="J762" s="26">
        <v>0.14000000000000001</v>
      </c>
      <c r="K762" s="26">
        <v>0.16669999999999999</v>
      </c>
      <c r="L762" s="26">
        <v>0.63</v>
      </c>
      <c r="M762">
        <v>0.1045</v>
      </c>
      <c r="N762" s="26">
        <v>0</v>
      </c>
      <c r="O762" s="26">
        <v>1</v>
      </c>
      <c r="P762" s="26">
        <v>1</v>
      </c>
      <c r="Q762" s="34" t="str">
        <f t="shared" si="33"/>
        <v>Cloudy</v>
      </c>
      <c r="R762" s="41" t="str">
        <f>IF(I762=1,"Normal",IF(I762=2,"Yellow Alert",IF(I762=3,"Orange Alert",IF(I762=4,"Red Alert"))))</f>
        <v>Yellow Alert</v>
      </c>
      <c r="S762" s="60">
        <f t="shared" si="34"/>
        <v>4</v>
      </c>
      <c r="T762" s="61">
        <f>MONTH(dataset_1!B:B)</f>
        <v>1</v>
      </c>
      <c r="U762" s="61">
        <f t="shared" si="35"/>
        <v>2011</v>
      </c>
      <c r="V762" s="59" t="str">
        <f>TEXT(F762/24,"H AM/PM")</f>
        <v>2 AM</v>
      </c>
      <c r="W762" s="59" t="str">
        <f>IF(H762=6,"Saturday",IF(H762=0,"Sunday",IF(H762=1,"Monday",IF(H762=2,"Tuesday",IF(H762=3,"Wednesday",IF(H762=4,"Thursday",IF(H762=5,"Friday")))))))</f>
        <v>Friday</v>
      </c>
      <c r="X762" s="59" t="str">
        <f>IF(G762=FALSE,"Working day", IF(G762=TRUE,"Holiday"))</f>
        <v>Working day</v>
      </c>
    </row>
    <row r="763" spans="1:24" x14ac:dyDescent="0.25">
      <c r="A763" s="32">
        <v>762</v>
      </c>
      <c r="B763" s="33">
        <v>40578</v>
      </c>
      <c r="C763" s="26">
        <v>1</v>
      </c>
      <c r="D763" s="26">
        <v>0</v>
      </c>
      <c r="E763" s="26">
        <v>2</v>
      </c>
      <c r="F763" s="26">
        <v>3</v>
      </c>
      <c r="G763" s="26" t="b">
        <v>0</v>
      </c>
      <c r="H763" s="26">
        <v>5</v>
      </c>
      <c r="I763" s="26">
        <v>2</v>
      </c>
      <c r="J763" s="26">
        <v>0.14000000000000001</v>
      </c>
      <c r="K763" s="26">
        <v>0.16669999999999999</v>
      </c>
      <c r="L763" s="26">
        <v>0.63</v>
      </c>
      <c r="M763">
        <v>0.1045</v>
      </c>
      <c r="N763" s="26">
        <v>0</v>
      </c>
      <c r="O763" s="26">
        <v>1</v>
      </c>
      <c r="P763" s="26">
        <v>1</v>
      </c>
      <c r="Q763" s="34" t="str">
        <f t="shared" si="33"/>
        <v>Cloudy</v>
      </c>
      <c r="R763" s="41" t="str">
        <f>IF(I763=1,"Normal",IF(I763=2,"Yellow Alert",IF(I763=3,"Orange Alert",IF(I763=4,"Red Alert"))))</f>
        <v>Yellow Alert</v>
      </c>
      <c r="S763" s="60">
        <f t="shared" si="34"/>
        <v>4</v>
      </c>
      <c r="T763" s="61">
        <f>MONTH(dataset_1!B:B)</f>
        <v>1</v>
      </c>
      <c r="U763" s="61">
        <f t="shared" si="35"/>
        <v>2011</v>
      </c>
      <c r="V763" s="59" t="str">
        <f>TEXT(F763/24,"H AM/PM")</f>
        <v>3 AM</v>
      </c>
      <c r="W763" s="59" t="str">
        <f>IF(H763=6,"Saturday",IF(H763=0,"Sunday",IF(H763=1,"Monday",IF(H763=2,"Tuesday",IF(H763=3,"Wednesday",IF(H763=4,"Thursday",IF(H763=5,"Friday")))))))</f>
        <v>Friday</v>
      </c>
      <c r="X763" s="59" t="str">
        <f>IF(G763=FALSE,"Working day", IF(G763=TRUE,"Holiday"))</f>
        <v>Working day</v>
      </c>
    </row>
    <row r="764" spans="1:24" x14ac:dyDescent="0.25">
      <c r="A764" s="32">
        <v>763</v>
      </c>
      <c r="B764" s="33">
        <v>40578</v>
      </c>
      <c r="C764" s="26">
        <v>1</v>
      </c>
      <c r="D764" s="26">
        <v>0</v>
      </c>
      <c r="E764" s="26">
        <v>2</v>
      </c>
      <c r="F764" s="26">
        <v>5</v>
      </c>
      <c r="G764" s="26" t="b">
        <v>0</v>
      </c>
      <c r="H764" s="26">
        <v>5</v>
      </c>
      <c r="I764" s="26">
        <v>2</v>
      </c>
      <c r="J764" s="26">
        <v>0.14000000000000001</v>
      </c>
      <c r="K764" s="26">
        <v>0.1515</v>
      </c>
      <c r="L764" s="26">
        <v>0.63</v>
      </c>
      <c r="M764">
        <v>0.1343</v>
      </c>
      <c r="N764" s="26">
        <v>0</v>
      </c>
      <c r="O764" s="26">
        <v>7</v>
      </c>
      <c r="P764" s="26">
        <v>7</v>
      </c>
      <c r="Q764" s="34" t="str">
        <f t="shared" si="33"/>
        <v>Cloudy</v>
      </c>
      <c r="R764" s="41" t="str">
        <f>IF(I764=1,"Normal",IF(I764=2,"Yellow Alert",IF(I764=3,"Orange Alert",IF(I764=4,"Red Alert"))))</f>
        <v>Yellow Alert</v>
      </c>
      <c r="S764" s="60">
        <f t="shared" si="34"/>
        <v>4</v>
      </c>
      <c r="T764" s="61">
        <f>MONTH(dataset_1!B:B)</f>
        <v>1</v>
      </c>
      <c r="U764" s="61">
        <f t="shared" si="35"/>
        <v>2011</v>
      </c>
      <c r="V764" s="59" t="str">
        <f>TEXT(F764/24,"H AM/PM")</f>
        <v>5 AM</v>
      </c>
      <c r="W764" s="59" t="str">
        <f>IF(H764=6,"Saturday",IF(H764=0,"Sunday",IF(H764=1,"Monday",IF(H764=2,"Tuesday",IF(H764=3,"Wednesday",IF(H764=4,"Thursday",IF(H764=5,"Friday")))))))</f>
        <v>Friday</v>
      </c>
      <c r="X764" s="59" t="str">
        <f>IF(G764=FALSE,"Working day", IF(G764=TRUE,"Holiday"))</f>
        <v>Working day</v>
      </c>
    </row>
    <row r="765" spans="1:24" x14ac:dyDescent="0.25">
      <c r="A765" s="32">
        <v>764</v>
      </c>
      <c r="B765" s="33">
        <v>40578</v>
      </c>
      <c r="C765" s="26">
        <v>1</v>
      </c>
      <c r="D765" s="26">
        <v>0</v>
      </c>
      <c r="E765" s="26">
        <v>2</v>
      </c>
      <c r="F765" s="26">
        <v>6</v>
      </c>
      <c r="G765" s="26" t="b">
        <v>0</v>
      </c>
      <c r="H765" s="26">
        <v>5</v>
      </c>
      <c r="I765" s="26">
        <v>2</v>
      </c>
      <c r="J765" s="26">
        <v>0.16</v>
      </c>
      <c r="K765" s="26">
        <v>0.2273</v>
      </c>
      <c r="L765" s="26">
        <v>0.55000000000000004</v>
      </c>
      <c r="M765">
        <v>0</v>
      </c>
      <c r="N765" s="26">
        <v>2</v>
      </c>
      <c r="O765" s="26">
        <v>26</v>
      </c>
      <c r="P765" s="26">
        <v>28</v>
      </c>
      <c r="Q765" s="34" t="str">
        <f t="shared" si="33"/>
        <v>Cloudy</v>
      </c>
      <c r="R765" s="41" t="str">
        <f>IF(I765=1,"Normal",IF(I765=2,"Yellow Alert",IF(I765=3,"Orange Alert",IF(I765=4,"Red Alert"))))</f>
        <v>Yellow Alert</v>
      </c>
      <c r="S765" s="60">
        <f t="shared" si="34"/>
        <v>4</v>
      </c>
      <c r="T765" s="61">
        <f>MONTH(dataset_1!B:B)</f>
        <v>1</v>
      </c>
      <c r="U765" s="61">
        <f t="shared" si="35"/>
        <v>2011</v>
      </c>
      <c r="V765" s="59" t="str">
        <f>TEXT(F765/24,"H AM/PM")</f>
        <v>6 AM</v>
      </c>
      <c r="W765" s="59" t="str">
        <f>IF(H765=6,"Saturday",IF(H765=0,"Sunday",IF(H765=1,"Monday",IF(H765=2,"Tuesday",IF(H765=3,"Wednesday",IF(H765=4,"Thursday",IF(H765=5,"Friday")))))))</f>
        <v>Friday</v>
      </c>
      <c r="X765" s="59" t="str">
        <f>IF(G765=FALSE,"Working day", IF(G765=TRUE,"Holiday"))</f>
        <v>Working day</v>
      </c>
    </row>
    <row r="766" spans="1:24" x14ac:dyDescent="0.25">
      <c r="A766" s="32">
        <v>765</v>
      </c>
      <c r="B766" s="33">
        <v>40578</v>
      </c>
      <c r="C766" s="26">
        <v>1</v>
      </c>
      <c r="D766" s="26">
        <v>0</v>
      </c>
      <c r="E766" s="26">
        <v>2</v>
      </c>
      <c r="F766" s="26">
        <v>7</v>
      </c>
      <c r="G766" s="26" t="b">
        <v>0</v>
      </c>
      <c r="H766" s="26">
        <v>5</v>
      </c>
      <c r="I766" s="26">
        <v>1</v>
      </c>
      <c r="J766" s="26">
        <v>0.14000000000000001</v>
      </c>
      <c r="K766" s="26">
        <v>0.21210000000000001</v>
      </c>
      <c r="L766" s="26">
        <v>0.59</v>
      </c>
      <c r="M766">
        <v>0</v>
      </c>
      <c r="N766" s="26">
        <v>0</v>
      </c>
      <c r="O766" s="26">
        <v>87</v>
      </c>
      <c r="P766" s="26">
        <v>87</v>
      </c>
      <c r="Q766" s="34" t="str">
        <f t="shared" si="33"/>
        <v>Clear</v>
      </c>
      <c r="R766" s="41" t="str">
        <f>IF(I766=1,"Normal",IF(I766=2,"Yellow Alert",IF(I766=3,"Orange Alert",IF(I766=4,"Red Alert"))))</f>
        <v>Normal</v>
      </c>
      <c r="S766" s="60">
        <f t="shared" si="34"/>
        <v>4</v>
      </c>
      <c r="T766" s="61">
        <f>MONTH(dataset_1!B:B)</f>
        <v>1</v>
      </c>
      <c r="U766" s="61">
        <f t="shared" si="35"/>
        <v>2011</v>
      </c>
      <c r="V766" s="59" t="str">
        <f>TEXT(F766/24,"H AM/PM")</f>
        <v>7 AM</v>
      </c>
      <c r="W766" s="59" t="str">
        <f>IF(H766=6,"Saturday",IF(H766=0,"Sunday",IF(H766=1,"Monday",IF(H766=2,"Tuesday",IF(H766=3,"Wednesday",IF(H766=4,"Thursday",IF(H766=5,"Friday")))))))</f>
        <v>Friday</v>
      </c>
      <c r="X766" s="59" t="str">
        <f>IF(G766=FALSE,"Working day", IF(G766=TRUE,"Holiday"))</f>
        <v>Working day</v>
      </c>
    </row>
    <row r="767" spans="1:24" x14ac:dyDescent="0.25">
      <c r="A767" s="32">
        <v>766</v>
      </c>
      <c r="B767" s="33">
        <v>40578</v>
      </c>
      <c r="C767" s="26">
        <v>1</v>
      </c>
      <c r="D767" s="26">
        <v>0</v>
      </c>
      <c r="E767" s="26">
        <v>2</v>
      </c>
      <c r="F767" s="26">
        <v>8</v>
      </c>
      <c r="G767" s="26" t="b">
        <v>0</v>
      </c>
      <c r="H767" s="26">
        <v>5</v>
      </c>
      <c r="I767" s="26">
        <v>1</v>
      </c>
      <c r="J767" s="26">
        <v>0.14000000000000001</v>
      </c>
      <c r="K767" s="26">
        <v>0.1515</v>
      </c>
      <c r="L767" s="26">
        <v>0.74</v>
      </c>
      <c r="M767">
        <v>0.1343</v>
      </c>
      <c r="N767" s="26">
        <v>3</v>
      </c>
      <c r="O767" s="26">
        <v>217</v>
      </c>
      <c r="P767" s="26">
        <v>220</v>
      </c>
      <c r="Q767" s="34" t="str">
        <f t="shared" si="33"/>
        <v>Clear</v>
      </c>
      <c r="R767" s="41" t="str">
        <f>IF(I767=1,"Normal",IF(I767=2,"Yellow Alert",IF(I767=3,"Orange Alert",IF(I767=4,"Red Alert"))))</f>
        <v>Normal</v>
      </c>
      <c r="S767" s="60">
        <f t="shared" si="34"/>
        <v>4</v>
      </c>
      <c r="T767" s="61">
        <f>MONTH(dataset_1!B:B)</f>
        <v>1</v>
      </c>
      <c r="U767" s="61">
        <f t="shared" si="35"/>
        <v>2011</v>
      </c>
      <c r="V767" s="59" t="str">
        <f>TEXT(F767/24,"H AM/PM")</f>
        <v>8 AM</v>
      </c>
      <c r="W767" s="59" t="str">
        <f>IF(H767=6,"Saturday",IF(H767=0,"Sunday",IF(H767=1,"Monday",IF(H767=2,"Tuesday",IF(H767=3,"Wednesday",IF(H767=4,"Thursday",IF(H767=5,"Friday")))))))</f>
        <v>Friday</v>
      </c>
      <c r="X767" s="59" t="str">
        <f>IF(G767=FALSE,"Working day", IF(G767=TRUE,"Holiday"))</f>
        <v>Working day</v>
      </c>
    </row>
    <row r="768" spans="1:24" x14ac:dyDescent="0.25">
      <c r="A768" s="32">
        <v>767</v>
      </c>
      <c r="B768" s="33">
        <v>40578</v>
      </c>
      <c r="C768" s="26">
        <v>1</v>
      </c>
      <c r="D768" s="26">
        <v>0</v>
      </c>
      <c r="E768" s="26">
        <v>2</v>
      </c>
      <c r="F768" s="26">
        <v>9</v>
      </c>
      <c r="G768" s="26" t="b">
        <v>0</v>
      </c>
      <c r="H768" s="26">
        <v>5</v>
      </c>
      <c r="I768" s="26">
        <v>2</v>
      </c>
      <c r="J768" s="26">
        <v>0.16</v>
      </c>
      <c r="K768" s="26">
        <v>0.18179999999999999</v>
      </c>
      <c r="L768" s="26">
        <v>0.8</v>
      </c>
      <c r="M768">
        <v>0.1343</v>
      </c>
      <c r="N768" s="26">
        <v>3</v>
      </c>
      <c r="O768" s="26">
        <v>124</v>
      </c>
      <c r="P768" s="26">
        <v>127</v>
      </c>
      <c r="Q768" s="34" t="str">
        <f t="shared" si="33"/>
        <v>Cloudy</v>
      </c>
      <c r="R768" s="41" t="str">
        <f>IF(I768=1,"Normal",IF(I768=2,"Yellow Alert",IF(I768=3,"Orange Alert",IF(I768=4,"Red Alert"))))</f>
        <v>Yellow Alert</v>
      </c>
      <c r="S768" s="60">
        <f t="shared" si="34"/>
        <v>4</v>
      </c>
      <c r="T768" s="61">
        <f>MONTH(dataset_1!B:B)</f>
        <v>1</v>
      </c>
      <c r="U768" s="61">
        <f t="shared" si="35"/>
        <v>2011</v>
      </c>
      <c r="V768" s="59" t="str">
        <f>TEXT(F768/24,"H AM/PM")</f>
        <v>9 AM</v>
      </c>
      <c r="W768" s="59" t="str">
        <f>IF(H768=6,"Saturday",IF(H768=0,"Sunday",IF(H768=1,"Monday",IF(H768=2,"Tuesday",IF(H768=3,"Wednesday",IF(H768=4,"Thursday",IF(H768=5,"Friday")))))))</f>
        <v>Friday</v>
      </c>
      <c r="X768" s="59" t="str">
        <f>IF(G768=FALSE,"Working day", IF(G768=TRUE,"Holiday"))</f>
        <v>Working day</v>
      </c>
    </row>
    <row r="769" spans="1:24" x14ac:dyDescent="0.25">
      <c r="A769" s="32">
        <v>768</v>
      </c>
      <c r="B769" s="33">
        <v>40578</v>
      </c>
      <c r="C769" s="26">
        <v>1</v>
      </c>
      <c r="D769" s="26">
        <v>0</v>
      </c>
      <c r="E769" s="26">
        <v>2</v>
      </c>
      <c r="F769" s="26">
        <v>10</v>
      </c>
      <c r="G769" s="26" t="b">
        <v>0</v>
      </c>
      <c r="H769" s="26">
        <v>5</v>
      </c>
      <c r="I769" s="26">
        <v>2</v>
      </c>
      <c r="J769" s="26">
        <v>0.2</v>
      </c>
      <c r="K769" s="26">
        <v>0.21210000000000001</v>
      </c>
      <c r="L769" s="26">
        <v>0.51</v>
      </c>
      <c r="M769">
        <v>0.1343</v>
      </c>
      <c r="N769" s="26">
        <v>5</v>
      </c>
      <c r="O769" s="26">
        <v>46</v>
      </c>
      <c r="P769" s="26">
        <v>51</v>
      </c>
      <c r="Q769" s="34" t="str">
        <f t="shared" si="33"/>
        <v>Cloudy</v>
      </c>
      <c r="R769" s="41" t="str">
        <f>IF(I769=1,"Normal",IF(I769=2,"Yellow Alert",IF(I769=3,"Orange Alert",IF(I769=4,"Red Alert"))))</f>
        <v>Yellow Alert</v>
      </c>
      <c r="S769" s="60">
        <f t="shared" si="34"/>
        <v>4</v>
      </c>
      <c r="T769" s="61">
        <f>MONTH(dataset_1!B:B)</f>
        <v>1</v>
      </c>
      <c r="U769" s="61">
        <f t="shared" si="35"/>
        <v>2011</v>
      </c>
      <c r="V769" s="59" t="str">
        <f>TEXT(F769/24,"H AM/PM")</f>
        <v>10 AM</v>
      </c>
      <c r="W769" s="59" t="str">
        <f>IF(H769=6,"Saturday",IF(H769=0,"Sunday",IF(H769=1,"Monday",IF(H769=2,"Tuesday",IF(H769=3,"Wednesday",IF(H769=4,"Thursday",IF(H769=5,"Friday")))))))</f>
        <v>Friday</v>
      </c>
      <c r="X769" s="59" t="str">
        <f>IF(G769=FALSE,"Working day", IF(G769=TRUE,"Holiday"))</f>
        <v>Working day</v>
      </c>
    </row>
    <row r="770" spans="1:24" x14ac:dyDescent="0.25">
      <c r="A770" s="32">
        <v>769</v>
      </c>
      <c r="B770" s="33">
        <v>40578</v>
      </c>
      <c r="C770" s="26">
        <v>1</v>
      </c>
      <c r="D770" s="26">
        <v>0</v>
      </c>
      <c r="E770" s="26">
        <v>2</v>
      </c>
      <c r="F770" s="26">
        <v>11</v>
      </c>
      <c r="G770" s="26" t="b">
        <v>0</v>
      </c>
      <c r="H770" s="26">
        <v>5</v>
      </c>
      <c r="I770" s="26">
        <v>1</v>
      </c>
      <c r="J770" s="26">
        <v>0.22</v>
      </c>
      <c r="K770" s="26">
        <v>0.2273</v>
      </c>
      <c r="L770" s="26">
        <v>0.51</v>
      </c>
      <c r="M770">
        <v>0.16420000000000001</v>
      </c>
      <c r="N770" s="26">
        <v>3</v>
      </c>
      <c r="O770" s="26">
        <v>61</v>
      </c>
      <c r="P770" s="26">
        <v>64</v>
      </c>
      <c r="Q770" s="34" t="str">
        <f t="shared" ref="Q770:Q833" si="36">IF(I770=1,"Clear",IF(I770=2,"Cloudy",IF(I770=3,"Light Rain",IF(I770=4,"Heavy Rain"))))</f>
        <v>Clear</v>
      </c>
      <c r="R770" s="41" t="str">
        <f>IF(I770=1,"Normal",IF(I770=2,"Yellow Alert",IF(I770=3,"Orange Alert",IF(I770=4,"Red Alert"))))</f>
        <v>Normal</v>
      </c>
      <c r="S770" s="60">
        <f t="shared" ref="S770:S833" si="37">DAY(B:B)</f>
        <v>4</v>
      </c>
      <c r="T770" s="61">
        <f>MONTH(dataset_1!B:B)</f>
        <v>1</v>
      </c>
      <c r="U770" s="61">
        <f t="shared" ref="U770:U833" si="38">YEAR(B:B)</f>
        <v>2011</v>
      </c>
      <c r="V770" s="59" t="str">
        <f>TEXT(F770/24,"H AM/PM")</f>
        <v>11 AM</v>
      </c>
      <c r="W770" s="59" t="str">
        <f>IF(H770=6,"Saturday",IF(H770=0,"Sunday",IF(H770=1,"Monday",IF(H770=2,"Tuesday",IF(H770=3,"Wednesday",IF(H770=4,"Thursday",IF(H770=5,"Friday")))))))</f>
        <v>Friday</v>
      </c>
      <c r="X770" s="59" t="str">
        <f>IF(G770=FALSE,"Working day", IF(G770=TRUE,"Holiday"))</f>
        <v>Working day</v>
      </c>
    </row>
    <row r="771" spans="1:24" x14ac:dyDescent="0.25">
      <c r="A771" s="32">
        <v>770</v>
      </c>
      <c r="B771" s="33">
        <v>40578</v>
      </c>
      <c r="C771" s="26">
        <v>1</v>
      </c>
      <c r="D771" s="26">
        <v>0</v>
      </c>
      <c r="E771" s="26">
        <v>2</v>
      </c>
      <c r="F771" s="26">
        <v>12</v>
      </c>
      <c r="G771" s="26" t="b">
        <v>0</v>
      </c>
      <c r="H771" s="26">
        <v>5</v>
      </c>
      <c r="I771" s="26">
        <v>2</v>
      </c>
      <c r="J771" s="26">
        <v>0.24</v>
      </c>
      <c r="K771" s="26">
        <v>0.2424</v>
      </c>
      <c r="L771" s="26">
        <v>0.48</v>
      </c>
      <c r="M771">
        <v>0.16420000000000001</v>
      </c>
      <c r="N771" s="26">
        <v>8</v>
      </c>
      <c r="O771" s="26">
        <v>78</v>
      </c>
      <c r="P771" s="26">
        <v>86</v>
      </c>
      <c r="Q771" s="34" t="str">
        <f t="shared" si="36"/>
        <v>Cloudy</v>
      </c>
      <c r="R771" s="41" t="str">
        <f>IF(I771=1,"Normal",IF(I771=2,"Yellow Alert",IF(I771=3,"Orange Alert",IF(I771=4,"Red Alert"))))</f>
        <v>Yellow Alert</v>
      </c>
      <c r="S771" s="60">
        <f t="shared" si="37"/>
        <v>4</v>
      </c>
      <c r="T771" s="61">
        <f>MONTH(dataset_1!B:B)</f>
        <v>1</v>
      </c>
      <c r="U771" s="61">
        <f t="shared" si="38"/>
        <v>2011</v>
      </c>
      <c r="V771" s="59" t="str">
        <f>TEXT(F771/24,"H AM/PM")</f>
        <v>12 PM</v>
      </c>
      <c r="W771" s="59" t="str">
        <f>IF(H771=6,"Saturday",IF(H771=0,"Sunday",IF(H771=1,"Monday",IF(H771=2,"Tuesday",IF(H771=3,"Wednesday",IF(H771=4,"Thursday",IF(H771=5,"Friday")))))))</f>
        <v>Friday</v>
      </c>
      <c r="X771" s="59" t="str">
        <f>IF(G771=FALSE,"Working day", IF(G771=TRUE,"Holiday"))</f>
        <v>Working day</v>
      </c>
    </row>
    <row r="772" spans="1:24" x14ac:dyDescent="0.25">
      <c r="A772" s="32">
        <v>771</v>
      </c>
      <c r="B772" s="33">
        <v>40578</v>
      </c>
      <c r="C772" s="26">
        <v>1</v>
      </c>
      <c r="D772" s="26">
        <v>0</v>
      </c>
      <c r="E772" s="26">
        <v>2</v>
      </c>
      <c r="F772" s="26">
        <v>13</v>
      </c>
      <c r="G772" s="26" t="b">
        <v>0</v>
      </c>
      <c r="H772" s="26">
        <v>5</v>
      </c>
      <c r="I772" s="26">
        <v>2</v>
      </c>
      <c r="J772" s="26">
        <v>0.26</v>
      </c>
      <c r="K772" s="26">
        <v>0.2576</v>
      </c>
      <c r="L772" s="26">
        <v>0.5</v>
      </c>
      <c r="M772">
        <v>0.22389999999999999</v>
      </c>
      <c r="N772" s="26">
        <v>9</v>
      </c>
      <c r="O772" s="26">
        <v>73</v>
      </c>
      <c r="P772" s="26">
        <v>82</v>
      </c>
      <c r="Q772" s="34" t="str">
        <f t="shared" si="36"/>
        <v>Cloudy</v>
      </c>
      <c r="R772" s="41" t="str">
        <f>IF(I772=1,"Normal",IF(I772=2,"Yellow Alert",IF(I772=3,"Orange Alert",IF(I772=4,"Red Alert"))))</f>
        <v>Yellow Alert</v>
      </c>
      <c r="S772" s="60">
        <f t="shared" si="37"/>
        <v>4</v>
      </c>
      <c r="T772" s="61">
        <f>MONTH(dataset_1!B:B)</f>
        <v>1</v>
      </c>
      <c r="U772" s="61">
        <f t="shared" si="38"/>
        <v>2011</v>
      </c>
      <c r="V772" s="59" t="str">
        <f>TEXT(F772/24,"H AM/PM")</f>
        <v>1 PM</v>
      </c>
      <c r="W772" s="59" t="str">
        <f>IF(H772=6,"Saturday",IF(H772=0,"Sunday",IF(H772=1,"Monday",IF(H772=2,"Tuesday",IF(H772=3,"Wednesday",IF(H772=4,"Thursday",IF(H772=5,"Friday")))))))</f>
        <v>Friday</v>
      </c>
      <c r="X772" s="59" t="str">
        <f>IF(G772=FALSE,"Working day", IF(G772=TRUE,"Holiday"))</f>
        <v>Working day</v>
      </c>
    </row>
    <row r="773" spans="1:24" x14ac:dyDescent="0.25">
      <c r="A773" s="32">
        <v>772</v>
      </c>
      <c r="B773" s="33">
        <v>40578</v>
      </c>
      <c r="C773" s="26">
        <v>1</v>
      </c>
      <c r="D773" s="26">
        <v>0</v>
      </c>
      <c r="E773" s="26">
        <v>2</v>
      </c>
      <c r="F773" s="26">
        <v>14</v>
      </c>
      <c r="G773" s="26" t="b">
        <v>0</v>
      </c>
      <c r="H773" s="26">
        <v>5</v>
      </c>
      <c r="I773" s="26">
        <v>2</v>
      </c>
      <c r="J773" s="26">
        <v>0.28000000000000003</v>
      </c>
      <c r="K773" s="26">
        <v>0.2727</v>
      </c>
      <c r="L773" s="26">
        <v>0.45</v>
      </c>
      <c r="M773">
        <v>0.16420000000000001</v>
      </c>
      <c r="N773" s="26">
        <v>15</v>
      </c>
      <c r="O773" s="26">
        <v>76</v>
      </c>
      <c r="P773" s="26">
        <v>91</v>
      </c>
      <c r="Q773" s="34" t="str">
        <f t="shared" si="36"/>
        <v>Cloudy</v>
      </c>
      <c r="R773" s="41" t="str">
        <f>IF(I773=1,"Normal",IF(I773=2,"Yellow Alert",IF(I773=3,"Orange Alert",IF(I773=4,"Red Alert"))))</f>
        <v>Yellow Alert</v>
      </c>
      <c r="S773" s="60">
        <f t="shared" si="37"/>
        <v>4</v>
      </c>
      <c r="T773" s="61">
        <f>MONTH(dataset_1!B:B)</f>
        <v>1</v>
      </c>
      <c r="U773" s="61">
        <f t="shared" si="38"/>
        <v>2011</v>
      </c>
      <c r="V773" s="59" t="str">
        <f>TEXT(F773/24,"H AM/PM")</f>
        <v>2 PM</v>
      </c>
      <c r="W773" s="59" t="str">
        <f>IF(H773=6,"Saturday",IF(H773=0,"Sunday",IF(H773=1,"Monday",IF(H773=2,"Tuesday",IF(H773=3,"Wednesday",IF(H773=4,"Thursday",IF(H773=5,"Friday")))))))</f>
        <v>Friday</v>
      </c>
      <c r="X773" s="59" t="str">
        <f>IF(G773=FALSE,"Working day", IF(G773=TRUE,"Holiday"))</f>
        <v>Working day</v>
      </c>
    </row>
    <row r="774" spans="1:24" x14ac:dyDescent="0.25">
      <c r="A774" s="32">
        <v>773</v>
      </c>
      <c r="B774" s="33">
        <v>40578</v>
      </c>
      <c r="C774" s="26">
        <v>1</v>
      </c>
      <c r="D774" s="26">
        <v>0</v>
      </c>
      <c r="E774" s="26">
        <v>2</v>
      </c>
      <c r="F774" s="26">
        <v>15</v>
      </c>
      <c r="G774" s="26" t="b">
        <v>0</v>
      </c>
      <c r="H774" s="26">
        <v>5</v>
      </c>
      <c r="I774" s="26">
        <v>2</v>
      </c>
      <c r="J774" s="26">
        <v>0.28000000000000003</v>
      </c>
      <c r="K774" s="26">
        <v>0.2727</v>
      </c>
      <c r="L774" s="26">
        <v>0.48</v>
      </c>
      <c r="M774">
        <v>0.25369999999999998</v>
      </c>
      <c r="N774" s="26">
        <v>9</v>
      </c>
      <c r="O774" s="26">
        <v>81</v>
      </c>
      <c r="P774" s="26">
        <v>90</v>
      </c>
      <c r="Q774" s="34" t="str">
        <f t="shared" si="36"/>
        <v>Cloudy</v>
      </c>
      <c r="R774" s="41" t="str">
        <f>IF(I774=1,"Normal",IF(I774=2,"Yellow Alert",IF(I774=3,"Orange Alert",IF(I774=4,"Red Alert"))))</f>
        <v>Yellow Alert</v>
      </c>
      <c r="S774" s="60">
        <f t="shared" si="37"/>
        <v>4</v>
      </c>
      <c r="T774" s="61">
        <f>MONTH(dataset_1!B:B)</f>
        <v>1</v>
      </c>
      <c r="U774" s="61">
        <f t="shared" si="38"/>
        <v>2011</v>
      </c>
      <c r="V774" s="59" t="str">
        <f>TEXT(F774/24,"H AM/PM")</f>
        <v>3 PM</v>
      </c>
      <c r="W774" s="59" t="str">
        <f>IF(H774=6,"Saturday",IF(H774=0,"Sunday",IF(H774=1,"Monday",IF(H774=2,"Tuesday",IF(H774=3,"Wednesday",IF(H774=4,"Thursday",IF(H774=5,"Friday")))))))</f>
        <v>Friday</v>
      </c>
      <c r="X774" s="59" t="str">
        <f>IF(G774=FALSE,"Working day", IF(G774=TRUE,"Holiday"))</f>
        <v>Working day</v>
      </c>
    </row>
    <row r="775" spans="1:24" x14ac:dyDescent="0.25">
      <c r="A775" s="32">
        <v>774</v>
      </c>
      <c r="B775" s="33">
        <v>40578</v>
      </c>
      <c r="C775" s="26">
        <v>1</v>
      </c>
      <c r="D775" s="26">
        <v>0</v>
      </c>
      <c r="E775" s="26">
        <v>2</v>
      </c>
      <c r="F775" s="26">
        <v>16</v>
      </c>
      <c r="G775" s="26" t="b">
        <v>0</v>
      </c>
      <c r="H775" s="26">
        <v>5</v>
      </c>
      <c r="I775" s="26">
        <v>2</v>
      </c>
      <c r="J775" s="26">
        <v>0.3</v>
      </c>
      <c r="K775" s="26">
        <v>0.28789999999999999</v>
      </c>
      <c r="L775" s="26">
        <v>0.42</v>
      </c>
      <c r="M775">
        <v>0.22389999999999999</v>
      </c>
      <c r="N775" s="26">
        <v>8</v>
      </c>
      <c r="O775" s="26">
        <v>91</v>
      </c>
      <c r="P775" s="26">
        <v>99</v>
      </c>
      <c r="Q775" s="34" t="str">
        <f t="shared" si="36"/>
        <v>Cloudy</v>
      </c>
      <c r="R775" s="41" t="str">
        <f>IF(I775=1,"Normal",IF(I775=2,"Yellow Alert",IF(I775=3,"Orange Alert",IF(I775=4,"Red Alert"))))</f>
        <v>Yellow Alert</v>
      </c>
      <c r="S775" s="60">
        <f t="shared" si="37"/>
        <v>4</v>
      </c>
      <c r="T775" s="61">
        <f>MONTH(dataset_1!B:B)</f>
        <v>1</v>
      </c>
      <c r="U775" s="61">
        <f t="shared" si="38"/>
        <v>2011</v>
      </c>
      <c r="V775" s="59" t="str">
        <f>TEXT(F775/24,"H AM/PM")</f>
        <v>4 PM</v>
      </c>
      <c r="W775" s="59" t="str">
        <f>IF(H775=6,"Saturday",IF(H775=0,"Sunday",IF(H775=1,"Monday",IF(H775=2,"Tuesday",IF(H775=3,"Wednesday",IF(H775=4,"Thursday",IF(H775=5,"Friday")))))))</f>
        <v>Friday</v>
      </c>
      <c r="X775" s="59" t="str">
        <f>IF(G775=FALSE,"Working day", IF(G775=TRUE,"Holiday"))</f>
        <v>Working day</v>
      </c>
    </row>
    <row r="776" spans="1:24" x14ac:dyDescent="0.25">
      <c r="A776" s="32">
        <v>775</v>
      </c>
      <c r="B776" s="33">
        <v>40578</v>
      </c>
      <c r="C776" s="26">
        <v>1</v>
      </c>
      <c r="D776" s="26">
        <v>0</v>
      </c>
      <c r="E776" s="26">
        <v>2</v>
      </c>
      <c r="F776" s="26">
        <v>17</v>
      </c>
      <c r="G776" s="26" t="b">
        <v>0</v>
      </c>
      <c r="H776" s="26">
        <v>5</v>
      </c>
      <c r="I776" s="26">
        <v>2</v>
      </c>
      <c r="J776" s="26">
        <v>0.26</v>
      </c>
      <c r="K776" s="26">
        <v>0.2727</v>
      </c>
      <c r="L776" s="26">
        <v>0.56000000000000005</v>
      </c>
      <c r="M776">
        <v>0.1343</v>
      </c>
      <c r="N776" s="26">
        <v>10</v>
      </c>
      <c r="O776" s="26">
        <v>195</v>
      </c>
      <c r="P776" s="26">
        <v>205</v>
      </c>
      <c r="Q776" s="34" t="str">
        <f t="shared" si="36"/>
        <v>Cloudy</v>
      </c>
      <c r="R776" s="41" t="str">
        <f>IF(I776=1,"Normal",IF(I776=2,"Yellow Alert",IF(I776=3,"Orange Alert",IF(I776=4,"Red Alert"))))</f>
        <v>Yellow Alert</v>
      </c>
      <c r="S776" s="60">
        <f t="shared" si="37"/>
        <v>4</v>
      </c>
      <c r="T776" s="61">
        <f>MONTH(dataset_1!B:B)</f>
        <v>1</v>
      </c>
      <c r="U776" s="61">
        <f t="shared" si="38"/>
        <v>2011</v>
      </c>
      <c r="V776" s="59" t="str">
        <f>TEXT(F776/24,"H AM/PM")</f>
        <v>5 PM</v>
      </c>
      <c r="W776" s="59" t="str">
        <f>IF(H776=6,"Saturday",IF(H776=0,"Sunday",IF(H776=1,"Monday",IF(H776=2,"Tuesday",IF(H776=3,"Wednesday",IF(H776=4,"Thursday",IF(H776=5,"Friday")))))))</f>
        <v>Friday</v>
      </c>
      <c r="X776" s="59" t="str">
        <f>IF(G776=FALSE,"Working day", IF(G776=TRUE,"Holiday"))</f>
        <v>Working day</v>
      </c>
    </row>
    <row r="777" spans="1:24" x14ac:dyDescent="0.25">
      <c r="A777" s="32">
        <v>776</v>
      </c>
      <c r="B777" s="33">
        <v>40578</v>
      </c>
      <c r="C777" s="26">
        <v>1</v>
      </c>
      <c r="D777" s="26">
        <v>0</v>
      </c>
      <c r="E777" s="26">
        <v>2</v>
      </c>
      <c r="F777" s="26">
        <v>18</v>
      </c>
      <c r="G777" s="26" t="b">
        <v>0</v>
      </c>
      <c r="H777" s="26">
        <v>5</v>
      </c>
      <c r="I777" s="26">
        <v>2</v>
      </c>
      <c r="J777" s="26">
        <v>0.24</v>
      </c>
      <c r="K777" s="26">
        <v>0.2576</v>
      </c>
      <c r="L777" s="26">
        <v>0.6</v>
      </c>
      <c r="M777">
        <v>0.1045</v>
      </c>
      <c r="N777" s="26">
        <v>3</v>
      </c>
      <c r="O777" s="26">
        <v>152</v>
      </c>
      <c r="P777" s="26">
        <v>155</v>
      </c>
      <c r="Q777" s="34" t="str">
        <f t="shared" si="36"/>
        <v>Cloudy</v>
      </c>
      <c r="R777" s="41" t="str">
        <f>IF(I777=1,"Normal",IF(I777=2,"Yellow Alert",IF(I777=3,"Orange Alert",IF(I777=4,"Red Alert"))))</f>
        <v>Yellow Alert</v>
      </c>
      <c r="S777" s="60">
        <f t="shared" si="37"/>
        <v>4</v>
      </c>
      <c r="T777" s="61">
        <f>MONTH(dataset_1!B:B)</f>
        <v>1</v>
      </c>
      <c r="U777" s="61">
        <f t="shared" si="38"/>
        <v>2011</v>
      </c>
      <c r="V777" s="59" t="str">
        <f>TEXT(F777/24,"H AM/PM")</f>
        <v>6 PM</v>
      </c>
      <c r="W777" s="59" t="str">
        <f>IF(H777=6,"Saturday",IF(H777=0,"Sunday",IF(H777=1,"Monday",IF(H777=2,"Tuesday",IF(H777=3,"Wednesday",IF(H777=4,"Thursday",IF(H777=5,"Friday")))))))</f>
        <v>Friday</v>
      </c>
      <c r="X777" s="59" t="str">
        <f>IF(G777=FALSE,"Working day", IF(G777=TRUE,"Holiday"))</f>
        <v>Working day</v>
      </c>
    </row>
    <row r="778" spans="1:24" x14ac:dyDescent="0.25">
      <c r="A778" s="32">
        <v>777</v>
      </c>
      <c r="B778" s="33">
        <v>40578</v>
      </c>
      <c r="C778" s="26">
        <v>1</v>
      </c>
      <c r="D778" s="26">
        <v>0</v>
      </c>
      <c r="E778" s="26">
        <v>2</v>
      </c>
      <c r="F778" s="26">
        <v>19</v>
      </c>
      <c r="G778" s="26" t="b">
        <v>0</v>
      </c>
      <c r="H778" s="26">
        <v>5</v>
      </c>
      <c r="I778" s="26">
        <v>2</v>
      </c>
      <c r="J778" s="26">
        <v>0.24</v>
      </c>
      <c r="K778" s="26">
        <v>0.2424</v>
      </c>
      <c r="L778" s="26">
        <v>0.65</v>
      </c>
      <c r="M778">
        <v>0.1343</v>
      </c>
      <c r="N778" s="26">
        <v>1</v>
      </c>
      <c r="O778" s="26">
        <v>102</v>
      </c>
      <c r="P778" s="26">
        <v>103</v>
      </c>
      <c r="Q778" s="34" t="str">
        <f t="shared" si="36"/>
        <v>Cloudy</v>
      </c>
      <c r="R778" s="41" t="str">
        <f>IF(I778=1,"Normal",IF(I778=2,"Yellow Alert",IF(I778=3,"Orange Alert",IF(I778=4,"Red Alert"))))</f>
        <v>Yellow Alert</v>
      </c>
      <c r="S778" s="60">
        <f t="shared" si="37"/>
        <v>4</v>
      </c>
      <c r="T778" s="61">
        <f>MONTH(dataset_1!B:B)</f>
        <v>1</v>
      </c>
      <c r="U778" s="61">
        <f t="shared" si="38"/>
        <v>2011</v>
      </c>
      <c r="V778" s="59" t="str">
        <f>TEXT(F778/24,"H AM/PM")</f>
        <v>7 PM</v>
      </c>
      <c r="W778" s="59" t="str">
        <f>IF(H778=6,"Saturday",IF(H778=0,"Sunday",IF(H778=1,"Monday",IF(H778=2,"Tuesday",IF(H778=3,"Wednesday",IF(H778=4,"Thursday",IF(H778=5,"Friday")))))))</f>
        <v>Friday</v>
      </c>
      <c r="X778" s="59" t="str">
        <f>IF(G778=FALSE,"Working day", IF(G778=TRUE,"Holiday"))</f>
        <v>Working day</v>
      </c>
    </row>
    <row r="779" spans="1:24" x14ac:dyDescent="0.25">
      <c r="A779" s="32">
        <v>778</v>
      </c>
      <c r="B779" s="33">
        <v>40578</v>
      </c>
      <c r="C779" s="26">
        <v>1</v>
      </c>
      <c r="D779" s="26">
        <v>0</v>
      </c>
      <c r="E779" s="26">
        <v>2</v>
      </c>
      <c r="F779" s="26">
        <v>20</v>
      </c>
      <c r="G779" s="26" t="b">
        <v>0</v>
      </c>
      <c r="H779" s="26">
        <v>5</v>
      </c>
      <c r="I779" s="26">
        <v>2</v>
      </c>
      <c r="J779" s="26">
        <v>0.24</v>
      </c>
      <c r="K779" s="26">
        <v>0.2424</v>
      </c>
      <c r="L779" s="26">
        <v>0.65</v>
      </c>
      <c r="M779">
        <v>0.16420000000000001</v>
      </c>
      <c r="N779" s="26">
        <v>2</v>
      </c>
      <c r="O779" s="26">
        <v>69</v>
      </c>
      <c r="P779" s="26">
        <v>71</v>
      </c>
      <c r="Q779" s="34" t="str">
        <f t="shared" si="36"/>
        <v>Cloudy</v>
      </c>
      <c r="R779" s="41" t="str">
        <f>IF(I779=1,"Normal",IF(I779=2,"Yellow Alert",IF(I779=3,"Orange Alert",IF(I779=4,"Red Alert"))))</f>
        <v>Yellow Alert</v>
      </c>
      <c r="S779" s="60">
        <f t="shared" si="37"/>
        <v>4</v>
      </c>
      <c r="T779" s="61">
        <f>MONTH(dataset_1!B:B)</f>
        <v>1</v>
      </c>
      <c r="U779" s="61">
        <f t="shared" si="38"/>
        <v>2011</v>
      </c>
      <c r="V779" s="59" t="str">
        <f>TEXT(F779/24,"H AM/PM")</f>
        <v>8 PM</v>
      </c>
      <c r="W779" s="59" t="str">
        <f>IF(H779=6,"Saturday",IF(H779=0,"Sunday",IF(H779=1,"Monday",IF(H779=2,"Tuesday",IF(H779=3,"Wednesday",IF(H779=4,"Thursday",IF(H779=5,"Friday")))))))</f>
        <v>Friday</v>
      </c>
      <c r="X779" s="59" t="str">
        <f>IF(G779=FALSE,"Working day", IF(G779=TRUE,"Holiday"))</f>
        <v>Working day</v>
      </c>
    </row>
    <row r="780" spans="1:24" x14ac:dyDescent="0.25">
      <c r="A780" s="32">
        <v>779</v>
      </c>
      <c r="B780" s="33">
        <v>40578</v>
      </c>
      <c r="C780" s="26">
        <v>1</v>
      </c>
      <c r="D780" s="26">
        <v>0</v>
      </c>
      <c r="E780" s="26">
        <v>2</v>
      </c>
      <c r="F780" s="26">
        <v>21</v>
      </c>
      <c r="G780" s="26" t="b">
        <v>0</v>
      </c>
      <c r="H780" s="26">
        <v>5</v>
      </c>
      <c r="I780" s="26">
        <v>2</v>
      </c>
      <c r="J780" s="26">
        <v>0.24</v>
      </c>
      <c r="K780" s="26">
        <v>0.2424</v>
      </c>
      <c r="L780" s="26">
        <v>0.7</v>
      </c>
      <c r="M780">
        <v>0.16420000000000001</v>
      </c>
      <c r="N780" s="26">
        <v>2</v>
      </c>
      <c r="O780" s="26">
        <v>41</v>
      </c>
      <c r="P780" s="26">
        <v>43</v>
      </c>
      <c r="Q780" s="34" t="str">
        <f t="shared" si="36"/>
        <v>Cloudy</v>
      </c>
      <c r="R780" s="41" t="str">
        <f>IF(I780=1,"Normal",IF(I780=2,"Yellow Alert",IF(I780=3,"Orange Alert",IF(I780=4,"Red Alert"))))</f>
        <v>Yellow Alert</v>
      </c>
      <c r="S780" s="60">
        <f t="shared" si="37"/>
        <v>4</v>
      </c>
      <c r="T780" s="61">
        <f>MONTH(dataset_1!B:B)</f>
        <v>1</v>
      </c>
      <c r="U780" s="61">
        <f t="shared" si="38"/>
        <v>2011</v>
      </c>
      <c r="V780" s="59" t="str">
        <f>TEXT(F780/24,"H AM/PM")</f>
        <v>9 PM</v>
      </c>
      <c r="W780" s="59" t="str">
        <f>IF(H780=6,"Saturday",IF(H780=0,"Sunday",IF(H780=1,"Monday",IF(H780=2,"Tuesday",IF(H780=3,"Wednesday",IF(H780=4,"Thursday",IF(H780=5,"Friday")))))))</f>
        <v>Friday</v>
      </c>
      <c r="X780" s="59" t="str">
        <f>IF(G780=FALSE,"Working day", IF(G780=TRUE,"Holiday"))</f>
        <v>Working day</v>
      </c>
    </row>
    <row r="781" spans="1:24" x14ac:dyDescent="0.25">
      <c r="A781" s="32">
        <v>780</v>
      </c>
      <c r="B781" s="33">
        <v>40578</v>
      </c>
      <c r="C781" s="26">
        <v>1</v>
      </c>
      <c r="D781" s="26">
        <v>0</v>
      </c>
      <c r="E781" s="26">
        <v>2</v>
      </c>
      <c r="F781" s="26">
        <v>22</v>
      </c>
      <c r="G781" s="26" t="b">
        <v>0</v>
      </c>
      <c r="H781" s="26">
        <v>5</v>
      </c>
      <c r="I781" s="26">
        <v>2</v>
      </c>
      <c r="J781" s="26">
        <v>0.24</v>
      </c>
      <c r="K781" s="26">
        <v>0.2424</v>
      </c>
      <c r="L781" s="26">
        <v>0.65</v>
      </c>
      <c r="M781">
        <v>0.16420000000000001</v>
      </c>
      <c r="N781" s="26">
        <v>1</v>
      </c>
      <c r="O781" s="26">
        <v>45</v>
      </c>
      <c r="P781" s="26">
        <v>46</v>
      </c>
      <c r="Q781" s="34" t="str">
        <f t="shared" si="36"/>
        <v>Cloudy</v>
      </c>
      <c r="R781" s="41" t="str">
        <f>IF(I781=1,"Normal",IF(I781=2,"Yellow Alert",IF(I781=3,"Orange Alert",IF(I781=4,"Red Alert"))))</f>
        <v>Yellow Alert</v>
      </c>
      <c r="S781" s="60">
        <f t="shared" si="37"/>
        <v>4</v>
      </c>
      <c r="T781" s="61">
        <f>MONTH(dataset_1!B:B)</f>
        <v>1</v>
      </c>
      <c r="U781" s="61">
        <f t="shared" si="38"/>
        <v>2011</v>
      </c>
      <c r="V781" s="59" t="str">
        <f>TEXT(F781/24,"H AM/PM")</f>
        <v>10 PM</v>
      </c>
      <c r="W781" s="59" t="str">
        <f>IF(H781=6,"Saturday",IF(H781=0,"Sunday",IF(H781=1,"Monday",IF(H781=2,"Tuesday",IF(H781=3,"Wednesday",IF(H781=4,"Thursday",IF(H781=5,"Friday")))))))</f>
        <v>Friday</v>
      </c>
      <c r="X781" s="59" t="str">
        <f>IF(G781=FALSE,"Working day", IF(G781=TRUE,"Holiday"))</f>
        <v>Working day</v>
      </c>
    </row>
    <row r="782" spans="1:24" x14ac:dyDescent="0.25">
      <c r="A782" s="32">
        <v>781</v>
      </c>
      <c r="B782" s="33">
        <v>40578</v>
      </c>
      <c r="C782" s="26">
        <v>1</v>
      </c>
      <c r="D782" s="26">
        <v>0</v>
      </c>
      <c r="E782" s="26">
        <v>2</v>
      </c>
      <c r="F782" s="26">
        <v>23</v>
      </c>
      <c r="G782" s="26" t="b">
        <v>0</v>
      </c>
      <c r="H782" s="26">
        <v>5</v>
      </c>
      <c r="I782" s="26">
        <v>2</v>
      </c>
      <c r="J782" s="26">
        <v>0.24</v>
      </c>
      <c r="K782" s="26">
        <v>0.2424</v>
      </c>
      <c r="L782" s="26">
        <v>0.7</v>
      </c>
      <c r="M782">
        <v>0.1343</v>
      </c>
      <c r="N782" s="26">
        <v>1</v>
      </c>
      <c r="O782" s="26">
        <v>30</v>
      </c>
      <c r="P782" s="26">
        <v>31</v>
      </c>
      <c r="Q782" s="34" t="str">
        <f t="shared" si="36"/>
        <v>Cloudy</v>
      </c>
      <c r="R782" s="41" t="str">
        <f>IF(I782=1,"Normal",IF(I782=2,"Yellow Alert",IF(I782=3,"Orange Alert",IF(I782=4,"Red Alert"))))</f>
        <v>Yellow Alert</v>
      </c>
      <c r="S782" s="60">
        <f t="shared" si="37"/>
        <v>4</v>
      </c>
      <c r="T782" s="61">
        <f>MONTH(dataset_1!B:B)</f>
        <v>1</v>
      </c>
      <c r="U782" s="61">
        <f t="shared" si="38"/>
        <v>2011</v>
      </c>
      <c r="V782" s="59" t="str">
        <f>TEXT(F782/24,"H AM/PM")</f>
        <v>11 PM</v>
      </c>
      <c r="W782" s="59" t="str">
        <f>IF(H782=6,"Saturday",IF(H782=0,"Sunday",IF(H782=1,"Monday",IF(H782=2,"Tuesday",IF(H782=3,"Wednesday",IF(H782=4,"Thursday",IF(H782=5,"Friday")))))))</f>
        <v>Friday</v>
      </c>
      <c r="X782" s="59" t="str">
        <f>IF(G782=FALSE,"Working day", IF(G782=TRUE,"Holiday"))</f>
        <v>Working day</v>
      </c>
    </row>
    <row r="783" spans="1:24" x14ac:dyDescent="0.25">
      <c r="A783" s="32">
        <v>782</v>
      </c>
      <c r="B783" s="33">
        <v>40579</v>
      </c>
      <c r="C783" s="26">
        <v>1</v>
      </c>
      <c r="D783" s="26">
        <v>0</v>
      </c>
      <c r="E783" s="26">
        <v>2</v>
      </c>
      <c r="F783" s="26">
        <v>0</v>
      </c>
      <c r="G783" s="26" t="b">
        <v>0</v>
      </c>
      <c r="H783" s="26">
        <v>6</v>
      </c>
      <c r="I783" s="26">
        <v>2</v>
      </c>
      <c r="J783" s="26">
        <v>0.24</v>
      </c>
      <c r="K783" s="26">
        <v>0.2424</v>
      </c>
      <c r="L783" s="26">
        <v>0.7</v>
      </c>
      <c r="M783">
        <v>0.16420000000000001</v>
      </c>
      <c r="N783" s="26">
        <v>3</v>
      </c>
      <c r="O783" s="26">
        <v>36</v>
      </c>
      <c r="P783" s="26">
        <v>39</v>
      </c>
      <c r="Q783" s="34" t="str">
        <f t="shared" si="36"/>
        <v>Cloudy</v>
      </c>
      <c r="R783" s="41" t="str">
        <f>IF(I783=1,"Normal",IF(I783=2,"Yellow Alert",IF(I783=3,"Orange Alert",IF(I783=4,"Red Alert"))))</f>
        <v>Yellow Alert</v>
      </c>
      <c r="S783" s="60">
        <f t="shared" si="37"/>
        <v>5</v>
      </c>
      <c r="T783" s="61">
        <f>MONTH(dataset_1!B:B)</f>
        <v>1</v>
      </c>
      <c r="U783" s="61">
        <f t="shared" si="38"/>
        <v>2011</v>
      </c>
      <c r="V783" s="59" t="str">
        <f>TEXT(F783/24,"H AM/PM")</f>
        <v>12 AM</v>
      </c>
      <c r="W783" s="59" t="str">
        <f>IF(H783=6,"Saturday",IF(H783=0,"Sunday",IF(H783=1,"Monday",IF(H783=2,"Tuesday",IF(H783=3,"Wednesday",IF(H783=4,"Thursday",IF(H783=5,"Friday")))))))</f>
        <v>Saturday</v>
      </c>
      <c r="X783" s="59" t="str">
        <f>IF(G783=FALSE,"Working day", IF(G783=TRUE,"Holiday"))</f>
        <v>Working day</v>
      </c>
    </row>
    <row r="784" spans="1:24" x14ac:dyDescent="0.25">
      <c r="A784" s="32">
        <v>783</v>
      </c>
      <c r="B784" s="33">
        <v>40579</v>
      </c>
      <c r="C784" s="26">
        <v>1</v>
      </c>
      <c r="D784" s="26">
        <v>0</v>
      </c>
      <c r="E784" s="26">
        <v>2</v>
      </c>
      <c r="F784" s="26">
        <v>1</v>
      </c>
      <c r="G784" s="26" t="b">
        <v>0</v>
      </c>
      <c r="H784" s="26">
        <v>6</v>
      </c>
      <c r="I784" s="26">
        <v>2</v>
      </c>
      <c r="J784" s="26">
        <v>0.24</v>
      </c>
      <c r="K784" s="26">
        <v>0.2424</v>
      </c>
      <c r="L784" s="26">
        <v>0.65</v>
      </c>
      <c r="M784">
        <v>0.16420000000000001</v>
      </c>
      <c r="N784" s="26">
        <v>1</v>
      </c>
      <c r="O784" s="26">
        <v>17</v>
      </c>
      <c r="P784" s="26">
        <v>18</v>
      </c>
      <c r="Q784" s="34" t="str">
        <f t="shared" si="36"/>
        <v>Cloudy</v>
      </c>
      <c r="R784" s="41" t="str">
        <f>IF(I784=1,"Normal",IF(I784=2,"Yellow Alert",IF(I784=3,"Orange Alert",IF(I784=4,"Red Alert"))))</f>
        <v>Yellow Alert</v>
      </c>
      <c r="S784" s="60">
        <f t="shared" si="37"/>
        <v>5</v>
      </c>
      <c r="T784" s="61">
        <f>MONTH(dataset_1!B:B)</f>
        <v>1</v>
      </c>
      <c r="U784" s="61">
        <f t="shared" si="38"/>
        <v>2011</v>
      </c>
      <c r="V784" s="59" t="str">
        <f>TEXT(F784/24,"H AM/PM")</f>
        <v>1 AM</v>
      </c>
      <c r="W784" s="59" t="str">
        <f>IF(H784=6,"Saturday",IF(H784=0,"Sunday",IF(H784=1,"Monday",IF(H784=2,"Tuesday",IF(H784=3,"Wednesday",IF(H784=4,"Thursday",IF(H784=5,"Friday")))))))</f>
        <v>Saturday</v>
      </c>
      <c r="X784" s="59" t="str">
        <f>IF(G784=FALSE,"Working day", IF(G784=TRUE,"Holiday"))</f>
        <v>Working day</v>
      </c>
    </row>
    <row r="785" spans="1:24" x14ac:dyDescent="0.25">
      <c r="A785" s="32">
        <v>784</v>
      </c>
      <c r="B785" s="33">
        <v>40579</v>
      </c>
      <c r="C785" s="26">
        <v>1</v>
      </c>
      <c r="D785" s="26">
        <v>0</v>
      </c>
      <c r="E785" s="26">
        <v>2</v>
      </c>
      <c r="F785" s="26">
        <v>2</v>
      </c>
      <c r="G785" s="26" t="b">
        <v>0</v>
      </c>
      <c r="H785" s="26">
        <v>6</v>
      </c>
      <c r="I785" s="26">
        <v>2</v>
      </c>
      <c r="J785" s="26">
        <v>0.24</v>
      </c>
      <c r="K785" s="26">
        <v>0.2424</v>
      </c>
      <c r="L785" s="26">
        <v>0.75</v>
      </c>
      <c r="M785">
        <v>0.16420000000000001</v>
      </c>
      <c r="N785" s="26">
        <v>5</v>
      </c>
      <c r="O785" s="26">
        <v>12</v>
      </c>
      <c r="P785" s="26">
        <v>17</v>
      </c>
      <c r="Q785" s="34" t="str">
        <f t="shared" si="36"/>
        <v>Cloudy</v>
      </c>
      <c r="R785" s="41" t="str">
        <f>IF(I785=1,"Normal",IF(I785=2,"Yellow Alert",IF(I785=3,"Orange Alert",IF(I785=4,"Red Alert"))))</f>
        <v>Yellow Alert</v>
      </c>
      <c r="S785" s="60">
        <f t="shared" si="37"/>
        <v>5</v>
      </c>
      <c r="T785" s="61">
        <f>MONTH(dataset_1!B:B)</f>
        <v>1</v>
      </c>
      <c r="U785" s="61">
        <f t="shared" si="38"/>
        <v>2011</v>
      </c>
      <c r="V785" s="59" t="str">
        <f>TEXT(F785/24,"H AM/PM")</f>
        <v>2 AM</v>
      </c>
      <c r="W785" s="59" t="str">
        <f>IF(H785=6,"Saturday",IF(H785=0,"Sunday",IF(H785=1,"Monday",IF(H785=2,"Tuesday",IF(H785=3,"Wednesday",IF(H785=4,"Thursday",IF(H785=5,"Friday")))))))</f>
        <v>Saturday</v>
      </c>
      <c r="X785" s="59" t="str">
        <f>IF(G785=FALSE,"Working day", IF(G785=TRUE,"Holiday"))</f>
        <v>Working day</v>
      </c>
    </row>
    <row r="786" spans="1:24" x14ac:dyDescent="0.25">
      <c r="A786" s="32">
        <v>785</v>
      </c>
      <c r="B786" s="33">
        <v>40579</v>
      </c>
      <c r="C786" s="26">
        <v>1</v>
      </c>
      <c r="D786" s="26">
        <v>0</v>
      </c>
      <c r="E786" s="26">
        <v>2</v>
      </c>
      <c r="F786" s="26">
        <v>3</v>
      </c>
      <c r="G786" s="26" t="b">
        <v>0</v>
      </c>
      <c r="H786" s="26">
        <v>6</v>
      </c>
      <c r="I786" s="26">
        <v>2</v>
      </c>
      <c r="J786" s="26">
        <v>0.24</v>
      </c>
      <c r="K786" s="26">
        <v>0.2424</v>
      </c>
      <c r="L786" s="26">
        <v>0.75</v>
      </c>
      <c r="M786">
        <v>0.16420000000000001</v>
      </c>
      <c r="N786" s="26">
        <v>1</v>
      </c>
      <c r="O786" s="26">
        <v>10</v>
      </c>
      <c r="P786" s="26">
        <v>11</v>
      </c>
      <c r="Q786" s="34" t="str">
        <f t="shared" si="36"/>
        <v>Cloudy</v>
      </c>
      <c r="R786" s="41" t="str">
        <f>IF(I786=1,"Normal",IF(I786=2,"Yellow Alert",IF(I786=3,"Orange Alert",IF(I786=4,"Red Alert"))))</f>
        <v>Yellow Alert</v>
      </c>
      <c r="S786" s="60">
        <f t="shared" si="37"/>
        <v>5</v>
      </c>
      <c r="T786" s="61">
        <f>MONTH(dataset_1!B:B)</f>
        <v>1</v>
      </c>
      <c r="U786" s="61">
        <f t="shared" si="38"/>
        <v>2011</v>
      </c>
      <c r="V786" s="59" t="str">
        <f>TEXT(F786/24,"H AM/PM")</f>
        <v>3 AM</v>
      </c>
      <c r="W786" s="59" t="str">
        <f>IF(H786=6,"Saturday",IF(H786=0,"Sunday",IF(H786=1,"Monday",IF(H786=2,"Tuesday",IF(H786=3,"Wednesday",IF(H786=4,"Thursday",IF(H786=5,"Friday")))))))</f>
        <v>Saturday</v>
      </c>
      <c r="X786" s="59" t="str">
        <f>IF(G786=FALSE,"Working day", IF(G786=TRUE,"Holiday"))</f>
        <v>Working day</v>
      </c>
    </row>
    <row r="787" spans="1:24" x14ac:dyDescent="0.25">
      <c r="A787" s="32">
        <v>786</v>
      </c>
      <c r="B787" s="33">
        <v>40579</v>
      </c>
      <c r="C787" s="26">
        <v>1</v>
      </c>
      <c r="D787" s="26">
        <v>0</v>
      </c>
      <c r="E787" s="26">
        <v>2</v>
      </c>
      <c r="F787" s="26">
        <v>4</v>
      </c>
      <c r="G787" s="26" t="b">
        <v>0</v>
      </c>
      <c r="H787" s="26">
        <v>6</v>
      </c>
      <c r="I787" s="26">
        <v>3</v>
      </c>
      <c r="J787" s="26">
        <v>0.22</v>
      </c>
      <c r="K787" s="26">
        <v>0.2273</v>
      </c>
      <c r="L787" s="26">
        <v>0.93</v>
      </c>
      <c r="M787">
        <v>0.1343</v>
      </c>
      <c r="N787" s="26">
        <v>0</v>
      </c>
      <c r="O787" s="26">
        <v>8</v>
      </c>
      <c r="P787" s="26">
        <v>8</v>
      </c>
      <c r="Q787" s="34" t="str">
        <f t="shared" si="36"/>
        <v>Light Rain</v>
      </c>
      <c r="R787" s="41" t="str">
        <f>IF(I787=1,"Normal",IF(I787=2,"Yellow Alert",IF(I787=3,"Orange Alert",IF(I787=4,"Red Alert"))))</f>
        <v>Orange Alert</v>
      </c>
      <c r="S787" s="60">
        <f t="shared" si="37"/>
        <v>5</v>
      </c>
      <c r="T787" s="61">
        <f>MONTH(dataset_1!B:B)</f>
        <v>1</v>
      </c>
      <c r="U787" s="61">
        <f t="shared" si="38"/>
        <v>2011</v>
      </c>
      <c r="V787" s="59" t="str">
        <f>TEXT(F787/24,"H AM/PM")</f>
        <v>4 AM</v>
      </c>
      <c r="W787" s="59" t="str">
        <f>IF(H787=6,"Saturday",IF(H787=0,"Sunday",IF(H787=1,"Monday",IF(H787=2,"Tuesday",IF(H787=3,"Wednesday",IF(H787=4,"Thursday",IF(H787=5,"Friday")))))))</f>
        <v>Saturday</v>
      </c>
      <c r="X787" s="59" t="str">
        <f>IF(G787=FALSE,"Working day", IF(G787=TRUE,"Holiday"))</f>
        <v>Working day</v>
      </c>
    </row>
    <row r="788" spans="1:24" x14ac:dyDescent="0.25">
      <c r="A788" s="32">
        <v>787</v>
      </c>
      <c r="B788" s="33">
        <v>40579</v>
      </c>
      <c r="C788" s="26">
        <v>1</v>
      </c>
      <c r="D788" s="26">
        <v>0</v>
      </c>
      <c r="E788" s="26">
        <v>2</v>
      </c>
      <c r="F788" s="26">
        <v>5</v>
      </c>
      <c r="G788" s="26" t="b">
        <v>0</v>
      </c>
      <c r="H788" s="26">
        <v>6</v>
      </c>
      <c r="I788" s="26">
        <v>3</v>
      </c>
      <c r="J788" s="26">
        <v>0.2</v>
      </c>
      <c r="K788" s="26">
        <v>0.2273</v>
      </c>
      <c r="L788" s="26">
        <v>1</v>
      </c>
      <c r="M788">
        <v>8.9599999999999999E-2</v>
      </c>
      <c r="N788" s="26">
        <v>0</v>
      </c>
      <c r="O788" s="26">
        <v>9</v>
      </c>
      <c r="P788" s="26">
        <v>9</v>
      </c>
      <c r="Q788" s="34" t="str">
        <f t="shared" si="36"/>
        <v>Light Rain</v>
      </c>
      <c r="R788" s="41" t="str">
        <f>IF(I788=1,"Normal",IF(I788=2,"Yellow Alert",IF(I788=3,"Orange Alert",IF(I788=4,"Red Alert"))))</f>
        <v>Orange Alert</v>
      </c>
      <c r="S788" s="60">
        <f t="shared" si="37"/>
        <v>5</v>
      </c>
      <c r="T788" s="61">
        <f>MONTH(dataset_1!B:B)</f>
        <v>1</v>
      </c>
      <c r="U788" s="61">
        <f t="shared" si="38"/>
        <v>2011</v>
      </c>
      <c r="V788" s="59" t="str">
        <f>TEXT(F788/24,"H AM/PM")</f>
        <v>5 AM</v>
      </c>
      <c r="W788" s="59" t="str">
        <f>IF(H788=6,"Saturday",IF(H788=0,"Sunday",IF(H788=1,"Monday",IF(H788=2,"Tuesday",IF(H788=3,"Wednesday",IF(H788=4,"Thursday",IF(H788=5,"Friday")))))))</f>
        <v>Saturday</v>
      </c>
      <c r="X788" s="59" t="str">
        <f>IF(G788=FALSE,"Working day", IF(G788=TRUE,"Holiday"))</f>
        <v>Working day</v>
      </c>
    </row>
    <row r="789" spans="1:24" x14ac:dyDescent="0.25">
      <c r="A789" s="32">
        <v>788</v>
      </c>
      <c r="B789" s="33">
        <v>40579</v>
      </c>
      <c r="C789" s="26">
        <v>1</v>
      </c>
      <c r="D789" s="26">
        <v>0</v>
      </c>
      <c r="E789" s="26">
        <v>2</v>
      </c>
      <c r="F789" s="26">
        <v>6</v>
      </c>
      <c r="G789" s="26" t="b">
        <v>0</v>
      </c>
      <c r="H789" s="26">
        <v>6</v>
      </c>
      <c r="I789" s="26">
        <v>3</v>
      </c>
      <c r="J789" s="26">
        <v>0.2</v>
      </c>
      <c r="K789" s="26">
        <v>0.2576</v>
      </c>
      <c r="L789" s="26">
        <v>1</v>
      </c>
      <c r="M789">
        <v>0</v>
      </c>
      <c r="N789" s="26">
        <v>0</v>
      </c>
      <c r="O789" s="26">
        <v>4</v>
      </c>
      <c r="P789" s="26">
        <v>4</v>
      </c>
      <c r="Q789" s="34" t="str">
        <f t="shared" si="36"/>
        <v>Light Rain</v>
      </c>
      <c r="R789" s="41" t="str">
        <f>IF(I789=1,"Normal",IF(I789=2,"Yellow Alert",IF(I789=3,"Orange Alert",IF(I789=4,"Red Alert"))))</f>
        <v>Orange Alert</v>
      </c>
      <c r="S789" s="60">
        <f t="shared" si="37"/>
        <v>5</v>
      </c>
      <c r="T789" s="61">
        <f>MONTH(dataset_1!B:B)</f>
        <v>1</v>
      </c>
      <c r="U789" s="61">
        <f t="shared" si="38"/>
        <v>2011</v>
      </c>
      <c r="V789" s="59" t="str">
        <f>TEXT(F789/24,"H AM/PM")</f>
        <v>6 AM</v>
      </c>
      <c r="W789" s="59" t="str">
        <f>IF(H789=6,"Saturday",IF(H789=0,"Sunday",IF(H789=1,"Monday",IF(H789=2,"Tuesday",IF(H789=3,"Wednesday",IF(H789=4,"Thursday",IF(H789=5,"Friday")))))))</f>
        <v>Saturday</v>
      </c>
      <c r="X789" s="59" t="str">
        <f>IF(G789=FALSE,"Working day", IF(G789=TRUE,"Holiday"))</f>
        <v>Working day</v>
      </c>
    </row>
    <row r="790" spans="1:24" x14ac:dyDescent="0.25">
      <c r="A790" s="32">
        <v>789</v>
      </c>
      <c r="B790" s="33">
        <v>40579</v>
      </c>
      <c r="C790" s="26">
        <v>1</v>
      </c>
      <c r="D790" s="26">
        <v>0</v>
      </c>
      <c r="E790" s="26">
        <v>2</v>
      </c>
      <c r="F790" s="26">
        <v>7</v>
      </c>
      <c r="G790" s="26" t="b">
        <v>0</v>
      </c>
      <c r="H790" s="26">
        <v>6</v>
      </c>
      <c r="I790" s="26">
        <v>3</v>
      </c>
      <c r="J790" s="26">
        <v>0.22</v>
      </c>
      <c r="K790" s="26">
        <v>0.2576</v>
      </c>
      <c r="L790" s="26">
        <v>0.93</v>
      </c>
      <c r="M790">
        <v>8.9599999999999999E-2</v>
      </c>
      <c r="N790" s="26">
        <v>0</v>
      </c>
      <c r="O790" s="26">
        <v>4</v>
      </c>
      <c r="P790" s="26">
        <v>4</v>
      </c>
      <c r="Q790" s="34" t="str">
        <f t="shared" si="36"/>
        <v>Light Rain</v>
      </c>
      <c r="R790" s="41" t="str">
        <f>IF(I790=1,"Normal",IF(I790=2,"Yellow Alert",IF(I790=3,"Orange Alert",IF(I790=4,"Red Alert"))))</f>
        <v>Orange Alert</v>
      </c>
      <c r="S790" s="60">
        <f t="shared" si="37"/>
        <v>5</v>
      </c>
      <c r="T790" s="61">
        <f>MONTH(dataset_1!B:B)</f>
        <v>1</v>
      </c>
      <c r="U790" s="61">
        <f t="shared" si="38"/>
        <v>2011</v>
      </c>
      <c r="V790" s="59" t="str">
        <f>TEXT(F790/24,"H AM/PM")</f>
        <v>7 AM</v>
      </c>
      <c r="W790" s="59" t="str">
        <f>IF(H790=6,"Saturday",IF(H790=0,"Sunday",IF(H790=1,"Monday",IF(H790=2,"Tuesday",IF(H790=3,"Wednesday",IF(H790=4,"Thursday",IF(H790=5,"Friday")))))))</f>
        <v>Saturday</v>
      </c>
      <c r="X790" s="59" t="str">
        <f>IF(G790=FALSE,"Working day", IF(G790=TRUE,"Holiday"))</f>
        <v>Working day</v>
      </c>
    </row>
    <row r="791" spans="1:24" x14ac:dyDescent="0.25">
      <c r="A791" s="32">
        <v>790</v>
      </c>
      <c r="B791" s="33">
        <v>40579</v>
      </c>
      <c r="C791" s="26">
        <v>1</v>
      </c>
      <c r="D791" s="26">
        <v>0</v>
      </c>
      <c r="E791" s="26">
        <v>2</v>
      </c>
      <c r="F791" s="26">
        <v>8</v>
      </c>
      <c r="G791" s="26" t="b">
        <v>0</v>
      </c>
      <c r="H791" s="26">
        <v>6</v>
      </c>
      <c r="I791" s="26">
        <v>3</v>
      </c>
      <c r="J791" s="26">
        <v>0.2</v>
      </c>
      <c r="K791" s="26">
        <v>0.2273</v>
      </c>
      <c r="L791" s="26">
        <v>1</v>
      </c>
      <c r="M791">
        <v>8.9599999999999999E-2</v>
      </c>
      <c r="N791" s="26">
        <v>0</v>
      </c>
      <c r="O791" s="26">
        <v>10</v>
      </c>
      <c r="P791" s="26">
        <v>10</v>
      </c>
      <c r="Q791" s="34" t="str">
        <f t="shared" si="36"/>
        <v>Light Rain</v>
      </c>
      <c r="R791" s="41" t="str">
        <f>IF(I791=1,"Normal",IF(I791=2,"Yellow Alert",IF(I791=3,"Orange Alert",IF(I791=4,"Red Alert"))))</f>
        <v>Orange Alert</v>
      </c>
      <c r="S791" s="60">
        <f t="shared" si="37"/>
        <v>5</v>
      </c>
      <c r="T791" s="61">
        <f>MONTH(dataset_1!B:B)</f>
        <v>1</v>
      </c>
      <c r="U791" s="61">
        <f t="shared" si="38"/>
        <v>2011</v>
      </c>
      <c r="V791" s="59" t="str">
        <f>TEXT(F791/24,"H AM/PM")</f>
        <v>8 AM</v>
      </c>
      <c r="W791" s="59" t="str">
        <f>IF(H791=6,"Saturday",IF(H791=0,"Sunday",IF(H791=1,"Monday",IF(H791=2,"Tuesday",IF(H791=3,"Wednesday",IF(H791=4,"Thursday",IF(H791=5,"Friday")))))))</f>
        <v>Saturday</v>
      </c>
      <c r="X791" s="59" t="str">
        <f>IF(G791=FALSE,"Working day", IF(G791=TRUE,"Holiday"))</f>
        <v>Working day</v>
      </c>
    </row>
    <row r="792" spans="1:24" x14ac:dyDescent="0.25">
      <c r="A792" s="32">
        <v>791</v>
      </c>
      <c r="B792" s="33">
        <v>40579</v>
      </c>
      <c r="C792" s="26">
        <v>1</v>
      </c>
      <c r="D792" s="26">
        <v>0</v>
      </c>
      <c r="E792" s="26">
        <v>2</v>
      </c>
      <c r="F792" s="26">
        <v>9</v>
      </c>
      <c r="G792" s="26" t="b">
        <v>0</v>
      </c>
      <c r="H792" s="26">
        <v>6</v>
      </c>
      <c r="I792" s="26">
        <v>3</v>
      </c>
      <c r="J792" s="26">
        <v>0.2</v>
      </c>
      <c r="K792" s="26">
        <v>0.2273</v>
      </c>
      <c r="L792" s="26">
        <v>1</v>
      </c>
      <c r="M792">
        <v>8.9599999999999999E-2</v>
      </c>
      <c r="N792" s="26">
        <v>3</v>
      </c>
      <c r="O792" s="26">
        <v>17</v>
      </c>
      <c r="P792" s="26">
        <v>20</v>
      </c>
      <c r="Q792" s="34" t="str">
        <f t="shared" si="36"/>
        <v>Light Rain</v>
      </c>
      <c r="R792" s="41" t="str">
        <f>IF(I792=1,"Normal",IF(I792=2,"Yellow Alert",IF(I792=3,"Orange Alert",IF(I792=4,"Red Alert"))))</f>
        <v>Orange Alert</v>
      </c>
      <c r="S792" s="60">
        <f t="shared" si="37"/>
        <v>5</v>
      </c>
      <c r="T792" s="61">
        <f>MONTH(dataset_1!B:B)</f>
        <v>1</v>
      </c>
      <c r="U792" s="61">
        <f t="shared" si="38"/>
        <v>2011</v>
      </c>
      <c r="V792" s="59" t="str">
        <f>TEXT(F792/24,"H AM/PM")</f>
        <v>9 AM</v>
      </c>
      <c r="W792" s="59" t="str">
        <f>IF(H792=6,"Saturday",IF(H792=0,"Sunday",IF(H792=1,"Monday",IF(H792=2,"Tuesday",IF(H792=3,"Wednesday",IF(H792=4,"Thursday",IF(H792=5,"Friday")))))))</f>
        <v>Saturday</v>
      </c>
      <c r="X792" s="59" t="str">
        <f>IF(G792=FALSE,"Working day", IF(G792=TRUE,"Holiday"))</f>
        <v>Working day</v>
      </c>
    </row>
    <row r="793" spans="1:24" x14ac:dyDescent="0.25">
      <c r="A793" s="32">
        <v>792</v>
      </c>
      <c r="B793" s="33">
        <v>40579</v>
      </c>
      <c r="C793" s="26">
        <v>1</v>
      </c>
      <c r="D793" s="26">
        <v>0</v>
      </c>
      <c r="E793" s="26">
        <v>2</v>
      </c>
      <c r="F793" s="26">
        <v>10</v>
      </c>
      <c r="G793" s="26" t="b">
        <v>0</v>
      </c>
      <c r="H793" s="26">
        <v>6</v>
      </c>
      <c r="I793" s="26">
        <v>3</v>
      </c>
      <c r="J793" s="26">
        <v>0.2</v>
      </c>
      <c r="K793" s="26">
        <v>0.21210000000000001</v>
      </c>
      <c r="L793" s="26">
        <v>1</v>
      </c>
      <c r="M793">
        <v>0.1343</v>
      </c>
      <c r="N793" s="26">
        <v>3</v>
      </c>
      <c r="O793" s="26">
        <v>31</v>
      </c>
      <c r="P793" s="26">
        <v>34</v>
      </c>
      <c r="Q793" s="34" t="str">
        <f t="shared" si="36"/>
        <v>Light Rain</v>
      </c>
      <c r="R793" s="41" t="str">
        <f>IF(I793=1,"Normal",IF(I793=2,"Yellow Alert",IF(I793=3,"Orange Alert",IF(I793=4,"Red Alert"))))</f>
        <v>Orange Alert</v>
      </c>
      <c r="S793" s="60">
        <f t="shared" si="37"/>
        <v>5</v>
      </c>
      <c r="T793" s="61">
        <f>MONTH(dataset_1!B:B)</f>
        <v>1</v>
      </c>
      <c r="U793" s="61">
        <f t="shared" si="38"/>
        <v>2011</v>
      </c>
      <c r="V793" s="59" t="str">
        <f>TEXT(F793/24,"H AM/PM")</f>
        <v>10 AM</v>
      </c>
      <c r="W793" s="59" t="str">
        <f>IF(H793=6,"Saturday",IF(H793=0,"Sunday",IF(H793=1,"Monday",IF(H793=2,"Tuesday",IF(H793=3,"Wednesday",IF(H793=4,"Thursday",IF(H793=5,"Friday")))))))</f>
        <v>Saturday</v>
      </c>
      <c r="X793" s="59" t="str">
        <f>IF(G793=FALSE,"Working day", IF(G793=TRUE,"Holiday"))</f>
        <v>Working day</v>
      </c>
    </row>
    <row r="794" spans="1:24" x14ac:dyDescent="0.25">
      <c r="A794" s="32">
        <v>793</v>
      </c>
      <c r="B794" s="33">
        <v>40579</v>
      </c>
      <c r="C794" s="26">
        <v>1</v>
      </c>
      <c r="D794" s="26">
        <v>0</v>
      </c>
      <c r="E794" s="26">
        <v>2</v>
      </c>
      <c r="F794" s="26">
        <v>11</v>
      </c>
      <c r="G794" s="26" t="b">
        <v>0</v>
      </c>
      <c r="H794" s="26">
        <v>6</v>
      </c>
      <c r="I794" s="26">
        <v>3</v>
      </c>
      <c r="J794" s="26">
        <v>0.22</v>
      </c>
      <c r="K794" s="26">
        <v>0.2273</v>
      </c>
      <c r="L794" s="26">
        <v>1</v>
      </c>
      <c r="M794">
        <v>0.1343</v>
      </c>
      <c r="N794" s="26">
        <v>1</v>
      </c>
      <c r="O794" s="26">
        <v>46</v>
      </c>
      <c r="P794" s="26">
        <v>47</v>
      </c>
      <c r="Q794" s="34" t="str">
        <f t="shared" si="36"/>
        <v>Light Rain</v>
      </c>
      <c r="R794" s="41" t="str">
        <f>IF(I794=1,"Normal",IF(I794=2,"Yellow Alert",IF(I794=3,"Orange Alert",IF(I794=4,"Red Alert"))))</f>
        <v>Orange Alert</v>
      </c>
      <c r="S794" s="60">
        <f t="shared" si="37"/>
        <v>5</v>
      </c>
      <c r="T794" s="61">
        <f>MONTH(dataset_1!B:B)</f>
        <v>1</v>
      </c>
      <c r="U794" s="61">
        <f t="shared" si="38"/>
        <v>2011</v>
      </c>
      <c r="V794" s="59" t="str">
        <f>TEXT(F794/24,"H AM/PM")</f>
        <v>11 AM</v>
      </c>
      <c r="W794" s="59" t="str">
        <f>IF(H794=6,"Saturday",IF(H794=0,"Sunday",IF(H794=1,"Monday",IF(H794=2,"Tuesday",IF(H794=3,"Wednesday",IF(H794=4,"Thursday",IF(H794=5,"Friday")))))))</f>
        <v>Saturday</v>
      </c>
      <c r="X794" s="59" t="str">
        <f>IF(G794=FALSE,"Working day", IF(G794=TRUE,"Holiday"))</f>
        <v>Working day</v>
      </c>
    </row>
    <row r="795" spans="1:24" x14ac:dyDescent="0.25">
      <c r="A795" s="32">
        <v>794</v>
      </c>
      <c r="B795" s="33">
        <v>40579</v>
      </c>
      <c r="C795" s="26">
        <v>1</v>
      </c>
      <c r="D795" s="26">
        <v>0</v>
      </c>
      <c r="E795" s="26">
        <v>2</v>
      </c>
      <c r="F795" s="26">
        <v>12</v>
      </c>
      <c r="G795" s="26" t="b">
        <v>0</v>
      </c>
      <c r="H795" s="26">
        <v>6</v>
      </c>
      <c r="I795" s="26">
        <v>3</v>
      </c>
      <c r="J795" s="26">
        <v>0.22</v>
      </c>
      <c r="K795" s="26">
        <v>0.2273</v>
      </c>
      <c r="L795" s="26">
        <v>1</v>
      </c>
      <c r="M795">
        <v>0.16420000000000001</v>
      </c>
      <c r="N795" s="26">
        <v>10</v>
      </c>
      <c r="O795" s="26">
        <v>42</v>
      </c>
      <c r="P795" s="26">
        <v>52</v>
      </c>
      <c r="Q795" s="34" t="str">
        <f t="shared" si="36"/>
        <v>Light Rain</v>
      </c>
      <c r="R795" s="41" t="str">
        <f>IF(I795=1,"Normal",IF(I795=2,"Yellow Alert",IF(I795=3,"Orange Alert",IF(I795=4,"Red Alert"))))</f>
        <v>Orange Alert</v>
      </c>
      <c r="S795" s="60">
        <f t="shared" si="37"/>
        <v>5</v>
      </c>
      <c r="T795" s="61">
        <f>MONTH(dataset_1!B:B)</f>
        <v>1</v>
      </c>
      <c r="U795" s="61">
        <f t="shared" si="38"/>
        <v>2011</v>
      </c>
      <c r="V795" s="59" t="str">
        <f>TEXT(F795/24,"H AM/PM")</f>
        <v>12 PM</v>
      </c>
      <c r="W795" s="59" t="str">
        <f>IF(H795=6,"Saturday",IF(H795=0,"Sunday",IF(H795=1,"Monday",IF(H795=2,"Tuesday",IF(H795=3,"Wednesday",IF(H795=4,"Thursday",IF(H795=5,"Friday")))))))</f>
        <v>Saturday</v>
      </c>
      <c r="X795" s="59" t="str">
        <f>IF(G795=FALSE,"Working day", IF(G795=TRUE,"Holiday"))</f>
        <v>Working day</v>
      </c>
    </row>
    <row r="796" spans="1:24" x14ac:dyDescent="0.25">
      <c r="A796" s="32">
        <v>795</v>
      </c>
      <c r="B796" s="33">
        <v>40579</v>
      </c>
      <c r="C796" s="26">
        <v>1</v>
      </c>
      <c r="D796" s="26">
        <v>0</v>
      </c>
      <c r="E796" s="26">
        <v>2</v>
      </c>
      <c r="F796" s="26">
        <v>13</v>
      </c>
      <c r="G796" s="26" t="b">
        <v>0</v>
      </c>
      <c r="H796" s="26">
        <v>6</v>
      </c>
      <c r="I796" s="26">
        <v>3</v>
      </c>
      <c r="J796" s="26">
        <v>0.22</v>
      </c>
      <c r="K796" s="26">
        <v>0.2273</v>
      </c>
      <c r="L796" s="26">
        <v>1</v>
      </c>
      <c r="M796">
        <v>0.16420000000000001</v>
      </c>
      <c r="N796" s="26">
        <v>10</v>
      </c>
      <c r="O796" s="26">
        <v>62</v>
      </c>
      <c r="P796" s="26">
        <v>72</v>
      </c>
      <c r="Q796" s="34" t="str">
        <f t="shared" si="36"/>
        <v>Light Rain</v>
      </c>
      <c r="R796" s="41" t="str">
        <f>IF(I796=1,"Normal",IF(I796=2,"Yellow Alert",IF(I796=3,"Orange Alert",IF(I796=4,"Red Alert"))))</f>
        <v>Orange Alert</v>
      </c>
      <c r="S796" s="60">
        <f t="shared" si="37"/>
        <v>5</v>
      </c>
      <c r="T796" s="61">
        <f>MONTH(dataset_1!B:B)</f>
        <v>1</v>
      </c>
      <c r="U796" s="61">
        <f t="shared" si="38"/>
        <v>2011</v>
      </c>
      <c r="V796" s="59" t="str">
        <f>TEXT(F796/24,"H AM/PM")</f>
        <v>1 PM</v>
      </c>
      <c r="W796" s="59" t="str">
        <f>IF(H796=6,"Saturday",IF(H796=0,"Sunday",IF(H796=1,"Monday",IF(H796=2,"Tuesday",IF(H796=3,"Wednesday",IF(H796=4,"Thursday",IF(H796=5,"Friday")))))))</f>
        <v>Saturday</v>
      </c>
      <c r="X796" s="59" t="str">
        <f>IF(G796=FALSE,"Working day", IF(G796=TRUE,"Holiday"))</f>
        <v>Working day</v>
      </c>
    </row>
    <row r="797" spans="1:24" x14ac:dyDescent="0.25">
      <c r="A797" s="32">
        <v>796</v>
      </c>
      <c r="B797" s="33">
        <v>40579</v>
      </c>
      <c r="C797" s="26">
        <v>1</v>
      </c>
      <c r="D797" s="26">
        <v>0</v>
      </c>
      <c r="E797" s="26">
        <v>2</v>
      </c>
      <c r="F797" s="26">
        <v>14</v>
      </c>
      <c r="G797" s="26" t="b">
        <v>0</v>
      </c>
      <c r="H797" s="26">
        <v>6</v>
      </c>
      <c r="I797" s="26">
        <v>3</v>
      </c>
      <c r="J797" s="26">
        <v>0.22</v>
      </c>
      <c r="K797" s="26">
        <v>0.2727</v>
      </c>
      <c r="L797" s="26">
        <v>1</v>
      </c>
      <c r="M797">
        <v>0</v>
      </c>
      <c r="N797" s="26">
        <v>5</v>
      </c>
      <c r="O797" s="26">
        <v>50</v>
      </c>
      <c r="P797" s="26">
        <v>55</v>
      </c>
      <c r="Q797" s="34" t="str">
        <f t="shared" si="36"/>
        <v>Light Rain</v>
      </c>
      <c r="R797" s="41" t="str">
        <f>IF(I797=1,"Normal",IF(I797=2,"Yellow Alert",IF(I797=3,"Orange Alert",IF(I797=4,"Red Alert"))))</f>
        <v>Orange Alert</v>
      </c>
      <c r="S797" s="60">
        <f t="shared" si="37"/>
        <v>5</v>
      </c>
      <c r="T797" s="61">
        <f>MONTH(dataset_1!B:B)</f>
        <v>1</v>
      </c>
      <c r="U797" s="61">
        <f t="shared" si="38"/>
        <v>2011</v>
      </c>
      <c r="V797" s="59" t="str">
        <f>TEXT(F797/24,"H AM/PM")</f>
        <v>2 PM</v>
      </c>
      <c r="W797" s="59" t="str">
        <f>IF(H797=6,"Saturday",IF(H797=0,"Sunday",IF(H797=1,"Monday",IF(H797=2,"Tuesday",IF(H797=3,"Wednesday",IF(H797=4,"Thursday",IF(H797=5,"Friday")))))))</f>
        <v>Saturday</v>
      </c>
      <c r="X797" s="59" t="str">
        <f>IF(G797=FALSE,"Working day", IF(G797=TRUE,"Holiday"))</f>
        <v>Working day</v>
      </c>
    </row>
    <row r="798" spans="1:24" x14ac:dyDescent="0.25">
      <c r="A798" s="32">
        <v>797</v>
      </c>
      <c r="B798" s="33">
        <v>40579</v>
      </c>
      <c r="C798" s="26">
        <v>1</v>
      </c>
      <c r="D798" s="26">
        <v>0</v>
      </c>
      <c r="E798" s="26">
        <v>2</v>
      </c>
      <c r="F798" s="26">
        <v>15</v>
      </c>
      <c r="G798" s="26" t="b">
        <v>0</v>
      </c>
      <c r="H798" s="26">
        <v>6</v>
      </c>
      <c r="I798" s="26">
        <v>3</v>
      </c>
      <c r="J798" s="26">
        <v>0.22</v>
      </c>
      <c r="K798" s="26">
        <v>0.2727</v>
      </c>
      <c r="L798" s="26">
        <v>1</v>
      </c>
      <c r="M798">
        <v>0</v>
      </c>
      <c r="N798" s="26">
        <v>11</v>
      </c>
      <c r="O798" s="26">
        <v>49</v>
      </c>
      <c r="P798" s="26">
        <v>60</v>
      </c>
      <c r="Q798" s="34" t="str">
        <f t="shared" si="36"/>
        <v>Light Rain</v>
      </c>
      <c r="R798" s="41" t="str">
        <f>IF(I798=1,"Normal",IF(I798=2,"Yellow Alert",IF(I798=3,"Orange Alert",IF(I798=4,"Red Alert"))))</f>
        <v>Orange Alert</v>
      </c>
      <c r="S798" s="60">
        <f t="shared" si="37"/>
        <v>5</v>
      </c>
      <c r="T798" s="61">
        <f>MONTH(dataset_1!B:B)</f>
        <v>1</v>
      </c>
      <c r="U798" s="61">
        <f t="shared" si="38"/>
        <v>2011</v>
      </c>
      <c r="V798" s="59" t="str">
        <f>TEXT(F798/24,"H AM/PM")</f>
        <v>3 PM</v>
      </c>
      <c r="W798" s="59" t="str">
        <f>IF(H798=6,"Saturday",IF(H798=0,"Sunday",IF(H798=1,"Monday",IF(H798=2,"Tuesday",IF(H798=3,"Wednesday",IF(H798=4,"Thursday",IF(H798=5,"Friday")))))))</f>
        <v>Saturday</v>
      </c>
      <c r="X798" s="59" t="str">
        <f>IF(G798=FALSE,"Working day", IF(G798=TRUE,"Holiday"))</f>
        <v>Working day</v>
      </c>
    </row>
    <row r="799" spans="1:24" x14ac:dyDescent="0.25">
      <c r="A799" s="32">
        <v>798</v>
      </c>
      <c r="B799" s="33">
        <v>40579</v>
      </c>
      <c r="C799" s="26">
        <v>1</v>
      </c>
      <c r="D799" s="26">
        <v>0</v>
      </c>
      <c r="E799" s="26">
        <v>2</v>
      </c>
      <c r="F799" s="26">
        <v>16</v>
      </c>
      <c r="G799" s="26" t="b">
        <v>0</v>
      </c>
      <c r="H799" s="26">
        <v>6</v>
      </c>
      <c r="I799" s="26">
        <v>3</v>
      </c>
      <c r="J799" s="26">
        <v>0.22</v>
      </c>
      <c r="K799" s="26">
        <v>0.2273</v>
      </c>
      <c r="L799" s="26">
        <v>1</v>
      </c>
      <c r="M799">
        <v>0.1343</v>
      </c>
      <c r="N799" s="26">
        <v>8</v>
      </c>
      <c r="O799" s="26">
        <v>63</v>
      </c>
      <c r="P799" s="26">
        <v>71</v>
      </c>
      <c r="Q799" s="34" t="str">
        <f t="shared" si="36"/>
        <v>Light Rain</v>
      </c>
      <c r="R799" s="41" t="str">
        <f>IF(I799=1,"Normal",IF(I799=2,"Yellow Alert",IF(I799=3,"Orange Alert",IF(I799=4,"Red Alert"))))</f>
        <v>Orange Alert</v>
      </c>
      <c r="S799" s="60">
        <f t="shared" si="37"/>
        <v>5</v>
      </c>
      <c r="T799" s="61">
        <f>MONTH(dataset_1!B:B)</f>
        <v>1</v>
      </c>
      <c r="U799" s="61">
        <f t="shared" si="38"/>
        <v>2011</v>
      </c>
      <c r="V799" s="59" t="str">
        <f>TEXT(F799/24,"H AM/PM")</f>
        <v>4 PM</v>
      </c>
      <c r="W799" s="59" t="str">
        <f>IF(H799=6,"Saturday",IF(H799=0,"Sunday",IF(H799=1,"Monday",IF(H799=2,"Tuesday",IF(H799=3,"Wednesday",IF(H799=4,"Thursday",IF(H799=5,"Friday")))))))</f>
        <v>Saturday</v>
      </c>
      <c r="X799" s="59" t="str">
        <f>IF(G799=FALSE,"Working day", IF(G799=TRUE,"Holiday"))</f>
        <v>Working day</v>
      </c>
    </row>
    <row r="800" spans="1:24" x14ac:dyDescent="0.25">
      <c r="A800" s="32">
        <v>799</v>
      </c>
      <c r="B800" s="33">
        <v>40579</v>
      </c>
      <c r="C800" s="26">
        <v>1</v>
      </c>
      <c r="D800" s="26">
        <v>0</v>
      </c>
      <c r="E800" s="26">
        <v>2</v>
      </c>
      <c r="F800" s="26">
        <v>17</v>
      </c>
      <c r="G800" s="26" t="b">
        <v>0</v>
      </c>
      <c r="H800" s="26">
        <v>6</v>
      </c>
      <c r="I800" s="26">
        <v>2</v>
      </c>
      <c r="J800" s="26">
        <v>0.24</v>
      </c>
      <c r="K800" s="26">
        <v>0.21210000000000001</v>
      </c>
      <c r="L800" s="26">
        <v>1</v>
      </c>
      <c r="M800">
        <v>0.28360000000000002</v>
      </c>
      <c r="N800" s="26">
        <v>14</v>
      </c>
      <c r="O800" s="26">
        <v>64</v>
      </c>
      <c r="P800" s="26">
        <v>78</v>
      </c>
      <c r="Q800" s="34" t="str">
        <f t="shared" si="36"/>
        <v>Cloudy</v>
      </c>
      <c r="R800" s="41" t="str">
        <f>IF(I800=1,"Normal",IF(I800=2,"Yellow Alert",IF(I800=3,"Orange Alert",IF(I800=4,"Red Alert"))))</f>
        <v>Yellow Alert</v>
      </c>
      <c r="S800" s="60">
        <f t="shared" si="37"/>
        <v>5</v>
      </c>
      <c r="T800" s="61">
        <f>MONTH(dataset_1!B:B)</f>
        <v>1</v>
      </c>
      <c r="U800" s="61">
        <f t="shared" si="38"/>
        <v>2011</v>
      </c>
      <c r="V800" s="59" t="str">
        <f>TEXT(F800/24,"H AM/PM")</f>
        <v>5 PM</v>
      </c>
      <c r="W800" s="59" t="str">
        <f>IF(H800=6,"Saturday",IF(H800=0,"Sunday",IF(H800=1,"Monday",IF(H800=2,"Tuesday",IF(H800=3,"Wednesday",IF(H800=4,"Thursday",IF(H800=5,"Friday")))))))</f>
        <v>Saturday</v>
      </c>
      <c r="X800" s="59" t="str">
        <f>IF(G800=FALSE,"Working day", IF(G800=TRUE,"Holiday"))</f>
        <v>Working day</v>
      </c>
    </row>
    <row r="801" spans="1:24" x14ac:dyDescent="0.25">
      <c r="A801" s="32">
        <v>800</v>
      </c>
      <c r="B801" s="33">
        <v>40579</v>
      </c>
      <c r="C801" s="26">
        <v>1</v>
      </c>
      <c r="D801" s="26">
        <v>0</v>
      </c>
      <c r="E801" s="26">
        <v>2</v>
      </c>
      <c r="F801" s="26">
        <v>18</v>
      </c>
      <c r="G801" s="26" t="b">
        <v>0</v>
      </c>
      <c r="H801" s="26">
        <v>6</v>
      </c>
      <c r="I801" s="26">
        <v>2</v>
      </c>
      <c r="J801" s="26">
        <v>0.28000000000000003</v>
      </c>
      <c r="K801" s="26">
        <v>0.2424</v>
      </c>
      <c r="L801" s="26">
        <v>0.93</v>
      </c>
      <c r="M801">
        <v>0.44779999999999998</v>
      </c>
      <c r="N801" s="26">
        <v>2</v>
      </c>
      <c r="O801" s="26">
        <v>81</v>
      </c>
      <c r="P801" s="26">
        <v>83</v>
      </c>
      <c r="Q801" s="34" t="str">
        <f t="shared" si="36"/>
        <v>Cloudy</v>
      </c>
      <c r="R801" s="41" t="str">
        <f>IF(I801=1,"Normal",IF(I801=2,"Yellow Alert",IF(I801=3,"Orange Alert",IF(I801=4,"Red Alert"))))</f>
        <v>Yellow Alert</v>
      </c>
      <c r="S801" s="60">
        <f t="shared" si="37"/>
        <v>5</v>
      </c>
      <c r="T801" s="61">
        <f>MONTH(dataset_1!B:B)</f>
        <v>1</v>
      </c>
      <c r="U801" s="61">
        <f t="shared" si="38"/>
        <v>2011</v>
      </c>
      <c r="V801" s="59" t="str">
        <f>TEXT(F801/24,"H AM/PM")</f>
        <v>6 PM</v>
      </c>
      <c r="W801" s="59" t="str">
        <f>IF(H801=6,"Saturday",IF(H801=0,"Sunday",IF(H801=1,"Monday",IF(H801=2,"Tuesday",IF(H801=3,"Wednesday",IF(H801=4,"Thursday",IF(H801=5,"Friday")))))))</f>
        <v>Saturday</v>
      </c>
      <c r="X801" s="59" t="str">
        <f>IF(G801=FALSE,"Working day", IF(G801=TRUE,"Holiday"))</f>
        <v>Working day</v>
      </c>
    </row>
    <row r="802" spans="1:24" x14ac:dyDescent="0.25">
      <c r="A802" s="32">
        <v>801</v>
      </c>
      <c r="B802" s="33">
        <v>40579</v>
      </c>
      <c r="C802" s="26">
        <v>1</v>
      </c>
      <c r="D802" s="26">
        <v>0</v>
      </c>
      <c r="E802" s="26">
        <v>2</v>
      </c>
      <c r="F802" s="26">
        <v>19</v>
      </c>
      <c r="G802" s="26" t="b">
        <v>0</v>
      </c>
      <c r="H802" s="26">
        <v>6</v>
      </c>
      <c r="I802" s="26">
        <v>2</v>
      </c>
      <c r="J802" s="26">
        <v>0.28000000000000003</v>
      </c>
      <c r="K802" s="26">
        <v>0.2424</v>
      </c>
      <c r="L802" s="26">
        <v>0.93</v>
      </c>
      <c r="M802">
        <v>0.44779999999999998</v>
      </c>
      <c r="N802" s="26">
        <v>6</v>
      </c>
      <c r="O802" s="26">
        <v>78</v>
      </c>
      <c r="P802" s="26">
        <v>84</v>
      </c>
      <c r="Q802" s="34" t="str">
        <f t="shared" si="36"/>
        <v>Cloudy</v>
      </c>
      <c r="R802" s="41" t="str">
        <f>IF(I802=1,"Normal",IF(I802=2,"Yellow Alert",IF(I802=3,"Orange Alert",IF(I802=4,"Red Alert"))))</f>
        <v>Yellow Alert</v>
      </c>
      <c r="S802" s="60">
        <f t="shared" si="37"/>
        <v>5</v>
      </c>
      <c r="T802" s="61">
        <f>MONTH(dataset_1!B:B)</f>
        <v>1</v>
      </c>
      <c r="U802" s="61">
        <f t="shared" si="38"/>
        <v>2011</v>
      </c>
      <c r="V802" s="59" t="str">
        <f>TEXT(F802/24,"H AM/PM")</f>
        <v>7 PM</v>
      </c>
      <c r="W802" s="59" t="str">
        <f>IF(H802=6,"Saturday",IF(H802=0,"Sunday",IF(H802=1,"Monday",IF(H802=2,"Tuesday",IF(H802=3,"Wednesday",IF(H802=4,"Thursday",IF(H802=5,"Friday")))))))</f>
        <v>Saturday</v>
      </c>
      <c r="X802" s="59" t="str">
        <f>IF(G802=FALSE,"Working day", IF(G802=TRUE,"Holiday"))</f>
        <v>Working day</v>
      </c>
    </row>
    <row r="803" spans="1:24" x14ac:dyDescent="0.25">
      <c r="A803" s="32">
        <v>802</v>
      </c>
      <c r="B803" s="33">
        <v>40579</v>
      </c>
      <c r="C803" s="26">
        <v>1</v>
      </c>
      <c r="D803" s="26">
        <v>0</v>
      </c>
      <c r="E803" s="26">
        <v>2</v>
      </c>
      <c r="F803" s="26">
        <v>20</v>
      </c>
      <c r="G803" s="26" t="b">
        <v>0</v>
      </c>
      <c r="H803" s="26">
        <v>6</v>
      </c>
      <c r="I803" s="26">
        <v>1</v>
      </c>
      <c r="J803" s="26">
        <v>0.3</v>
      </c>
      <c r="K803" s="26">
        <v>0.28789999999999999</v>
      </c>
      <c r="L803" s="26">
        <v>0.87</v>
      </c>
      <c r="M803">
        <v>0.25369999999999998</v>
      </c>
      <c r="N803" s="26">
        <v>5</v>
      </c>
      <c r="O803" s="26">
        <v>64</v>
      </c>
      <c r="P803" s="26">
        <v>69</v>
      </c>
      <c r="Q803" s="34" t="str">
        <f t="shared" si="36"/>
        <v>Clear</v>
      </c>
      <c r="R803" s="41" t="str">
        <f>IF(I803=1,"Normal",IF(I803=2,"Yellow Alert",IF(I803=3,"Orange Alert",IF(I803=4,"Red Alert"))))</f>
        <v>Normal</v>
      </c>
      <c r="S803" s="60">
        <f t="shared" si="37"/>
        <v>5</v>
      </c>
      <c r="T803" s="61">
        <f>MONTH(dataset_1!B:B)</f>
        <v>1</v>
      </c>
      <c r="U803" s="61">
        <f t="shared" si="38"/>
        <v>2011</v>
      </c>
      <c r="V803" s="59" t="str">
        <f>TEXT(F803/24,"H AM/PM")</f>
        <v>8 PM</v>
      </c>
      <c r="W803" s="59" t="str">
        <f>IF(H803=6,"Saturday",IF(H803=0,"Sunday",IF(H803=1,"Monday",IF(H803=2,"Tuesday",IF(H803=3,"Wednesday",IF(H803=4,"Thursday",IF(H803=5,"Friday")))))))</f>
        <v>Saturday</v>
      </c>
      <c r="X803" s="59" t="str">
        <f>IF(G803=FALSE,"Working day", IF(G803=TRUE,"Holiday"))</f>
        <v>Working day</v>
      </c>
    </row>
    <row r="804" spans="1:24" x14ac:dyDescent="0.25">
      <c r="A804" s="32">
        <v>803</v>
      </c>
      <c r="B804" s="33">
        <v>40579</v>
      </c>
      <c r="C804" s="26">
        <v>1</v>
      </c>
      <c r="D804" s="26">
        <v>0</v>
      </c>
      <c r="E804" s="26">
        <v>2</v>
      </c>
      <c r="F804" s="26">
        <v>21</v>
      </c>
      <c r="G804" s="26" t="b">
        <v>0</v>
      </c>
      <c r="H804" s="26">
        <v>6</v>
      </c>
      <c r="I804" s="26">
        <v>1</v>
      </c>
      <c r="J804" s="26">
        <v>0.26</v>
      </c>
      <c r="K804" s="26">
        <v>0.2576</v>
      </c>
      <c r="L804" s="26">
        <v>1</v>
      </c>
      <c r="M804">
        <v>0.19400000000000001</v>
      </c>
      <c r="N804" s="26">
        <v>3</v>
      </c>
      <c r="O804" s="26">
        <v>53</v>
      </c>
      <c r="P804" s="26">
        <v>56</v>
      </c>
      <c r="Q804" s="34" t="str">
        <f t="shared" si="36"/>
        <v>Clear</v>
      </c>
      <c r="R804" s="41" t="str">
        <f>IF(I804=1,"Normal",IF(I804=2,"Yellow Alert",IF(I804=3,"Orange Alert",IF(I804=4,"Red Alert"))))</f>
        <v>Normal</v>
      </c>
      <c r="S804" s="60">
        <f t="shared" si="37"/>
        <v>5</v>
      </c>
      <c r="T804" s="61">
        <f>MONTH(dataset_1!B:B)</f>
        <v>1</v>
      </c>
      <c r="U804" s="61">
        <f t="shared" si="38"/>
        <v>2011</v>
      </c>
      <c r="V804" s="59" t="str">
        <f>TEXT(F804/24,"H AM/PM")</f>
        <v>9 PM</v>
      </c>
      <c r="W804" s="59" t="str">
        <f>IF(H804=6,"Saturday",IF(H804=0,"Sunday",IF(H804=1,"Monday",IF(H804=2,"Tuesday",IF(H804=3,"Wednesday",IF(H804=4,"Thursday",IF(H804=5,"Friday")))))))</f>
        <v>Saturday</v>
      </c>
      <c r="X804" s="59" t="str">
        <f>IF(G804=FALSE,"Working day", IF(G804=TRUE,"Holiday"))</f>
        <v>Working day</v>
      </c>
    </row>
    <row r="805" spans="1:24" x14ac:dyDescent="0.25">
      <c r="A805" s="32">
        <v>804</v>
      </c>
      <c r="B805" s="33">
        <v>40579</v>
      </c>
      <c r="C805" s="26">
        <v>1</v>
      </c>
      <c r="D805" s="26">
        <v>0</v>
      </c>
      <c r="E805" s="26">
        <v>2</v>
      </c>
      <c r="F805" s="26">
        <v>22</v>
      </c>
      <c r="G805" s="26" t="b">
        <v>0</v>
      </c>
      <c r="H805" s="26">
        <v>6</v>
      </c>
      <c r="I805" s="26">
        <v>1</v>
      </c>
      <c r="J805" s="26">
        <v>0.26</v>
      </c>
      <c r="K805" s="26">
        <v>0.2727</v>
      </c>
      <c r="L805" s="26">
        <v>0.93</v>
      </c>
      <c r="M805">
        <v>0.1343</v>
      </c>
      <c r="N805" s="26">
        <v>2</v>
      </c>
      <c r="O805" s="26">
        <v>43</v>
      </c>
      <c r="P805" s="26">
        <v>45</v>
      </c>
      <c r="Q805" s="34" t="str">
        <f t="shared" si="36"/>
        <v>Clear</v>
      </c>
      <c r="R805" s="41" t="str">
        <f>IF(I805=1,"Normal",IF(I805=2,"Yellow Alert",IF(I805=3,"Orange Alert",IF(I805=4,"Red Alert"))))</f>
        <v>Normal</v>
      </c>
      <c r="S805" s="60">
        <f t="shared" si="37"/>
        <v>5</v>
      </c>
      <c r="T805" s="61">
        <f>MONTH(dataset_1!B:B)</f>
        <v>1</v>
      </c>
      <c r="U805" s="61">
        <f t="shared" si="38"/>
        <v>2011</v>
      </c>
      <c r="V805" s="59" t="str">
        <f>TEXT(F805/24,"H AM/PM")</f>
        <v>10 PM</v>
      </c>
      <c r="W805" s="59" t="str">
        <f>IF(H805=6,"Saturday",IF(H805=0,"Sunday",IF(H805=1,"Monday",IF(H805=2,"Tuesday",IF(H805=3,"Wednesday",IF(H805=4,"Thursday",IF(H805=5,"Friday")))))))</f>
        <v>Saturday</v>
      </c>
      <c r="X805" s="59" t="str">
        <f>IF(G805=FALSE,"Working day", IF(G805=TRUE,"Holiday"))</f>
        <v>Working day</v>
      </c>
    </row>
    <row r="806" spans="1:24" x14ac:dyDescent="0.25">
      <c r="A806" s="32">
        <v>805</v>
      </c>
      <c r="B806" s="33">
        <v>40579</v>
      </c>
      <c r="C806" s="26">
        <v>1</v>
      </c>
      <c r="D806" s="26">
        <v>0</v>
      </c>
      <c r="E806" s="26">
        <v>2</v>
      </c>
      <c r="F806" s="26">
        <v>23</v>
      </c>
      <c r="G806" s="26" t="b">
        <v>0</v>
      </c>
      <c r="H806" s="26">
        <v>6</v>
      </c>
      <c r="I806" s="26">
        <v>1</v>
      </c>
      <c r="J806" s="26">
        <v>0.26</v>
      </c>
      <c r="K806" s="26">
        <v>0.2576</v>
      </c>
      <c r="L806" s="26">
        <v>0.93</v>
      </c>
      <c r="M806">
        <v>0.22389999999999999</v>
      </c>
      <c r="N806" s="26">
        <v>7</v>
      </c>
      <c r="O806" s="26">
        <v>52</v>
      </c>
      <c r="P806" s="26">
        <v>59</v>
      </c>
      <c r="Q806" s="34" t="str">
        <f t="shared" si="36"/>
        <v>Clear</v>
      </c>
      <c r="R806" s="41" t="str">
        <f>IF(I806=1,"Normal",IF(I806=2,"Yellow Alert",IF(I806=3,"Orange Alert",IF(I806=4,"Red Alert"))))</f>
        <v>Normal</v>
      </c>
      <c r="S806" s="60">
        <f t="shared" si="37"/>
        <v>5</v>
      </c>
      <c r="T806" s="61">
        <f>MONTH(dataset_1!B:B)</f>
        <v>1</v>
      </c>
      <c r="U806" s="61">
        <f t="shared" si="38"/>
        <v>2011</v>
      </c>
      <c r="V806" s="59" t="str">
        <f>TEXT(F806/24,"H AM/PM")</f>
        <v>11 PM</v>
      </c>
      <c r="W806" s="59" t="str">
        <f>IF(H806=6,"Saturday",IF(H806=0,"Sunday",IF(H806=1,"Monday",IF(H806=2,"Tuesday",IF(H806=3,"Wednesday",IF(H806=4,"Thursday",IF(H806=5,"Friday")))))))</f>
        <v>Saturday</v>
      </c>
      <c r="X806" s="59" t="str">
        <f>IF(G806=FALSE,"Working day", IF(G806=TRUE,"Holiday"))</f>
        <v>Working day</v>
      </c>
    </row>
    <row r="807" spans="1:24" x14ac:dyDescent="0.25">
      <c r="A807" s="32">
        <v>806</v>
      </c>
      <c r="B807" s="33">
        <v>40580</v>
      </c>
      <c r="C807" s="26">
        <v>1</v>
      </c>
      <c r="D807" s="26">
        <v>0</v>
      </c>
      <c r="E807" s="26">
        <v>2</v>
      </c>
      <c r="F807" s="26">
        <v>0</v>
      </c>
      <c r="G807" s="26" t="b">
        <v>0</v>
      </c>
      <c r="H807" s="26">
        <v>0</v>
      </c>
      <c r="I807" s="26">
        <v>1</v>
      </c>
      <c r="J807" s="26">
        <v>0.26</v>
      </c>
      <c r="K807" s="26">
        <v>0.2576</v>
      </c>
      <c r="L807" s="26">
        <v>0.7</v>
      </c>
      <c r="M807">
        <v>0.19400000000000001</v>
      </c>
      <c r="N807" s="26">
        <v>2</v>
      </c>
      <c r="O807" s="26">
        <v>37</v>
      </c>
      <c r="P807" s="26">
        <v>39</v>
      </c>
      <c r="Q807" s="34" t="str">
        <f t="shared" si="36"/>
        <v>Clear</v>
      </c>
      <c r="R807" s="41" t="str">
        <f>IF(I807=1,"Normal",IF(I807=2,"Yellow Alert",IF(I807=3,"Orange Alert",IF(I807=4,"Red Alert"))))</f>
        <v>Normal</v>
      </c>
      <c r="S807" s="60">
        <f t="shared" si="37"/>
        <v>6</v>
      </c>
      <c r="T807" s="61">
        <f>MONTH(dataset_1!B:B)</f>
        <v>1</v>
      </c>
      <c r="U807" s="61">
        <f t="shared" si="38"/>
        <v>2011</v>
      </c>
      <c r="V807" s="59" t="str">
        <f>TEXT(F807/24,"H AM/PM")</f>
        <v>12 AM</v>
      </c>
      <c r="W807" s="59" t="str">
        <f>IF(H807=6,"Saturday",IF(H807=0,"Sunday",IF(H807=1,"Monday",IF(H807=2,"Tuesday",IF(H807=3,"Wednesday",IF(H807=4,"Thursday",IF(H807=5,"Friday")))))))</f>
        <v>Sunday</v>
      </c>
      <c r="X807" s="59" t="str">
        <f>IF(G807=FALSE,"Working day", IF(G807=TRUE,"Holiday"))</f>
        <v>Working day</v>
      </c>
    </row>
    <row r="808" spans="1:24" x14ac:dyDescent="0.25">
      <c r="A808" s="32">
        <v>807</v>
      </c>
      <c r="B808" s="33">
        <v>40580</v>
      </c>
      <c r="C808" s="26">
        <v>1</v>
      </c>
      <c r="D808" s="26">
        <v>0</v>
      </c>
      <c r="E808" s="26">
        <v>2</v>
      </c>
      <c r="F808" s="26">
        <v>1</v>
      </c>
      <c r="G808" s="26" t="b">
        <v>0</v>
      </c>
      <c r="H808" s="26">
        <v>0</v>
      </c>
      <c r="I808" s="26">
        <v>1</v>
      </c>
      <c r="J808" s="26">
        <v>0.26</v>
      </c>
      <c r="K808" s="26">
        <v>0.2273</v>
      </c>
      <c r="L808" s="26">
        <v>0.65</v>
      </c>
      <c r="M808">
        <v>0.41789999999999999</v>
      </c>
      <c r="N808" s="26">
        <v>4</v>
      </c>
      <c r="O808" s="26">
        <v>40</v>
      </c>
      <c r="P808" s="26">
        <v>44</v>
      </c>
      <c r="Q808" s="34" t="str">
        <f t="shared" si="36"/>
        <v>Clear</v>
      </c>
      <c r="R808" s="41" t="str">
        <f>IF(I808=1,"Normal",IF(I808=2,"Yellow Alert",IF(I808=3,"Orange Alert",IF(I808=4,"Red Alert"))))</f>
        <v>Normal</v>
      </c>
      <c r="S808" s="60">
        <f t="shared" si="37"/>
        <v>6</v>
      </c>
      <c r="T808" s="61">
        <f>MONTH(dataset_1!B:B)</f>
        <v>1</v>
      </c>
      <c r="U808" s="61">
        <f t="shared" si="38"/>
        <v>2011</v>
      </c>
      <c r="V808" s="59" t="str">
        <f>TEXT(F808/24,"H AM/PM")</f>
        <v>1 AM</v>
      </c>
      <c r="W808" s="59" t="str">
        <f>IF(H808=6,"Saturday",IF(H808=0,"Sunday",IF(H808=1,"Monday",IF(H808=2,"Tuesday",IF(H808=3,"Wednesday",IF(H808=4,"Thursday",IF(H808=5,"Friday")))))))</f>
        <v>Sunday</v>
      </c>
      <c r="X808" s="59" t="str">
        <f>IF(G808=FALSE,"Working day", IF(G808=TRUE,"Holiday"))</f>
        <v>Working day</v>
      </c>
    </row>
    <row r="809" spans="1:24" x14ac:dyDescent="0.25">
      <c r="A809" s="32">
        <v>808</v>
      </c>
      <c r="B809" s="33">
        <v>40580</v>
      </c>
      <c r="C809" s="26">
        <v>1</v>
      </c>
      <c r="D809" s="26">
        <v>0</v>
      </c>
      <c r="E809" s="26">
        <v>2</v>
      </c>
      <c r="F809" s="26">
        <v>2</v>
      </c>
      <c r="G809" s="26" t="b">
        <v>0</v>
      </c>
      <c r="H809" s="26">
        <v>0</v>
      </c>
      <c r="I809" s="26">
        <v>1</v>
      </c>
      <c r="J809" s="26">
        <v>0.26</v>
      </c>
      <c r="K809" s="26">
        <v>0.2273</v>
      </c>
      <c r="L809" s="26">
        <v>0.6</v>
      </c>
      <c r="M809">
        <v>0.32840000000000003</v>
      </c>
      <c r="N809" s="26">
        <v>0</v>
      </c>
      <c r="O809" s="26">
        <v>20</v>
      </c>
      <c r="P809" s="26">
        <v>20</v>
      </c>
      <c r="Q809" s="34" t="str">
        <f t="shared" si="36"/>
        <v>Clear</v>
      </c>
      <c r="R809" s="41" t="str">
        <f>IF(I809=1,"Normal",IF(I809=2,"Yellow Alert",IF(I809=3,"Orange Alert",IF(I809=4,"Red Alert"))))</f>
        <v>Normal</v>
      </c>
      <c r="S809" s="60">
        <f t="shared" si="37"/>
        <v>6</v>
      </c>
      <c r="T809" s="61">
        <f>MONTH(dataset_1!B:B)</f>
        <v>1</v>
      </c>
      <c r="U809" s="61">
        <f t="shared" si="38"/>
        <v>2011</v>
      </c>
      <c r="V809" s="59" t="str">
        <f>TEXT(F809/24,"H AM/PM")</f>
        <v>2 AM</v>
      </c>
      <c r="W809" s="59" t="str">
        <f>IF(H809=6,"Saturday",IF(H809=0,"Sunday",IF(H809=1,"Monday",IF(H809=2,"Tuesday",IF(H809=3,"Wednesday",IF(H809=4,"Thursday",IF(H809=5,"Friday")))))))</f>
        <v>Sunday</v>
      </c>
      <c r="X809" s="59" t="str">
        <f>IF(G809=FALSE,"Working day", IF(G809=TRUE,"Holiday"))</f>
        <v>Working day</v>
      </c>
    </row>
    <row r="810" spans="1:24" x14ac:dyDescent="0.25">
      <c r="A810" s="32">
        <v>809</v>
      </c>
      <c r="B810" s="33">
        <v>40580</v>
      </c>
      <c r="C810" s="26">
        <v>1</v>
      </c>
      <c r="D810" s="26">
        <v>0</v>
      </c>
      <c r="E810" s="26">
        <v>2</v>
      </c>
      <c r="F810" s="26">
        <v>3</v>
      </c>
      <c r="G810" s="26" t="b">
        <v>0</v>
      </c>
      <c r="H810" s="26">
        <v>0</v>
      </c>
      <c r="I810" s="26">
        <v>1</v>
      </c>
      <c r="J810" s="26">
        <v>0.26</v>
      </c>
      <c r="K810" s="26">
        <v>0.28789999999999999</v>
      </c>
      <c r="L810" s="26">
        <v>0.6</v>
      </c>
      <c r="M810">
        <v>8.9599999999999999E-2</v>
      </c>
      <c r="N810" s="26">
        <v>3</v>
      </c>
      <c r="O810" s="26">
        <v>10</v>
      </c>
      <c r="P810" s="26">
        <v>13</v>
      </c>
      <c r="Q810" s="34" t="str">
        <f t="shared" si="36"/>
        <v>Clear</v>
      </c>
      <c r="R810" s="41" t="str">
        <f>IF(I810=1,"Normal",IF(I810=2,"Yellow Alert",IF(I810=3,"Orange Alert",IF(I810=4,"Red Alert"))))</f>
        <v>Normal</v>
      </c>
      <c r="S810" s="60">
        <f t="shared" si="37"/>
        <v>6</v>
      </c>
      <c r="T810" s="61">
        <f>MONTH(dataset_1!B:B)</f>
        <v>1</v>
      </c>
      <c r="U810" s="61">
        <f t="shared" si="38"/>
        <v>2011</v>
      </c>
      <c r="V810" s="59" t="str">
        <f>TEXT(F810/24,"H AM/PM")</f>
        <v>3 AM</v>
      </c>
      <c r="W810" s="59" t="str">
        <f>IF(H810=6,"Saturday",IF(H810=0,"Sunday",IF(H810=1,"Monday",IF(H810=2,"Tuesday",IF(H810=3,"Wednesday",IF(H810=4,"Thursday",IF(H810=5,"Friday")))))))</f>
        <v>Sunday</v>
      </c>
      <c r="X810" s="59" t="str">
        <f>IF(G810=FALSE,"Working day", IF(G810=TRUE,"Holiday"))</f>
        <v>Working day</v>
      </c>
    </row>
    <row r="811" spans="1:24" x14ac:dyDescent="0.25">
      <c r="A811" s="32">
        <v>810</v>
      </c>
      <c r="B811" s="33">
        <v>40580</v>
      </c>
      <c r="C811" s="26">
        <v>1</v>
      </c>
      <c r="D811" s="26">
        <v>0</v>
      </c>
      <c r="E811" s="26">
        <v>2</v>
      </c>
      <c r="F811" s="26">
        <v>4</v>
      </c>
      <c r="G811" s="26" t="b">
        <v>0</v>
      </c>
      <c r="H811" s="26">
        <v>0</v>
      </c>
      <c r="I811" s="26">
        <v>1</v>
      </c>
      <c r="J811" s="26">
        <v>0.26</v>
      </c>
      <c r="K811" s="26">
        <v>0.2273</v>
      </c>
      <c r="L811" s="26">
        <v>0.6</v>
      </c>
      <c r="M811">
        <v>0.35820000000000002</v>
      </c>
      <c r="N811" s="26">
        <v>0</v>
      </c>
      <c r="O811" s="26">
        <v>2</v>
      </c>
      <c r="P811" s="26">
        <v>2</v>
      </c>
      <c r="Q811" s="34" t="str">
        <f t="shared" si="36"/>
        <v>Clear</v>
      </c>
      <c r="R811" s="41" t="str">
        <f>IF(I811=1,"Normal",IF(I811=2,"Yellow Alert",IF(I811=3,"Orange Alert",IF(I811=4,"Red Alert"))))</f>
        <v>Normal</v>
      </c>
      <c r="S811" s="60">
        <f t="shared" si="37"/>
        <v>6</v>
      </c>
      <c r="T811" s="61">
        <f>MONTH(dataset_1!B:B)</f>
        <v>1</v>
      </c>
      <c r="U811" s="61">
        <f t="shared" si="38"/>
        <v>2011</v>
      </c>
      <c r="V811" s="59" t="str">
        <f>TEXT(F811/24,"H AM/PM")</f>
        <v>4 AM</v>
      </c>
      <c r="W811" s="59" t="str">
        <f>IF(H811=6,"Saturday",IF(H811=0,"Sunday",IF(H811=1,"Monday",IF(H811=2,"Tuesday",IF(H811=3,"Wednesday",IF(H811=4,"Thursday",IF(H811=5,"Friday")))))))</f>
        <v>Sunday</v>
      </c>
      <c r="X811" s="59" t="str">
        <f>IF(G811=FALSE,"Working day", IF(G811=TRUE,"Holiday"))</f>
        <v>Working day</v>
      </c>
    </row>
    <row r="812" spans="1:24" x14ac:dyDescent="0.25">
      <c r="A812" s="32">
        <v>811</v>
      </c>
      <c r="B812" s="33">
        <v>40580</v>
      </c>
      <c r="C812" s="26">
        <v>1</v>
      </c>
      <c r="D812" s="26">
        <v>0</v>
      </c>
      <c r="E812" s="26">
        <v>2</v>
      </c>
      <c r="F812" s="26">
        <v>5</v>
      </c>
      <c r="G812" s="26" t="b">
        <v>0</v>
      </c>
      <c r="H812" s="26">
        <v>0</v>
      </c>
      <c r="I812" s="26">
        <v>1</v>
      </c>
      <c r="J812" s="26">
        <v>0.26</v>
      </c>
      <c r="K812" s="26">
        <v>0.2576</v>
      </c>
      <c r="L812" s="26">
        <v>0.6</v>
      </c>
      <c r="M812">
        <v>0.22389999999999999</v>
      </c>
      <c r="N812" s="26">
        <v>0</v>
      </c>
      <c r="O812" s="26">
        <v>1</v>
      </c>
      <c r="P812" s="26">
        <v>1</v>
      </c>
      <c r="Q812" s="34" t="str">
        <f t="shared" si="36"/>
        <v>Clear</v>
      </c>
      <c r="R812" s="41" t="str">
        <f>IF(I812=1,"Normal",IF(I812=2,"Yellow Alert",IF(I812=3,"Orange Alert",IF(I812=4,"Red Alert"))))</f>
        <v>Normal</v>
      </c>
      <c r="S812" s="60">
        <f t="shared" si="37"/>
        <v>6</v>
      </c>
      <c r="T812" s="61">
        <f>MONTH(dataset_1!B:B)</f>
        <v>1</v>
      </c>
      <c r="U812" s="61">
        <f t="shared" si="38"/>
        <v>2011</v>
      </c>
      <c r="V812" s="59" t="str">
        <f>TEXT(F812/24,"H AM/PM")</f>
        <v>5 AM</v>
      </c>
      <c r="W812" s="59" t="str">
        <f>IF(H812=6,"Saturday",IF(H812=0,"Sunday",IF(H812=1,"Monday",IF(H812=2,"Tuesday",IF(H812=3,"Wednesday",IF(H812=4,"Thursday",IF(H812=5,"Friday")))))))</f>
        <v>Sunday</v>
      </c>
      <c r="X812" s="59" t="str">
        <f>IF(G812=FALSE,"Working day", IF(G812=TRUE,"Holiday"))</f>
        <v>Working day</v>
      </c>
    </row>
    <row r="813" spans="1:24" x14ac:dyDescent="0.25">
      <c r="A813" s="32">
        <v>812</v>
      </c>
      <c r="B813" s="33">
        <v>40580</v>
      </c>
      <c r="C813" s="26">
        <v>1</v>
      </c>
      <c r="D813" s="26">
        <v>0</v>
      </c>
      <c r="E813" s="26">
        <v>2</v>
      </c>
      <c r="F813" s="26">
        <v>6</v>
      </c>
      <c r="G813" s="26" t="b">
        <v>0</v>
      </c>
      <c r="H813" s="26">
        <v>0</v>
      </c>
      <c r="I813" s="26">
        <v>1</v>
      </c>
      <c r="J813" s="26">
        <v>0.26</v>
      </c>
      <c r="K813" s="26">
        <v>0.2576</v>
      </c>
      <c r="L813" s="26">
        <v>0.6</v>
      </c>
      <c r="M813">
        <v>0.22389999999999999</v>
      </c>
      <c r="N813" s="26">
        <v>0</v>
      </c>
      <c r="O813" s="26">
        <v>1</v>
      </c>
      <c r="P813" s="26">
        <v>1</v>
      </c>
      <c r="Q813" s="34" t="str">
        <f t="shared" si="36"/>
        <v>Clear</v>
      </c>
      <c r="R813" s="41" t="str">
        <f>IF(I813=1,"Normal",IF(I813=2,"Yellow Alert",IF(I813=3,"Orange Alert",IF(I813=4,"Red Alert"))))</f>
        <v>Normal</v>
      </c>
      <c r="S813" s="60">
        <f t="shared" si="37"/>
        <v>6</v>
      </c>
      <c r="T813" s="61">
        <f>MONTH(dataset_1!B:B)</f>
        <v>1</v>
      </c>
      <c r="U813" s="61">
        <f t="shared" si="38"/>
        <v>2011</v>
      </c>
      <c r="V813" s="59" t="str">
        <f>TEXT(F813/24,"H AM/PM")</f>
        <v>6 AM</v>
      </c>
      <c r="W813" s="59" t="str">
        <f>IF(H813=6,"Saturday",IF(H813=0,"Sunday",IF(H813=1,"Monday",IF(H813=2,"Tuesday",IF(H813=3,"Wednesday",IF(H813=4,"Thursday",IF(H813=5,"Friday")))))))</f>
        <v>Sunday</v>
      </c>
      <c r="X813" s="59" t="str">
        <f>IF(G813=FALSE,"Working day", IF(G813=TRUE,"Holiday"))</f>
        <v>Working day</v>
      </c>
    </row>
    <row r="814" spans="1:24" x14ac:dyDescent="0.25">
      <c r="A814" s="32">
        <v>813</v>
      </c>
      <c r="B814" s="33">
        <v>40580</v>
      </c>
      <c r="C814" s="26">
        <v>1</v>
      </c>
      <c r="D814" s="26">
        <v>0</v>
      </c>
      <c r="E814" s="26">
        <v>2</v>
      </c>
      <c r="F814" s="26">
        <v>7</v>
      </c>
      <c r="G814" s="26" t="b">
        <v>0</v>
      </c>
      <c r="H814" s="26">
        <v>0</v>
      </c>
      <c r="I814" s="26">
        <v>1</v>
      </c>
      <c r="J814" s="26">
        <v>0.24</v>
      </c>
      <c r="K814" s="26">
        <v>0.2424</v>
      </c>
      <c r="L814" s="26">
        <v>0.65</v>
      </c>
      <c r="M814">
        <v>0.16420000000000001</v>
      </c>
      <c r="N814" s="26">
        <v>0</v>
      </c>
      <c r="O814" s="26">
        <v>8</v>
      </c>
      <c r="P814" s="26">
        <v>8</v>
      </c>
      <c r="Q814" s="34" t="str">
        <f t="shared" si="36"/>
        <v>Clear</v>
      </c>
      <c r="R814" s="41" t="str">
        <f>IF(I814=1,"Normal",IF(I814=2,"Yellow Alert",IF(I814=3,"Orange Alert",IF(I814=4,"Red Alert"))))</f>
        <v>Normal</v>
      </c>
      <c r="S814" s="60">
        <f t="shared" si="37"/>
        <v>6</v>
      </c>
      <c r="T814" s="61">
        <f>MONTH(dataset_1!B:B)</f>
        <v>1</v>
      </c>
      <c r="U814" s="61">
        <f t="shared" si="38"/>
        <v>2011</v>
      </c>
      <c r="V814" s="59" t="str">
        <f>TEXT(F814/24,"H AM/PM")</f>
        <v>7 AM</v>
      </c>
      <c r="W814" s="59" t="str">
        <f>IF(H814=6,"Saturday",IF(H814=0,"Sunday",IF(H814=1,"Monday",IF(H814=2,"Tuesday",IF(H814=3,"Wednesday",IF(H814=4,"Thursday",IF(H814=5,"Friday")))))))</f>
        <v>Sunday</v>
      </c>
      <c r="X814" s="59" t="str">
        <f>IF(G814=FALSE,"Working day", IF(G814=TRUE,"Holiday"))</f>
        <v>Working day</v>
      </c>
    </row>
    <row r="815" spans="1:24" x14ac:dyDescent="0.25">
      <c r="A815" s="32">
        <v>814</v>
      </c>
      <c r="B815" s="33">
        <v>40580</v>
      </c>
      <c r="C815" s="26">
        <v>1</v>
      </c>
      <c r="D815" s="26">
        <v>0</v>
      </c>
      <c r="E815" s="26">
        <v>2</v>
      </c>
      <c r="F815" s="26">
        <v>8</v>
      </c>
      <c r="G815" s="26" t="b">
        <v>0</v>
      </c>
      <c r="H815" s="26">
        <v>0</v>
      </c>
      <c r="I815" s="26">
        <v>1</v>
      </c>
      <c r="J815" s="26">
        <v>0.24</v>
      </c>
      <c r="K815" s="26">
        <v>0.2576</v>
      </c>
      <c r="L815" s="26">
        <v>0.65</v>
      </c>
      <c r="M815">
        <v>0.1045</v>
      </c>
      <c r="N815" s="26">
        <v>2</v>
      </c>
      <c r="O815" s="26">
        <v>21</v>
      </c>
      <c r="P815" s="26">
        <v>23</v>
      </c>
      <c r="Q815" s="34" t="str">
        <f t="shared" si="36"/>
        <v>Clear</v>
      </c>
      <c r="R815" s="41" t="str">
        <f>IF(I815=1,"Normal",IF(I815=2,"Yellow Alert",IF(I815=3,"Orange Alert",IF(I815=4,"Red Alert"))))</f>
        <v>Normal</v>
      </c>
      <c r="S815" s="60">
        <f t="shared" si="37"/>
        <v>6</v>
      </c>
      <c r="T815" s="61">
        <f>MONTH(dataset_1!B:B)</f>
        <v>1</v>
      </c>
      <c r="U815" s="61">
        <f t="shared" si="38"/>
        <v>2011</v>
      </c>
      <c r="V815" s="59" t="str">
        <f>TEXT(F815/24,"H AM/PM")</f>
        <v>8 AM</v>
      </c>
      <c r="W815" s="59" t="str">
        <f>IF(H815=6,"Saturday",IF(H815=0,"Sunday",IF(H815=1,"Monday",IF(H815=2,"Tuesday",IF(H815=3,"Wednesday",IF(H815=4,"Thursday",IF(H815=5,"Friday")))))))</f>
        <v>Sunday</v>
      </c>
      <c r="X815" s="59" t="str">
        <f>IF(G815=FALSE,"Working day", IF(G815=TRUE,"Holiday"))</f>
        <v>Working day</v>
      </c>
    </row>
    <row r="816" spans="1:24" x14ac:dyDescent="0.25">
      <c r="A816" s="32">
        <v>815</v>
      </c>
      <c r="B816" s="33">
        <v>40580</v>
      </c>
      <c r="C816" s="26">
        <v>1</v>
      </c>
      <c r="D816" s="26">
        <v>0</v>
      </c>
      <c r="E816" s="26">
        <v>2</v>
      </c>
      <c r="F816" s="26">
        <v>9</v>
      </c>
      <c r="G816" s="26" t="b">
        <v>0</v>
      </c>
      <c r="H816" s="26">
        <v>0</v>
      </c>
      <c r="I816" s="26">
        <v>1</v>
      </c>
      <c r="J816" s="26">
        <v>0.28000000000000003</v>
      </c>
      <c r="K816" s="26">
        <v>0.28789999999999999</v>
      </c>
      <c r="L816" s="26">
        <v>0.56000000000000005</v>
      </c>
      <c r="M816">
        <v>0.1045</v>
      </c>
      <c r="N816" s="26">
        <v>7</v>
      </c>
      <c r="O816" s="26">
        <v>38</v>
      </c>
      <c r="P816" s="26">
        <v>45</v>
      </c>
      <c r="Q816" s="34" t="str">
        <f t="shared" si="36"/>
        <v>Clear</v>
      </c>
      <c r="R816" s="41" t="str">
        <f>IF(I816=1,"Normal",IF(I816=2,"Yellow Alert",IF(I816=3,"Orange Alert",IF(I816=4,"Red Alert"))))</f>
        <v>Normal</v>
      </c>
      <c r="S816" s="60">
        <f t="shared" si="37"/>
        <v>6</v>
      </c>
      <c r="T816" s="61">
        <f>MONTH(dataset_1!B:B)</f>
        <v>1</v>
      </c>
      <c r="U816" s="61">
        <f t="shared" si="38"/>
        <v>2011</v>
      </c>
      <c r="V816" s="59" t="str">
        <f>TEXT(F816/24,"H AM/PM")</f>
        <v>9 AM</v>
      </c>
      <c r="W816" s="59" t="str">
        <f>IF(H816=6,"Saturday",IF(H816=0,"Sunday",IF(H816=1,"Monday",IF(H816=2,"Tuesday",IF(H816=3,"Wednesday",IF(H816=4,"Thursday",IF(H816=5,"Friday")))))))</f>
        <v>Sunday</v>
      </c>
      <c r="X816" s="59" t="str">
        <f>IF(G816=FALSE,"Working day", IF(G816=TRUE,"Holiday"))</f>
        <v>Working day</v>
      </c>
    </row>
    <row r="817" spans="1:24" x14ac:dyDescent="0.25">
      <c r="A817" s="32">
        <v>816</v>
      </c>
      <c r="B817" s="33">
        <v>40580</v>
      </c>
      <c r="C817" s="26">
        <v>1</v>
      </c>
      <c r="D817" s="26">
        <v>0</v>
      </c>
      <c r="E817" s="26">
        <v>2</v>
      </c>
      <c r="F817" s="26">
        <v>10</v>
      </c>
      <c r="G817" s="26" t="b">
        <v>0</v>
      </c>
      <c r="H817" s="26">
        <v>0</v>
      </c>
      <c r="I817" s="26">
        <v>1</v>
      </c>
      <c r="J817" s="26">
        <v>0.3</v>
      </c>
      <c r="K817" s="26">
        <v>0.28789999999999999</v>
      </c>
      <c r="L817" s="26">
        <v>0.52</v>
      </c>
      <c r="M817">
        <v>0.25369999999999998</v>
      </c>
      <c r="N817" s="26">
        <v>15</v>
      </c>
      <c r="O817" s="26">
        <v>74</v>
      </c>
      <c r="P817" s="26">
        <v>89</v>
      </c>
      <c r="Q817" s="34" t="str">
        <f t="shared" si="36"/>
        <v>Clear</v>
      </c>
      <c r="R817" s="41" t="str">
        <f>IF(I817=1,"Normal",IF(I817=2,"Yellow Alert",IF(I817=3,"Orange Alert",IF(I817=4,"Red Alert"))))</f>
        <v>Normal</v>
      </c>
      <c r="S817" s="60">
        <f t="shared" si="37"/>
        <v>6</v>
      </c>
      <c r="T817" s="61">
        <f>MONTH(dataset_1!B:B)</f>
        <v>1</v>
      </c>
      <c r="U817" s="61">
        <f t="shared" si="38"/>
        <v>2011</v>
      </c>
      <c r="V817" s="59" t="str">
        <f>TEXT(F817/24,"H AM/PM")</f>
        <v>10 AM</v>
      </c>
      <c r="W817" s="59" t="str">
        <f>IF(H817=6,"Saturday",IF(H817=0,"Sunday",IF(H817=1,"Monday",IF(H817=2,"Tuesday",IF(H817=3,"Wednesday",IF(H817=4,"Thursday",IF(H817=5,"Friday")))))))</f>
        <v>Sunday</v>
      </c>
      <c r="X817" s="59" t="str">
        <f>IF(G817=FALSE,"Working day", IF(G817=TRUE,"Holiday"))</f>
        <v>Working day</v>
      </c>
    </row>
    <row r="818" spans="1:24" x14ac:dyDescent="0.25">
      <c r="A818" s="32">
        <v>817</v>
      </c>
      <c r="B818" s="33">
        <v>40580</v>
      </c>
      <c r="C818" s="26">
        <v>1</v>
      </c>
      <c r="D818" s="26">
        <v>0</v>
      </c>
      <c r="E818" s="26">
        <v>2</v>
      </c>
      <c r="F818" s="26">
        <v>11</v>
      </c>
      <c r="G818" s="26" t="b">
        <v>0</v>
      </c>
      <c r="H818" s="26">
        <v>0</v>
      </c>
      <c r="I818" s="26">
        <v>1</v>
      </c>
      <c r="J818" s="26">
        <v>0.32</v>
      </c>
      <c r="K818" s="26">
        <v>0.30299999999999999</v>
      </c>
      <c r="L818" s="26">
        <v>0.49</v>
      </c>
      <c r="M818">
        <v>0.25369999999999998</v>
      </c>
      <c r="N818" s="26">
        <v>28</v>
      </c>
      <c r="O818" s="26">
        <v>89</v>
      </c>
      <c r="P818" s="26">
        <v>117</v>
      </c>
      <c r="Q818" s="34" t="str">
        <f t="shared" si="36"/>
        <v>Clear</v>
      </c>
      <c r="R818" s="41" t="str">
        <f>IF(I818=1,"Normal",IF(I818=2,"Yellow Alert",IF(I818=3,"Orange Alert",IF(I818=4,"Red Alert"))))</f>
        <v>Normal</v>
      </c>
      <c r="S818" s="60">
        <f t="shared" si="37"/>
        <v>6</v>
      </c>
      <c r="T818" s="61">
        <f>MONTH(dataset_1!B:B)</f>
        <v>1</v>
      </c>
      <c r="U818" s="61">
        <f t="shared" si="38"/>
        <v>2011</v>
      </c>
      <c r="V818" s="59" t="str">
        <f>TEXT(F818/24,"H AM/PM")</f>
        <v>11 AM</v>
      </c>
      <c r="W818" s="59" t="str">
        <f>IF(H818=6,"Saturday",IF(H818=0,"Sunday",IF(H818=1,"Monday",IF(H818=2,"Tuesday",IF(H818=3,"Wednesday",IF(H818=4,"Thursday",IF(H818=5,"Friday")))))))</f>
        <v>Sunday</v>
      </c>
      <c r="X818" s="59" t="str">
        <f>IF(G818=FALSE,"Working day", IF(G818=TRUE,"Holiday"))</f>
        <v>Working day</v>
      </c>
    </row>
    <row r="819" spans="1:24" x14ac:dyDescent="0.25">
      <c r="A819" s="32">
        <v>818</v>
      </c>
      <c r="B819" s="33">
        <v>40580</v>
      </c>
      <c r="C819" s="26">
        <v>1</v>
      </c>
      <c r="D819" s="26">
        <v>0</v>
      </c>
      <c r="E819" s="26">
        <v>2</v>
      </c>
      <c r="F819" s="26">
        <v>12</v>
      </c>
      <c r="G819" s="26" t="b">
        <v>0</v>
      </c>
      <c r="H819" s="26">
        <v>0</v>
      </c>
      <c r="I819" s="26">
        <v>1</v>
      </c>
      <c r="J819" s="26">
        <v>0.34</v>
      </c>
      <c r="K819" s="26">
        <v>0.33329999999999999</v>
      </c>
      <c r="L819" s="26">
        <v>0.46</v>
      </c>
      <c r="M819">
        <v>0</v>
      </c>
      <c r="N819" s="26">
        <v>48</v>
      </c>
      <c r="O819" s="26">
        <v>126</v>
      </c>
      <c r="P819" s="26">
        <v>174</v>
      </c>
      <c r="Q819" s="34" t="str">
        <f t="shared" si="36"/>
        <v>Clear</v>
      </c>
      <c r="R819" s="41" t="str">
        <f>IF(I819=1,"Normal",IF(I819=2,"Yellow Alert",IF(I819=3,"Orange Alert",IF(I819=4,"Red Alert"))))</f>
        <v>Normal</v>
      </c>
      <c r="S819" s="60">
        <f t="shared" si="37"/>
        <v>6</v>
      </c>
      <c r="T819" s="61">
        <f>MONTH(dataset_1!B:B)</f>
        <v>1</v>
      </c>
      <c r="U819" s="61">
        <f t="shared" si="38"/>
        <v>2011</v>
      </c>
      <c r="V819" s="59" t="str">
        <f>TEXT(F819/24,"H AM/PM")</f>
        <v>12 PM</v>
      </c>
      <c r="W819" s="59" t="str">
        <f>IF(H819=6,"Saturday",IF(H819=0,"Sunday",IF(H819=1,"Monday",IF(H819=2,"Tuesday",IF(H819=3,"Wednesday",IF(H819=4,"Thursday",IF(H819=5,"Friday")))))))</f>
        <v>Sunday</v>
      </c>
      <c r="X819" s="59" t="str">
        <f>IF(G819=FALSE,"Working day", IF(G819=TRUE,"Holiday"))</f>
        <v>Working day</v>
      </c>
    </row>
    <row r="820" spans="1:24" x14ac:dyDescent="0.25">
      <c r="A820" s="32">
        <v>819</v>
      </c>
      <c r="B820" s="33">
        <v>40580</v>
      </c>
      <c r="C820" s="26">
        <v>1</v>
      </c>
      <c r="D820" s="26">
        <v>0</v>
      </c>
      <c r="E820" s="26">
        <v>2</v>
      </c>
      <c r="F820" s="26">
        <v>13</v>
      </c>
      <c r="G820" s="26" t="b">
        <v>0</v>
      </c>
      <c r="H820" s="26">
        <v>0</v>
      </c>
      <c r="I820" s="26">
        <v>1</v>
      </c>
      <c r="J820" s="26">
        <v>0.34</v>
      </c>
      <c r="K820" s="26">
        <v>0.36359999999999998</v>
      </c>
      <c r="L820" s="26">
        <v>0.46</v>
      </c>
      <c r="M820">
        <v>0</v>
      </c>
      <c r="N820" s="26">
        <v>47</v>
      </c>
      <c r="O820" s="26">
        <v>135</v>
      </c>
      <c r="P820" s="26">
        <v>182</v>
      </c>
      <c r="Q820" s="34" t="str">
        <f t="shared" si="36"/>
        <v>Clear</v>
      </c>
      <c r="R820" s="41" t="str">
        <f>IF(I820=1,"Normal",IF(I820=2,"Yellow Alert",IF(I820=3,"Orange Alert",IF(I820=4,"Red Alert"))))</f>
        <v>Normal</v>
      </c>
      <c r="S820" s="60">
        <f t="shared" si="37"/>
        <v>6</v>
      </c>
      <c r="T820" s="61">
        <f>MONTH(dataset_1!B:B)</f>
        <v>1</v>
      </c>
      <c r="U820" s="61">
        <f t="shared" si="38"/>
        <v>2011</v>
      </c>
      <c r="V820" s="59" t="str">
        <f>TEXT(F820/24,"H AM/PM")</f>
        <v>1 PM</v>
      </c>
      <c r="W820" s="59" t="str">
        <f>IF(H820=6,"Saturday",IF(H820=0,"Sunday",IF(H820=1,"Monday",IF(H820=2,"Tuesday",IF(H820=3,"Wednesday",IF(H820=4,"Thursday",IF(H820=5,"Friday")))))))</f>
        <v>Sunday</v>
      </c>
      <c r="X820" s="59" t="str">
        <f>IF(G820=FALSE,"Working day", IF(G820=TRUE,"Holiday"))</f>
        <v>Working day</v>
      </c>
    </row>
    <row r="821" spans="1:24" x14ac:dyDescent="0.25">
      <c r="A821" s="32">
        <v>820</v>
      </c>
      <c r="B821" s="33">
        <v>40580</v>
      </c>
      <c r="C821" s="26">
        <v>1</v>
      </c>
      <c r="D821" s="26">
        <v>0</v>
      </c>
      <c r="E821" s="26">
        <v>2</v>
      </c>
      <c r="F821" s="26">
        <v>14</v>
      </c>
      <c r="G821" s="26" t="b">
        <v>0</v>
      </c>
      <c r="H821" s="26">
        <v>0</v>
      </c>
      <c r="I821" s="26">
        <v>1</v>
      </c>
      <c r="J821" s="26">
        <v>0.34</v>
      </c>
      <c r="K821" s="26">
        <v>0.34849999999999998</v>
      </c>
      <c r="L821" s="26">
        <v>0.46</v>
      </c>
      <c r="M821">
        <v>8.9599999999999999E-2</v>
      </c>
      <c r="N821" s="26">
        <v>47</v>
      </c>
      <c r="O821" s="26">
        <v>114</v>
      </c>
      <c r="P821" s="26">
        <v>161</v>
      </c>
      <c r="Q821" s="34" t="str">
        <f t="shared" si="36"/>
        <v>Clear</v>
      </c>
      <c r="R821" s="41" t="str">
        <f>IF(I821=1,"Normal",IF(I821=2,"Yellow Alert",IF(I821=3,"Orange Alert",IF(I821=4,"Red Alert"))))</f>
        <v>Normal</v>
      </c>
      <c r="S821" s="60">
        <f t="shared" si="37"/>
        <v>6</v>
      </c>
      <c r="T821" s="61">
        <f>MONTH(dataset_1!B:B)</f>
        <v>1</v>
      </c>
      <c r="U821" s="61">
        <f t="shared" si="38"/>
        <v>2011</v>
      </c>
      <c r="V821" s="59" t="str">
        <f>TEXT(F821/24,"H AM/PM")</f>
        <v>2 PM</v>
      </c>
      <c r="W821" s="59" t="str">
        <f>IF(H821=6,"Saturday",IF(H821=0,"Sunday",IF(H821=1,"Monday",IF(H821=2,"Tuesday",IF(H821=3,"Wednesday",IF(H821=4,"Thursday",IF(H821=5,"Friday")))))))</f>
        <v>Sunday</v>
      </c>
      <c r="X821" s="59" t="str">
        <f>IF(G821=FALSE,"Working day", IF(G821=TRUE,"Holiday"))</f>
        <v>Working day</v>
      </c>
    </row>
    <row r="822" spans="1:24" x14ac:dyDescent="0.25">
      <c r="A822" s="32">
        <v>821</v>
      </c>
      <c r="B822" s="33">
        <v>40580</v>
      </c>
      <c r="C822" s="26">
        <v>1</v>
      </c>
      <c r="D822" s="26">
        <v>0</v>
      </c>
      <c r="E822" s="26">
        <v>2</v>
      </c>
      <c r="F822" s="26">
        <v>15</v>
      </c>
      <c r="G822" s="26" t="b">
        <v>0</v>
      </c>
      <c r="H822" s="26">
        <v>0</v>
      </c>
      <c r="I822" s="26">
        <v>1</v>
      </c>
      <c r="J822" s="26">
        <v>0.34</v>
      </c>
      <c r="K822" s="26">
        <v>0.34849999999999998</v>
      </c>
      <c r="L822" s="26">
        <v>0.46</v>
      </c>
      <c r="M822">
        <v>8.9599999999999999E-2</v>
      </c>
      <c r="N822" s="26">
        <v>52</v>
      </c>
      <c r="O822" s="26">
        <v>130</v>
      </c>
      <c r="P822" s="26">
        <v>182</v>
      </c>
      <c r="Q822" s="34" t="str">
        <f t="shared" si="36"/>
        <v>Clear</v>
      </c>
      <c r="R822" s="41" t="str">
        <f>IF(I822=1,"Normal",IF(I822=2,"Yellow Alert",IF(I822=3,"Orange Alert",IF(I822=4,"Red Alert"))))</f>
        <v>Normal</v>
      </c>
      <c r="S822" s="60">
        <f t="shared" si="37"/>
        <v>6</v>
      </c>
      <c r="T822" s="61">
        <f>MONTH(dataset_1!B:B)</f>
        <v>1</v>
      </c>
      <c r="U822" s="61">
        <f t="shared" si="38"/>
        <v>2011</v>
      </c>
      <c r="V822" s="59" t="str">
        <f>TEXT(F822/24,"H AM/PM")</f>
        <v>3 PM</v>
      </c>
      <c r="W822" s="59" t="str">
        <f>IF(H822=6,"Saturday",IF(H822=0,"Sunday",IF(H822=1,"Monday",IF(H822=2,"Tuesday",IF(H822=3,"Wednesday",IF(H822=4,"Thursday",IF(H822=5,"Friday")))))))</f>
        <v>Sunday</v>
      </c>
      <c r="X822" s="59" t="str">
        <f>IF(G822=FALSE,"Working day", IF(G822=TRUE,"Holiday"))</f>
        <v>Working day</v>
      </c>
    </row>
    <row r="823" spans="1:24" x14ac:dyDescent="0.25">
      <c r="A823" s="32">
        <v>822</v>
      </c>
      <c r="B823" s="33">
        <v>40580</v>
      </c>
      <c r="C823" s="26">
        <v>1</v>
      </c>
      <c r="D823" s="26">
        <v>0</v>
      </c>
      <c r="E823" s="26">
        <v>2</v>
      </c>
      <c r="F823" s="26">
        <v>16</v>
      </c>
      <c r="G823" s="26" t="b">
        <v>0</v>
      </c>
      <c r="H823" s="26">
        <v>0</v>
      </c>
      <c r="I823" s="26">
        <v>1</v>
      </c>
      <c r="J823" s="26">
        <v>0.34</v>
      </c>
      <c r="K823" s="26">
        <v>0.34849999999999998</v>
      </c>
      <c r="L823" s="26">
        <v>0.49</v>
      </c>
      <c r="M823">
        <v>0.1045</v>
      </c>
      <c r="N823" s="26">
        <v>42</v>
      </c>
      <c r="O823" s="26">
        <v>115</v>
      </c>
      <c r="P823" s="26">
        <v>157</v>
      </c>
      <c r="Q823" s="34" t="str">
        <f t="shared" si="36"/>
        <v>Clear</v>
      </c>
      <c r="R823" s="41" t="str">
        <f>IF(I823=1,"Normal",IF(I823=2,"Yellow Alert",IF(I823=3,"Orange Alert",IF(I823=4,"Red Alert"))))</f>
        <v>Normal</v>
      </c>
      <c r="S823" s="60">
        <f t="shared" si="37"/>
        <v>6</v>
      </c>
      <c r="T823" s="61">
        <f>MONTH(dataset_1!B:B)</f>
        <v>1</v>
      </c>
      <c r="U823" s="61">
        <f t="shared" si="38"/>
        <v>2011</v>
      </c>
      <c r="V823" s="59" t="str">
        <f>TEXT(F823/24,"H AM/PM")</f>
        <v>4 PM</v>
      </c>
      <c r="W823" s="59" t="str">
        <f>IF(H823=6,"Saturday",IF(H823=0,"Sunday",IF(H823=1,"Monday",IF(H823=2,"Tuesday",IF(H823=3,"Wednesday",IF(H823=4,"Thursday",IF(H823=5,"Friday")))))))</f>
        <v>Sunday</v>
      </c>
      <c r="X823" s="59" t="str">
        <f>IF(G823=FALSE,"Working day", IF(G823=TRUE,"Holiday"))</f>
        <v>Working day</v>
      </c>
    </row>
    <row r="824" spans="1:24" x14ac:dyDescent="0.25">
      <c r="A824" s="32">
        <v>823</v>
      </c>
      <c r="B824" s="33">
        <v>40580</v>
      </c>
      <c r="C824" s="26">
        <v>1</v>
      </c>
      <c r="D824" s="26">
        <v>0</v>
      </c>
      <c r="E824" s="26">
        <v>2</v>
      </c>
      <c r="F824" s="26">
        <v>17</v>
      </c>
      <c r="G824" s="26" t="b">
        <v>0</v>
      </c>
      <c r="H824" s="26">
        <v>0</v>
      </c>
      <c r="I824" s="26">
        <v>1</v>
      </c>
      <c r="J824" s="26">
        <v>0.34</v>
      </c>
      <c r="K824" s="26">
        <v>0.36359999999999998</v>
      </c>
      <c r="L824" s="26">
        <v>0.46</v>
      </c>
      <c r="M824">
        <v>0</v>
      </c>
      <c r="N824" s="26">
        <v>24</v>
      </c>
      <c r="O824" s="26">
        <v>97</v>
      </c>
      <c r="P824" s="26">
        <v>121</v>
      </c>
      <c r="Q824" s="34" t="str">
        <f t="shared" si="36"/>
        <v>Clear</v>
      </c>
      <c r="R824" s="41" t="str">
        <f>IF(I824=1,"Normal",IF(I824=2,"Yellow Alert",IF(I824=3,"Orange Alert",IF(I824=4,"Red Alert"))))</f>
        <v>Normal</v>
      </c>
      <c r="S824" s="60">
        <f t="shared" si="37"/>
        <v>6</v>
      </c>
      <c r="T824" s="61">
        <f>MONTH(dataset_1!B:B)</f>
        <v>1</v>
      </c>
      <c r="U824" s="61">
        <f t="shared" si="38"/>
        <v>2011</v>
      </c>
      <c r="V824" s="59" t="str">
        <f>TEXT(F824/24,"H AM/PM")</f>
        <v>5 PM</v>
      </c>
      <c r="W824" s="59" t="str">
        <f>IF(H824=6,"Saturday",IF(H824=0,"Sunday",IF(H824=1,"Monday",IF(H824=2,"Tuesday",IF(H824=3,"Wednesday",IF(H824=4,"Thursday",IF(H824=5,"Friday")))))))</f>
        <v>Sunday</v>
      </c>
      <c r="X824" s="59" t="str">
        <f>IF(G824=FALSE,"Working day", IF(G824=TRUE,"Holiday"))</f>
        <v>Working day</v>
      </c>
    </row>
    <row r="825" spans="1:24" x14ac:dyDescent="0.25">
      <c r="A825" s="32">
        <v>824</v>
      </c>
      <c r="B825" s="33">
        <v>40580</v>
      </c>
      <c r="C825" s="26">
        <v>1</v>
      </c>
      <c r="D825" s="26">
        <v>0</v>
      </c>
      <c r="E825" s="26">
        <v>2</v>
      </c>
      <c r="F825" s="26">
        <v>18</v>
      </c>
      <c r="G825" s="26" t="b">
        <v>0</v>
      </c>
      <c r="H825" s="26">
        <v>0</v>
      </c>
      <c r="I825" s="26">
        <v>1</v>
      </c>
      <c r="J825" s="26">
        <v>0.3</v>
      </c>
      <c r="K825" s="26">
        <v>0.30299999999999999</v>
      </c>
      <c r="L825" s="26">
        <v>0.56000000000000005</v>
      </c>
      <c r="M825">
        <v>0.16420000000000001</v>
      </c>
      <c r="N825" s="26">
        <v>13</v>
      </c>
      <c r="O825" s="26">
        <v>65</v>
      </c>
      <c r="P825" s="26">
        <v>78</v>
      </c>
      <c r="Q825" s="34" t="str">
        <f t="shared" si="36"/>
        <v>Clear</v>
      </c>
      <c r="R825" s="41" t="str">
        <f>IF(I825=1,"Normal",IF(I825=2,"Yellow Alert",IF(I825=3,"Orange Alert",IF(I825=4,"Red Alert"))))</f>
        <v>Normal</v>
      </c>
      <c r="S825" s="60">
        <f t="shared" si="37"/>
        <v>6</v>
      </c>
      <c r="T825" s="61">
        <f>MONTH(dataset_1!B:B)</f>
        <v>1</v>
      </c>
      <c r="U825" s="61">
        <f t="shared" si="38"/>
        <v>2011</v>
      </c>
      <c r="V825" s="59" t="str">
        <f>TEXT(F825/24,"H AM/PM")</f>
        <v>6 PM</v>
      </c>
      <c r="W825" s="59" t="str">
        <f>IF(H825=6,"Saturday",IF(H825=0,"Sunday",IF(H825=1,"Monday",IF(H825=2,"Tuesday",IF(H825=3,"Wednesday",IF(H825=4,"Thursday",IF(H825=5,"Friday")))))))</f>
        <v>Sunday</v>
      </c>
      <c r="X825" s="59" t="str">
        <f>IF(G825=FALSE,"Working day", IF(G825=TRUE,"Holiday"))</f>
        <v>Working day</v>
      </c>
    </row>
    <row r="826" spans="1:24" x14ac:dyDescent="0.25">
      <c r="A826" s="32">
        <v>825</v>
      </c>
      <c r="B826" s="33">
        <v>40580</v>
      </c>
      <c r="C826" s="26">
        <v>1</v>
      </c>
      <c r="D826" s="26">
        <v>0</v>
      </c>
      <c r="E826" s="26">
        <v>2</v>
      </c>
      <c r="F826" s="26">
        <v>19</v>
      </c>
      <c r="G826" s="26" t="b">
        <v>0</v>
      </c>
      <c r="H826" s="26">
        <v>0</v>
      </c>
      <c r="I826" s="26">
        <v>1</v>
      </c>
      <c r="J826" s="26">
        <v>0.28000000000000003</v>
      </c>
      <c r="K826" s="26">
        <v>0.28789999999999999</v>
      </c>
      <c r="L826" s="26">
        <v>0.61</v>
      </c>
      <c r="M826">
        <v>0.1343</v>
      </c>
      <c r="N826" s="26">
        <v>1</v>
      </c>
      <c r="O826" s="26">
        <v>20</v>
      </c>
      <c r="P826" s="26">
        <v>21</v>
      </c>
      <c r="Q826" s="34" t="str">
        <f t="shared" si="36"/>
        <v>Clear</v>
      </c>
      <c r="R826" s="41" t="str">
        <f>IF(I826=1,"Normal",IF(I826=2,"Yellow Alert",IF(I826=3,"Orange Alert",IF(I826=4,"Red Alert"))))</f>
        <v>Normal</v>
      </c>
      <c r="S826" s="60">
        <f t="shared" si="37"/>
        <v>6</v>
      </c>
      <c r="T826" s="61">
        <f>MONTH(dataset_1!B:B)</f>
        <v>1</v>
      </c>
      <c r="U826" s="61">
        <f t="shared" si="38"/>
        <v>2011</v>
      </c>
      <c r="V826" s="59" t="str">
        <f>TEXT(F826/24,"H AM/PM")</f>
        <v>7 PM</v>
      </c>
      <c r="W826" s="59" t="str">
        <f>IF(H826=6,"Saturday",IF(H826=0,"Sunday",IF(H826=1,"Monday",IF(H826=2,"Tuesday",IF(H826=3,"Wednesday",IF(H826=4,"Thursday",IF(H826=5,"Friday")))))))</f>
        <v>Sunday</v>
      </c>
      <c r="X826" s="59" t="str">
        <f>IF(G826=FALSE,"Working day", IF(G826=TRUE,"Holiday"))</f>
        <v>Working day</v>
      </c>
    </row>
    <row r="827" spans="1:24" x14ac:dyDescent="0.25">
      <c r="A827" s="32">
        <v>826</v>
      </c>
      <c r="B827" s="33">
        <v>40580</v>
      </c>
      <c r="C827" s="26">
        <v>1</v>
      </c>
      <c r="D827" s="26">
        <v>0</v>
      </c>
      <c r="E827" s="26">
        <v>2</v>
      </c>
      <c r="F827" s="26">
        <v>20</v>
      </c>
      <c r="G827" s="26" t="b">
        <v>0</v>
      </c>
      <c r="H827" s="26">
        <v>0</v>
      </c>
      <c r="I827" s="26">
        <v>1</v>
      </c>
      <c r="J827" s="26">
        <v>0.28000000000000003</v>
      </c>
      <c r="K827" s="26">
        <v>0.28789999999999999</v>
      </c>
      <c r="L827" s="26">
        <v>0.61</v>
      </c>
      <c r="M827">
        <v>0.1045</v>
      </c>
      <c r="N827" s="26">
        <v>5</v>
      </c>
      <c r="O827" s="26">
        <v>21</v>
      </c>
      <c r="P827" s="26">
        <v>26</v>
      </c>
      <c r="Q827" s="34" t="str">
        <f t="shared" si="36"/>
        <v>Clear</v>
      </c>
      <c r="R827" s="41" t="str">
        <f>IF(I827=1,"Normal",IF(I827=2,"Yellow Alert",IF(I827=3,"Orange Alert",IF(I827=4,"Red Alert"))))</f>
        <v>Normal</v>
      </c>
      <c r="S827" s="60">
        <f t="shared" si="37"/>
        <v>6</v>
      </c>
      <c r="T827" s="61">
        <f>MONTH(dataset_1!B:B)</f>
        <v>1</v>
      </c>
      <c r="U827" s="61">
        <f t="shared" si="38"/>
        <v>2011</v>
      </c>
      <c r="V827" s="59" t="str">
        <f>TEXT(F827/24,"H AM/PM")</f>
        <v>8 PM</v>
      </c>
      <c r="W827" s="59" t="str">
        <f>IF(H827=6,"Saturday",IF(H827=0,"Sunday",IF(H827=1,"Monday",IF(H827=2,"Tuesday",IF(H827=3,"Wednesday",IF(H827=4,"Thursday",IF(H827=5,"Friday")))))))</f>
        <v>Sunday</v>
      </c>
      <c r="X827" s="59" t="str">
        <f>IF(G827=FALSE,"Working day", IF(G827=TRUE,"Holiday"))</f>
        <v>Working day</v>
      </c>
    </row>
    <row r="828" spans="1:24" x14ac:dyDescent="0.25">
      <c r="A828" s="32">
        <v>827</v>
      </c>
      <c r="B828" s="33">
        <v>40580</v>
      </c>
      <c r="C828" s="26">
        <v>1</v>
      </c>
      <c r="D828" s="26">
        <v>0</v>
      </c>
      <c r="E828" s="26">
        <v>2</v>
      </c>
      <c r="F828" s="26">
        <v>21</v>
      </c>
      <c r="G828" s="26" t="b">
        <v>0</v>
      </c>
      <c r="H828" s="26">
        <v>0</v>
      </c>
      <c r="I828" s="26">
        <v>1</v>
      </c>
      <c r="J828" s="26">
        <v>0.26</v>
      </c>
      <c r="K828" s="26">
        <v>0.30299999999999999</v>
      </c>
      <c r="L828" s="26">
        <v>0.6</v>
      </c>
      <c r="M828">
        <v>0</v>
      </c>
      <c r="N828" s="26">
        <v>5</v>
      </c>
      <c r="O828" s="26">
        <v>22</v>
      </c>
      <c r="P828" s="26">
        <v>27</v>
      </c>
      <c r="Q828" s="34" t="str">
        <f t="shared" si="36"/>
        <v>Clear</v>
      </c>
      <c r="R828" s="41" t="str">
        <f>IF(I828=1,"Normal",IF(I828=2,"Yellow Alert",IF(I828=3,"Orange Alert",IF(I828=4,"Red Alert"))))</f>
        <v>Normal</v>
      </c>
      <c r="S828" s="60">
        <f t="shared" si="37"/>
        <v>6</v>
      </c>
      <c r="T828" s="61">
        <f>MONTH(dataset_1!B:B)</f>
        <v>1</v>
      </c>
      <c r="U828" s="61">
        <f t="shared" si="38"/>
        <v>2011</v>
      </c>
      <c r="V828" s="59" t="str">
        <f>TEXT(F828/24,"H AM/PM")</f>
        <v>9 PM</v>
      </c>
      <c r="W828" s="59" t="str">
        <f>IF(H828=6,"Saturday",IF(H828=0,"Sunday",IF(H828=1,"Monday",IF(H828=2,"Tuesday",IF(H828=3,"Wednesday",IF(H828=4,"Thursday",IF(H828=5,"Friday")))))))</f>
        <v>Sunday</v>
      </c>
      <c r="X828" s="59" t="str">
        <f>IF(G828=FALSE,"Working day", IF(G828=TRUE,"Holiday"))</f>
        <v>Working day</v>
      </c>
    </row>
    <row r="829" spans="1:24" x14ac:dyDescent="0.25">
      <c r="A829" s="32">
        <v>828</v>
      </c>
      <c r="B829" s="33">
        <v>40580</v>
      </c>
      <c r="C829" s="26">
        <v>1</v>
      </c>
      <c r="D829" s="26">
        <v>0</v>
      </c>
      <c r="E829" s="26">
        <v>2</v>
      </c>
      <c r="F829" s="26">
        <v>22</v>
      </c>
      <c r="G829" s="26" t="b">
        <v>0</v>
      </c>
      <c r="H829" s="26">
        <v>0</v>
      </c>
      <c r="I829" s="26">
        <v>1</v>
      </c>
      <c r="J829" s="26">
        <v>0.26</v>
      </c>
      <c r="K829" s="26">
        <v>0.30299999999999999</v>
      </c>
      <c r="L829" s="26">
        <v>0.6</v>
      </c>
      <c r="M829">
        <v>0</v>
      </c>
      <c r="N829" s="26">
        <v>5</v>
      </c>
      <c r="O829" s="26">
        <v>57</v>
      </c>
      <c r="P829" s="26">
        <v>62</v>
      </c>
      <c r="Q829" s="34" t="str">
        <f t="shared" si="36"/>
        <v>Clear</v>
      </c>
      <c r="R829" s="41" t="str">
        <f>IF(I829=1,"Normal",IF(I829=2,"Yellow Alert",IF(I829=3,"Orange Alert",IF(I829=4,"Red Alert"))))</f>
        <v>Normal</v>
      </c>
      <c r="S829" s="60">
        <f t="shared" si="37"/>
        <v>6</v>
      </c>
      <c r="T829" s="61">
        <f>MONTH(dataset_1!B:B)</f>
        <v>1</v>
      </c>
      <c r="U829" s="61">
        <f t="shared" si="38"/>
        <v>2011</v>
      </c>
      <c r="V829" s="59" t="str">
        <f>TEXT(F829/24,"H AM/PM")</f>
        <v>10 PM</v>
      </c>
      <c r="W829" s="59" t="str">
        <f>IF(H829=6,"Saturday",IF(H829=0,"Sunday",IF(H829=1,"Monday",IF(H829=2,"Tuesday",IF(H829=3,"Wednesday",IF(H829=4,"Thursday",IF(H829=5,"Friday")))))))</f>
        <v>Sunday</v>
      </c>
      <c r="X829" s="59" t="str">
        <f>IF(G829=FALSE,"Working day", IF(G829=TRUE,"Holiday"))</f>
        <v>Working day</v>
      </c>
    </row>
    <row r="830" spans="1:24" x14ac:dyDescent="0.25">
      <c r="A830" s="32">
        <v>829</v>
      </c>
      <c r="B830" s="33">
        <v>40580</v>
      </c>
      <c r="C830" s="26">
        <v>1</v>
      </c>
      <c r="D830" s="26">
        <v>0</v>
      </c>
      <c r="E830" s="26">
        <v>2</v>
      </c>
      <c r="F830" s="26">
        <v>23</v>
      </c>
      <c r="G830" s="26" t="b">
        <v>0</v>
      </c>
      <c r="H830" s="26">
        <v>0</v>
      </c>
      <c r="I830" s="26">
        <v>1</v>
      </c>
      <c r="J830" s="26">
        <v>0.24</v>
      </c>
      <c r="K830" s="26">
        <v>0.28789999999999999</v>
      </c>
      <c r="L830" s="26">
        <v>0.65</v>
      </c>
      <c r="M830">
        <v>0</v>
      </c>
      <c r="N830" s="26">
        <v>4</v>
      </c>
      <c r="O830" s="26">
        <v>26</v>
      </c>
      <c r="P830" s="26">
        <v>30</v>
      </c>
      <c r="Q830" s="34" t="str">
        <f t="shared" si="36"/>
        <v>Clear</v>
      </c>
      <c r="R830" s="41" t="str">
        <f>IF(I830=1,"Normal",IF(I830=2,"Yellow Alert",IF(I830=3,"Orange Alert",IF(I830=4,"Red Alert"))))</f>
        <v>Normal</v>
      </c>
      <c r="S830" s="60">
        <f t="shared" si="37"/>
        <v>6</v>
      </c>
      <c r="T830" s="61">
        <f>MONTH(dataset_1!B:B)</f>
        <v>1</v>
      </c>
      <c r="U830" s="61">
        <f t="shared" si="38"/>
        <v>2011</v>
      </c>
      <c r="V830" s="59" t="str">
        <f>TEXT(F830/24,"H AM/PM")</f>
        <v>11 PM</v>
      </c>
      <c r="W830" s="59" t="str">
        <f>IF(H830=6,"Saturday",IF(H830=0,"Sunday",IF(H830=1,"Monday",IF(H830=2,"Tuesday",IF(H830=3,"Wednesday",IF(H830=4,"Thursday",IF(H830=5,"Friday")))))))</f>
        <v>Sunday</v>
      </c>
      <c r="X830" s="59" t="str">
        <f>IF(G830=FALSE,"Working day", IF(G830=TRUE,"Holiday"))</f>
        <v>Working day</v>
      </c>
    </row>
    <row r="831" spans="1:24" x14ac:dyDescent="0.25">
      <c r="A831" s="32">
        <v>830</v>
      </c>
      <c r="B831" s="33">
        <v>40581</v>
      </c>
      <c r="C831" s="26">
        <v>1</v>
      </c>
      <c r="D831" s="26">
        <v>0</v>
      </c>
      <c r="E831" s="26">
        <v>2</v>
      </c>
      <c r="F831" s="26">
        <v>0</v>
      </c>
      <c r="G831" s="26" t="b">
        <v>0</v>
      </c>
      <c r="H831" s="26">
        <v>1</v>
      </c>
      <c r="I831" s="26">
        <v>1</v>
      </c>
      <c r="J831" s="26">
        <v>0.24</v>
      </c>
      <c r="K831" s="26">
        <v>0.28789999999999999</v>
      </c>
      <c r="L831" s="26">
        <v>0.65</v>
      </c>
      <c r="M831">
        <v>0</v>
      </c>
      <c r="N831" s="26">
        <v>1</v>
      </c>
      <c r="O831" s="26">
        <v>14</v>
      </c>
      <c r="P831" s="26">
        <v>15</v>
      </c>
      <c r="Q831" s="34" t="str">
        <f t="shared" si="36"/>
        <v>Clear</v>
      </c>
      <c r="R831" s="41" t="str">
        <f>IF(I831=1,"Normal",IF(I831=2,"Yellow Alert",IF(I831=3,"Orange Alert",IF(I831=4,"Red Alert"))))</f>
        <v>Normal</v>
      </c>
      <c r="S831" s="60">
        <f t="shared" si="37"/>
        <v>7</v>
      </c>
      <c r="T831" s="61">
        <f>MONTH(dataset_1!B:B)</f>
        <v>1</v>
      </c>
      <c r="U831" s="61">
        <f t="shared" si="38"/>
        <v>2011</v>
      </c>
      <c r="V831" s="59" t="str">
        <f>TEXT(F831/24,"H AM/PM")</f>
        <v>12 AM</v>
      </c>
      <c r="W831" s="59" t="str">
        <f>IF(H831=6,"Saturday",IF(H831=0,"Sunday",IF(H831=1,"Monday",IF(H831=2,"Tuesday",IF(H831=3,"Wednesday",IF(H831=4,"Thursday",IF(H831=5,"Friday")))))))</f>
        <v>Monday</v>
      </c>
      <c r="X831" s="59" t="str">
        <f>IF(G831=FALSE,"Working day", IF(G831=TRUE,"Holiday"))</f>
        <v>Working day</v>
      </c>
    </row>
    <row r="832" spans="1:24" x14ac:dyDescent="0.25">
      <c r="A832" s="32">
        <v>831</v>
      </c>
      <c r="B832" s="33">
        <v>40581</v>
      </c>
      <c r="C832" s="26">
        <v>1</v>
      </c>
      <c r="D832" s="26">
        <v>0</v>
      </c>
      <c r="E832" s="26">
        <v>2</v>
      </c>
      <c r="F832" s="26">
        <v>1</v>
      </c>
      <c r="G832" s="26" t="b">
        <v>0</v>
      </c>
      <c r="H832" s="26">
        <v>1</v>
      </c>
      <c r="I832" s="26">
        <v>1</v>
      </c>
      <c r="J832" s="26">
        <v>0.22</v>
      </c>
      <c r="K832" s="26">
        <v>0.2727</v>
      </c>
      <c r="L832" s="26">
        <v>0.75</v>
      </c>
      <c r="M832">
        <v>0</v>
      </c>
      <c r="N832" s="26">
        <v>1</v>
      </c>
      <c r="O832" s="26">
        <v>4</v>
      </c>
      <c r="P832" s="26">
        <v>5</v>
      </c>
      <c r="Q832" s="34" t="str">
        <f t="shared" si="36"/>
        <v>Clear</v>
      </c>
      <c r="R832" s="41" t="str">
        <f>IF(I832=1,"Normal",IF(I832=2,"Yellow Alert",IF(I832=3,"Orange Alert",IF(I832=4,"Red Alert"))))</f>
        <v>Normal</v>
      </c>
      <c r="S832" s="60">
        <f t="shared" si="37"/>
        <v>7</v>
      </c>
      <c r="T832" s="61">
        <f>MONTH(dataset_1!B:B)</f>
        <v>1</v>
      </c>
      <c r="U832" s="61">
        <f t="shared" si="38"/>
        <v>2011</v>
      </c>
      <c r="V832" s="59" t="str">
        <f>TEXT(F832/24,"H AM/PM")</f>
        <v>1 AM</v>
      </c>
      <c r="W832" s="59" t="str">
        <f>IF(H832=6,"Saturday",IF(H832=0,"Sunday",IF(H832=1,"Monday",IF(H832=2,"Tuesday",IF(H832=3,"Wednesday",IF(H832=4,"Thursday",IF(H832=5,"Friday")))))))</f>
        <v>Monday</v>
      </c>
      <c r="X832" s="59" t="str">
        <f>IF(G832=FALSE,"Working day", IF(G832=TRUE,"Holiday"))</f>
        <v>Working day</v>
      </c>
    </row>
    <row r="833" spans="1:24" x14ac:dyDescent="0.25">
      <c r="A833" s="32">
        <v>832</v>
      </c>
      <c r="B833" s="33">
        <v>40581</v>
      </c>
      <c r="C833" s="26">
        <v>1</v>
      </c>
      <c r="D833" s="26">
        <v>0</v>
      </c>
      <c r="E833" s="26">
        <v>2</v>
      </c>
      <c r="F833" s="26">
        <v>2</v>
      </c>
      <c r="G833" s="26" t="b">
        <v>0</v>
      </c>
      <c r="H833" s="26">
        <v>1</v>
      </c>
      <c r="I833" s="26">
        <v>1</v>
      </c>
      <c r="J833" s="26">
        <v>0.2</v>
      </c>
      <c r="K833" s="26">
        <v>0.2576</v>
      </c>
      <c r="L833" s="26">
        <v>0.8</v>
      </c>
      <c r="M833">
        <v>0</v>
      </c>
      <c r="N833" s="26">
        <v>0</v>
      </c>
      <c r="O833" s="26">
        <v>3</v>
      </c>
      <c r="P833" s="26">
        <v>3</v>
      </c>
      <c r="Q833" s="34" t="str">
        <f t="shared" si="36"/>
        <v>Clear</v>
      </c>
      <c r="R833" s="41" t="str">
        <f>IF(I833=1,"Normal",IF(I833=2,"Yellow Alert",IF(I833=3,"Orange Alert",IF(I833=4,"Red Alert"))))</f>
        <v>Normal</v>
      </c>
      <c r="S833" s="60">
        <f t="shared" si="37"/>
        <v>7</v>
      </c>
      <c r="T833" s="61">
        <f>MONTH(dataset_1!B:B)</f>
        <v>1</v>
      </c>
      <c r="U833" s="61">
        <f t="shared" si="38"/>
        <v>2011</v>
      </c>
      <c r="V833" s="59" t="str">
        <f>TEXT(F833/24,"H AM/PM")</f>
        <v>2 AM</v>
      </c>
      <c r="W833" s="59" t="str">
        <f>IF(H833=6,"Saturday",IF(H833=0,"Sunday",IF(H833=1,"Monday",IF(H833=2,"Tuesday",IF(H833=3,"Wednesday",IF(H833=4,"Thursday",IF(H833=5,"Friday")))))))</f>
        <v>Monday</v>
      </c>
      <c r="X833" s="59" t="str">
        <f>IF(G833=FALSE,"Working day", IF(G833=TRUE,"Holiday"))</f>
        <v>Working day</v>
      </c>
    </row>
    <row r="834" spans="1:24" x14ac:dyDescent="0.25">
      <c r="A834" s="32">
        <v>833</v>
      </c>
      <c r="B834" s="33">
        <v>40581</v>
      </c>
      <c r="C834" s="26">
        <v>1</v>
      </c>
      <c r="D834" s="26">
        <v>0</v>
      </c>
      <c r="E834" s="26">
        <v>2</v>
      </c>
      <c r="F834" s="26">
        <v>3</v>
      </c>
      <c r="G834" s="26" t="b">
        <v>0</v>
      </c>
      <c r="H834" s="26">
        <v>1</v>
      </c>
      <c r="I834" s="26">
        <v>1</v>
      </c>
      <c r="J834" s="26">
        <v>0.2</v>
      </c>
      <c r="K834" s="26">
        <v>0.2576</v>
      </c>
      <c r="L834" s="26">
        <v>0.86</v>
      </c>
      <c r="M834">
        <v>0</v>
      </c>
      <c r="N834" s="26">
        <v>0</v>
      </c>
      <c r="O834" s="26">
        <v>1</v>
      </c>
      <c r="P834" s="26">
        <v>1</v>
      </c>
      <c r="Q834" s="34" t="str">
        <f t="shared" ref="Q834:Q897" si="39">IF(I834=1,"Clear",IF(I834=2,"Cloudy",IF(I834=3,"Light Rain",IF(I834=4,"Heavy Rain"))))</f>
        <v>Clear</v>
      </c>
      <c r="R834" s="41" t="str">
        <f>IF(I834=1,"Normal",IF(I834=2,"Yellow Alert",IF(I834=3,"Orange Alert",IF(I834=4,"Red Alert"))))</f>
        <v>Normal</v>
      </c>
      <c r="S834" s="60">
        <f t="shared" ref="S834:S897" si="40">DAY(B:B)</f>
        <v>7</v>
      </c>
      <c r="T834" s="61">
        <f>MONTH(dataset_1!B:B)</f>
        <v>1</v>
      </c>
      <c r="U834" s="61">
        <f t="shared" ref="U834:U897" si="41">YEAR(B:B)</f>
        <v>2011</v>
      </c>
      <c r="V834" s="59" t="str">
        <f>TEXT(F834/24,"H AM/PM")</f>
        <v>3 AM</v>
      </c>
      <c r="W834" s="59" t="str">
        <f>IF(H834=6,"Saturday",IF(H834=0,"Sunday",IF(H834=1,"Monday",IF(H834=2,"Tuesday",IF(H834=3,"Wednesday",IF(H834=4,"Thursday",IF(H834=5,"Friday")))))))</f>
        <v>Monday</v>
      </c>
      <c r="X834" s="59" t="str">
        <f>IF(G834=FALSE,"Working day", IF(G834=TRUE,"Holiday"))</f>
        <v>Working day</v>
      </c>
    </row>
    <row r="835" spans="1:24" x14ac:dyDescent="0.25">
      <c r="A835" s="32">
        <v>834</v>
      </c>
      <c r="B835" s="33">
        <v>40581</v>
      </c>
      <c r="C835" s="26">
        <v>1</v>
      </c>
      <c r="D835" s="26">
        <v>0</v>
      </c>
      <c r="E835" s="26">
        <v>2</v>
      </c>
      <c r="F835" s="26">
        <v>4</v>
      </c>
      <c r="G835" s="26" t="b">
        <v>0</v>
      </c>
      <c r="H835" s="26">
        <v>1</v>
      </c>
      <c r="I835" s="26">
        <v>1</v>
      </c>
      <c r="J835" s="26">
        <v>0.2</v>
      </c>
      <c r="K835" s="26">
        <v>0.2576</v>
      </c>
      <c r="L835" s="26">
        <v>0.86</v>
      </c>
      <c r="M835">
        <v>0</v>
      </c>
      <c r="N835" s="26">
        <v>1</v>
      </c>
      <c r="O835" s="26">
        <v>1</v>
      </c>
      <c r="P835" s="26">
        <v>2</v>
      </c>
      <c r="Q835" s="34" t="str">
        <f t="shared" si="39"/>
        <v>Clear</v>
      </c>
      <c r="R835" s="41" t="str">
        <f>IF(I835=1,"Normal",IF(I835=2,"Yellow Alert",IF(I835=3,"Orange Alert",IF(I835=4,"Red Alert"))))</f>
        <v>Normal</v>
      </c>
      <c r="S835" s="60">
        <f t="shared" si="40"/>
        <v>7</v>
      </c>
      <c r="T835" s="61">
        <f>MONTH(dataset_1!B:B)</f>
        <v>1</v>
      </c>
      <c r="U835" s="61">
        <f t="shared" si="41"/>
        <v>2011</v>
      </c>
      <c r="V835" s="59" t="str">
        <f>TEXT(F835/24,"H AM/PM")</f>
        <v>4 AM</v>
      </c>
      <c r="W835" s="59" t="str">
        <f>IF(H835=6,"Saturday",IF(H835=0,"Sunday",IF(H835=1,"Monday",IF(H835=2,"Tuesday",IF(H835=3,"Wednesday",IF(H835=4,"Thursday",IF(H835=5,"Friday")))))))</f>
        <v>Monday</v>
      </c>
      <c r="X835" s="59" t="str">
        <f>IF(G835=FALSE,"Working day", IF(G835=TRUE,"Holiday"))</f>
        <v>Working day</v>
      </c>
    </row>
    <row r="836" spans="1:24" x14ac:dyDescent="0.25">
      <c r="A836" s="32">
        <v>835</v>
      </c>
      <c r="B836" s="33">
        <v>40581</v>
      </c>
      <c r="C836" s="26">
        <v>1</v>
      </c>
      <c r="D836" s="26">
        <v>0</v>
      </c>
      <c r="E836" s="26">
        <v>2</v>
      </c>
      <c r="F836" s="26">
        <v>5</v>
      </c>
      <c r="G836" s="26" t="b">
        <v>0</v>
      </c>
      <c r="H836" s="26">
        <v>1</v>
      </c>
      <c r="I836" s="26">
        <v>1</v>
      </c>
      <c r="J836" s="26">
        <v>0.2</v>
      </c>
      <c r="K836" s="26">
        <v>0.2576</v>
      </c>
      <c r="L836" s="26">
        <v>0.86</v>
      </c>
      <c r="M836">
        <v>0</v>
      </c>
      <c r="N836" s="26">
        <v>1</v>
      </c>
      <c r="O836" s="26">
        <v>9</v>
      </c>
      <c r="P836" s="26">
        <v>10</v>
      </c>
      <c r="Q836" s="34" t="str">
        <f t="shared" si="39"/>
        <v>Clear</v>
      </c>
      <c r="R836" s="41" t="str">
        <f>IF(I836=1,"Normal",IF(I836=2,"Yellow Alert",IF(I836=3,"Orange Alert",IF(I836=4,"Red Alert"))))</f>
        <v>Normal</v>
      </c>
      <c r="S836" s="60">
        <f t="shared" si="40"/>
        <v>7</v>
      </c>
      <c r="T836" s="61">
        <f>MONTH(dataset_1!B:B)</f>
        <v>1</v>
      </c>
      <c r="U836" s="61">
        <f t="shared" si="41"/>
        <v>2011</v>
      </c>
      <c r="V836" s="59" t="str">
        <f>TEXT(F836/24,"H AM/PM")</f>
        <v>5 AM</v>
      </c>
      <c r="W836" s="59" t="str">
        <f>IF(H836=6,"Saturday",IF(H836=0,"Sunday",IF(H836=1,"Monday",IF(H836=2,"Tuesday",IF(H836=3,"Wednesday",IF(H836=4,"Thursday",IF(H836=5,"Friday")))))))</f>
        <v>Monday</v>
      </c>
      <c r="X836" s="59" t="str">
        <f>IF(G836=FALSE,"Working day", IF(G836=TRUE,"Holiday"))</f>
        <v>Working day</v>
      </c>
    </row>
    <row r="837" spans="1:24" x14ac:dyDescent="0.25">
      <c r="A837" s="32">
        <v>836</v>
      </c>
      <c r="B837" s="33">
        <v>40581</v>
      </c>
      <c r="C837" s="26">
        <v>1</v>
      </c>
      <c r="D837" s="26">
        <v>0</v>
      </c>
      <c r="E837" s="26">
        <v>2</v>
      </c>
      <c r="F837" s="26">
        <v>6</v>
      </c>
      <c r="G837" s="26" t="b">
        <v>0</v>
      </c>
      <c r="H837" s="26">
        <v>1</v>
      </c>
      <c r="I837" s="26">
        <v>1</v>
      </c>
      <c r="J837" s="26">
        <v>0.18</v>
      </c>
      <c r="K837" s="26">
        <v>0.2424</v>
      </c>
      <c r="L837" s="26">
        <v>0.93</v>
      </c>
      <c r="M837">
        <v>0</v>
      </c>
      <c r="N837" s="26">
        <v>1</v>
      </c>
      <c r="O837" s="26">
        <v>29</v>
      </c>
      <c r="P837" s="26">
        <v>30</v>
      </c>
      <c r="Q837" s="34" t="str">
        <f t="shared" si="39"/>
        <v>Clear</v>
      </c>
      <c r="R837" s="41" t="str">
        <f>IF(I837=1,"Normal",IF(I837=2,"Yellow Alert",IF(I837=3,"Orange Alert",IF(I837=4,"Red Alert"))))</f>
        <v>Normal</v>
      </c>
      <c r="S837" s="60">
        <f t="shared" si="40"/>
        <v>7</v>
      </c>
      <c r="T837" s="61">
        <f>MONTH(dataset_1!B:B)</f>
        <v>1</v>
      </c>
      <c r="U837" s="61">
        <f t="shared" si="41"/>
        <v>2011</v>
      </c>
      <c r="V837" s="59" t="str">
        <f>TEXT(F837/24,"H AM/PM")</f>
        <v>6 AM</v>
      </c>
      <c r="W837" s="59" t="str">
        <f>IF(H837=6,"Saturday",IF(H837=0,"Sunday",IF(H837=1,"Monday",IF(H837=2,"Tuesday",IF(H837=3,"Wednesday",IF(H837=4,"Thursday",IF(H837=5,"Friday")))))))</f>
        <v>Monday</v>
      </c>
      <c r="X837" s="59" t="str">
        <f>IF(G837=FALSE,"Working day", IF(G837=TRUE,"Holiday"))</f>
        <v>Working day</v>
      </c>
    </row>
    <row r="838" spans="1:24" x14ac:dyDescent="0.25">
      <c r="A838" s="32">
        <v>837</v>
      </c>
      <c r="B838" s="33">
        <v>40581</v>
      </c>
      <c r="C838" s="26">
        <v>1</v>
      </c>
      <c r="D838" s="26">
        <v>0</v>
      </c>
      <c r="E838" s="26">
        <v>2</v>
      </c>
      <c r="F838" s="26">
        <v>7</v>
      </c>
      <c r="G838" s="26" t="b">
        <v>0</v>
      </c>
      <c r="H838" s="26">
        <v>1</v>
      </c>
      <c r="I838" s="26">
        <v>1</v>
      </c>
      <c r="J838" s="26">
        <v>0.18</v>
      </c>
      <c r="K838" s="26">
        <v>0.2424</v>
      </c>
      <c r="L838" s="26">
        <v>0.86</v>
      </c>
      <c r="M838">
        <v>0</v>
      </c>
      <c r="N838" s="26">
        <v>6</v>
      </c>
      <c r="O838" s="26">
        <v>89</v>
      </c>
      <c r="P838" s="26">
        <v>95</v>
      </c>
      <c r="Q838" s="34" t="str">
        <f t="shared" si="39"/>
        <v>Clear</v>
      </c>
      <c r="R838" s="41" t="str">
        <f>IF(I838=1,"Normal",IF(I838=2,"Yellow Alert",IF(I838=3,"Orange Alert",IF(I838=4,"Red Alert"))))</f>
        <v>Normal</v>
      </c>
      <c r="S838" s="60">
        <f t="shared" si="40"/>
        <v>7</v>
      </c>
      <c r="T838" s="61">
        <f>MONTH(dataset_1!B:B)</f>
        <v>1</v>
      </c>
      <c r="U838" s="61">
        <f t="shared" si="41"/>
        <v>2011</v>
      </c>
      <c r="V838" s="59" t="str">
        <f>TEXT(F838/24,"H AM/PM")</f>
        <v>7 AM</v>
      </c>
      <c r="W838" s="59" t="str">
        <f>IF(H838=6,"Saturday",IF(H838=0,"Sunday",IF(H838=1,"Monday",IF(H838=2,"Tuesday",IF(H838=3,"Wednesday",IF(H838=4,"Thursday",IF(H838=5,"Friday")))))))</f>
        <v>Monday</v>
      </c>
      <c r="X838" s="59" t="str">
        <f>IF(G838=FALSE,"Working day", IF(G838=TRUE,"Holiday"))</f>
        <v>Working day</v>
      </c>
    </row>
    <row r="839" spans="1:24" x14ac:dyDescent="0.25">
      <c r="A839" s="32">
        <v>838</v>
      </c>
      <c r="B839" s="33">
        <v>40581</v>
      </c>
      <c r="C839" s="26">
        <v>1</v>
      </c>
      <c r="D839" s="26">
        <v>0</v>
      </c>
      <c r="E839" s="26">
        <v>2</v>
      </c>
      <c r="F839" s="26">
        <v>8</v>
      </c>
      <c r="G839" s="26" t="b">
        <v>0</v>
      </c>
      <c r="H839" s="26">
        <v>1</v>
      </c>
      <c r="I839" s="26">
        <v>2</v>
      </c>
      <c r="J839" s="26">
        <v>0.16</v>
      </c>
      <c r="K839" s="26">
        <v>0.2273</v>
      </c>
      <c r="L839" s="26">
        <v>1</v>
      </c>
      <c r="M839">
        <v>0</v>
      </c>
      <c r="N839" s="26">
        <v>7</v>
      </c>
      <c r="O839" s="26">
        <v>223</v>
      </c>
      <c r="P839" s="26">
        <v>230</v>
      </c>
      <c r="Q839" s="34" t="str">
        <f t="shared" si="39"/>
        <v>Cloudy</v>
      </c>
      <c r="R839" s="41" t="str">
        <f>IF(I839=1,"Normal",IF(I839=2,"Yellow Alert",IF(I839=3,"Orange Alert",IF(I839=4,"Red Alert"))))</f>
        <v>Yellow Alert</v>
      </c>
      <c r="S839" s="60">
        <f t="shared" si="40"/>
        <v>7</v>
      </c>
      <c r="T839" s="61">
        <f>MONTH(dataset_1!B:B)</f>
        <v>1</v>
      </c>
      <c r="U839" s="61">
        <f t="shared" si="41"/>
        <v>2011</v>
      </c>
      <c r="V839" s="59" t="str">
        <f>TEXT(F839/24,"H AM/PM")</f>
        <v>8 AM</v>
      </c>
      <c r="W839" s="59" t="str">
        <f>IF(H839=6,"Saturday",IF(H839=0,"Sunday",IF(H839=1,"Monday",IF(H839=2,"Tuesday",IF(H839=3,"Wednesday",IF(H839=4,"Thursday",IF(H839=5,"Friday")))))))</f>
        <v>Monday</v>
      </c>
      <c r="X839" s="59" t="str">
        <f>IF(G839=FALSE,"Working day", IF(G839=TRUE,"Holiday"))</f>
        <v>Working day</v>
      </c>
    </row>
    <row r="840" spans="1:24" x14ac:dyDescent="0.25">
      <c r="A840" s="32">
        <v>839</v>
      </c>
      <c r="B840" s="33">
        <v>40581</v>
      </c>
      <c r="C840" s="26">
        <v>1</v>
      </c>
      <c r="D840" s="26">
        <v>0</v>
      </c>
      <c r="E840" s="26">
        <v>2</v>
      </c>
      <c r="F840" s="26">
        <v>9</v>
      </c>
      <c r="G840" s="26" t="b">
        <v>0</v>
      </c>
      <c r="H840" s="26">
        <v>1</v>
      </c>
      <c r="I840" s="26">
        <v>1</v>
      </c>
      <c r="J840" s="26">
        <v>0.22</v>
      </c>
      <c r="K840" s="26">
        <v>0.2727</v>
      </c>
      <c r="L840" s="26">
        <v>0.8</v>
      </c>
      <c r="M840">
        <v>0</v>
      </c>
      <c r="N840" s="26">
        <v>3</v>
      </c>
      <c r="O840" s="26">
        <v>115</v>
      </c>
      <c r="P840" s="26">
        <v>118</v>
      </c>
      <c r="Q840" s="34" t="str">
        <f t="shared" si="39"/>
        <v>Clear</v>
      </c>
      <c r="R840" s="41" t="str">
        <f>IF(I840=1,"Normal",IF(I840=2,"Yellow Alert",IF(I840=3,"Orange Alert",IF(I840=4,"Red Alert"))))</f>
        <v>Normal</v>
      </c>
      <c r="S840" s="60">
        <f t="shared" si="40"/>
        <v>7</v>
      </c>
      <c r="T840" s="61">
        <f>MONTH(dataset_1!B:B)</f>
        <v>1</v>
      </c>
      <c r="U840" s="61">
        <f t="shared" si="41"/>
        <v>2011</v>
      </c>
      <c r="V840" s="59" t="str">
        <f>TEXT(F840/24,"H AM/PM")</f>
        <v>9 AM</v>
      </c>
      <c r="W840" s="59" t="str">
        <f>IF(H840=6,"Saturday",IF(H840=0,"Sunday",IF(H840=1,"Monday",IF(H840=2,"Tuesday",IF(H840=3,"Wednesday",IF(H840=4,"Thursday",IF(H840=5,"Friday")))))))</f>
        <v>Monday</v>
      </c>
      <c r="X840" s="59" t="str">
        <f>IF(G840=FALSE,"Working day", IF(G840=TRUE,"Holiday"))</f>
        <v>Working day</v>
      </c>
    </row>
    <row r="841" spans="1:24" x14ac:dyDescent="0.25">
      <c r="A841" s="32">
        <v>840</v>
      </c>
      <c r="B841" s="33">
        <v>40581</v>
      </c>
      <c r="C841" s="26">
        <v>1</v>
      </c>
      <c r="D841" s="26">
        <v>0</v>
      </c>
      <c r="E841" s="26">
        <v>2</v>
      </c>
      <c r="F841" s="26">
        <v>10</v>
      </c>
      <c r="G841" s="26" t="b">
        <v>0</v>
      </c>
      <c r="H841" s="26">
        <v>1</v>
      </c>
      <c r="I841" s="26">
        <v>1</v>
      </c>
      <c r="J841" s="26">
        <v>0.24</v>
      </c>
      <c r="K841" s="26">
        <v>0.2576</v>
      </c>
      <c r="L841" s="26">
        <v>0.75</v>
      </c>
      <c r="M841">
        <v>0.1045</v>
      </c>
      <c r="N841" s="26">
        <v>6</v>
      </c>
      <c r="O841" s="26">
        <v>49</v>
      </c>
      <c r="P841" s="26">
        <v>55</v>
      </c>
      <c r="Q841" s="34" t="str">
        <f t="shared" si="39"/>
        <v>Clear</v>
      </c>
      <c r="R841" s="41" t="str">
        <f>IF(I841=1,"Normal",IF(I841=2,"Yellow Alert",IF(I841=3,"Orange Alert",IF(I841=4,"Red Alert"))))</f>
        <v>Normal</v>
      </c>
      <c r="S841" s="60">
        <f t="shared" si="40"/>
        <v>7</v>
      </c>
      <c r="T841" s="61">
        <f>MONTH(dataset_1!B:B)</f>
        <v>1</v>
      </c>
      <c r="U841" s="61">
        <f t="shared" si="41"/>
        <v>2011</v>
      </c>
      <c r="V841" s="59" t="str">
        <f>TEXT(F841/24,"H AM/PM")</f>
        <v>10 AM</v>
      </c>
      <c r="W841" s="59" t="str">
        <f>IF(H841=6,"Saturday",IF(H841=0,"Sunday",IF(H841=1,"Monday",IF(H841=2,"Tuesday",IF(H841=3,"Wednesday",IF(H841=4,"Thursday",IF(H841=5,"Friday")))))))</f>
        <v>Monday</v>
      </c>
      <c r="X841" s="59" t="str">
        <f>IF(G841=FALSE,"Working day", IF(G841=TRUE,"Holiday"))</f>
        <v>Working day</v>
      </c>
    </row>
    <row r="842" spans="1:24" x14ac:dyDescent="0.25">
      <c r="A842" s="32">
        <v>841</v>
      </c>
      <c r="B842" s="33">
        <v>40581</v>
      </c>
      <c r="C842" s="26">
        <v>1</v>
      </c>
      <c r="D842" s="26">
        <v>0</v>
      </c>
      <c r="E842" s="26">
        <v>2</v>
      </c>
      <c r="F842" s="26">
        <v>11</v>
      </c>
      <c r="G842" s="26" t="b">
        <v>0</v>
      </c>
      <c r="H842" s="26">
        <v>1</v>
      </c>
      <c r="I842" s="26">
        <v>1</v>
      </c>
      <c r="J842" s="26">
        <v>0.3</v>
      </c>
      <c r="K842" s="26">
        <v>0.31819999999999998</v>
      </c>
      <c r="L842" s="26">
        <v>0.65</v>
      </c>
      <c r="M842">
        <v>8.9599999999999999E-2</v>
      </c>
      <c r="N842" s="26">
        <v>11</v>
      </c>
      <c r="O842" s="26">
        <v>36</v>
      </c>
      <c r="P842" s="26">
        <v>47</v>
      </c>
      <c r="Q842" s="34" t="str">
        <f t="shared" si="39"/>
        <v>Clear</v>
      </c>
      <c r="R842" s="41" t="str">
        <f>IF(I842=1,"Normal",IF(I842=2,"Yellow Alert",IF(I842=3,"Orange Alert",IF(I842=4,"Red Alert"))))</f>
        <v>Normal</v>
      </c>
      <c r="S842" s="60">
        <f t="shared" si="40"/>
        <v>7</v>
      </c>
      <c r="T842" s="61">
        <f>MONTH(dataset_1!B:B)</f>
        <v>1</v>
      </c>
      <c r="U842" s="61">
        <f t="shared" si="41"/>
        <v>2011</v>
      </c>
      <c r="V842" s="59" t="str">
        <f>TEXT(F842/24,"H AM/PM")</f>
        <v>11 AM</v>
      </c>
      <c r="W842" s="59" t="str">
        <f>IF(H842=6,"Saturday",IF(H842=0,"Sunday",IF(H842=1,"Monday",IF(H842=2,"Tuesday",IF(H842=3,"Wednesday",IF(H842=4,"Thursday",IF(H842=5,"Friday")))))))</f>
        <v>Monday</v>
      </c>
      <c r="X842" s="59" t="str">
        <f>IF(G842=FALSE,"Working day", IF(G842=TRUE,"Holiday"))</f>
        <v>Working day</v>
      </c>
    </row>
    <row r="843" spans="1:24" x14ac:dyDescent="0.25">
      <c r="A843" s="32">
        <v>842</v>
      </c>
      <c r="B843" s="33">
        <v>40581</v>
      </c>
      <c r="C843" s="26">
        <v>1</v>
      </c>
      <c r="D843" s="26">
        <v>0</v>
      </c>
      <c r="E843" s="26">
        <v>2</v>
      </c>
      <c r="F843" s="26">
        <v>12</v>
      </c>
      <c r="G843" s="26" t="b">
        <v>0</v>
      </c>
      <c r="H843" s="26">
        <v>1</v>
      </c>
      <c r="I843" s="26">
        <v>2</v>
      </c>
      <c r="J843" s="26">
        <v>0.32</v>
      </c>
      <c r="K843" s="26">
        <v>0.34849999999999998</v>
      </c>
      <c r="L843" s="26">
        <v>0.62</v>
      </c>
      <c r="M843">
        <v>0</v>
      </c>
      <c r="N843" s="26">
        <v>7</v>
      </c>
      <c r="O843" s="26">
        <v>59</v>
      </c>
      <c r="P843" s="26">
        <v>66</v>
      </c>
      <c r="Q843" s="34" t="str">
        <f t="shared" si="39"/>
        <v>Cloudy</v>
      </c>
      <c r="R843" s="41" t="str">
        <f>IF(I843=1,"Normal",IF(I843=2,"Yellow Alert",IF(I843=3,"Orange Alert",IF(I843=4,"Red Alert"))))</f>
        <v>Yellow Alert</v>
      </c>
      <c r="S843" s="60">
        <f t="shared" si="40"/>
        <v>7</v>
      </c>
      <c r="T843" s="61">
        <f>MONTH(dataset_1!B:B)</f>
        <v>1</v>
      </c>
      <c r="U843" s="61">
        <f t="shared" si="41"/>
        <v>2011</v>
      </c>
      <c r="V843" s="59" t="str">
        <f>TEXT(F843/24,"H AM/PM")</f>
        <v>12 PM</v>
      </c>
      <c r="W843" s="59" t="str">
        <f>IF(H843=6,"Saturday",IF(H843=0,"Sunday",IF(H843=1,"Monday",IF(H843=2,"Tuesday",IF(H843=3,"Wednesday",IF(H843=4,"Thursday",IF(H843=5,"Friday")))))))</f>
        <v>Monday</v>
      </c>
      <c r="X843" s="59" t="str">
        <f>IF(G843=FALSE,"Working day", IF(G843=TRUE,"Holiday"))</f>
        <v>Working day</v>
      </c>
    </row>
    <row r="844" spans="1:24" x14ac:dyDescent="0.25">
      <c r="A844" s="32">
        <v>843</v>
      </c>
      <c r="B844" s="33">
        <v>40581</v>
      </c>
      <c r="C844" s="26">
        <v>1</v>
      </c>
      <c r="D844" s="26">
        <v>0</v>
      </c>
      <c r="E844" s="26">
        <v>2</v>
      </c>
      <c r="F844" s="26">
        <v>13</v>
      </c>
      <c r="G844" s="26" t="b">
        <v>0</v>
      </c>
      <c r="H844" s="26">
        <v>1</v>
      </c>
      <c r="I844" s="26">
        <v>2</v>
      </c>
      <c r="J844" s="26">
        <v>0.36</v>
      </c>
      <c r="K844" s="26">
        <v>0.36359999999999998</v>
      </c>
      <c r="L844" s="26">
        <v>0.56999999999999995</v>
      </c>
      <c r="M844">
        <v>8.9599999999999999E-2</v>
      </c>
      <c r="N844" s="26">
        <v>10</v>
      </c>
      <c r="O844" s="26">
        <v>54</v>
      </c>
      <c r="P844" s="26">
        <v>64</v>
      </c>
      <c r="Q844" s="34" t="str">
        <f t="shared" si="39"/>
        <v>Cloudy</v>
      </c>
      <c r="R844" s="41" t="str">
        <f>IF(I844=1,"Normal",IF(I844=2,"Yellow Alert",IF(I844=3,"Orange Alert",IF(I844=4,"Red Alert"))))</f>
        <v>Yellow Alert</v>
      </c>
      <c r="S844" s="60">
        <f t="shared" si="40"/>
        <v>7</v>
      </c>
      <c r="T844" s="61">
        <f>MONTH(dataset_1!B:B)</f>
        <v>1</v>
      </c>
      <c r="U844" s="61">
        <f t="shared" si="41"/>
        <v>2011</v>
      </c>
      <c r="V844" s="59" t="str">
        <f>TEXT(F844/24,"H AM/PM")</f>
        <v>1 PM</v>
      </c>
      <c r="W844" s="59" t="str">
        <f>IF(H844=6,"Saturday",IF(H844=0,"Sunday",IF(H844=1,"Monday",IF(H844=2,"Tuesday",IF(H844=3,"Wednesday",IF(H844=4,"Thursday",IF(H844=5,"Friday")))))))</f>
        <v>Monday</v>
      </c>
      <c r="X844" s="59" t="str">
        <f>IF(G844=FALSE,"Working day", IF(G844=TRUE,"Holiday"))</f>
        <v>Working day</v>
      </c>
    </row>
    <row r="845" spans="1:24" x14ac:dyDescent="0.25">
      <c r="A845" s="32">
        <v>844</v>
      </c>
      <c r="B845" s="33">
        <v>40581</v>
      </c>
      <c r="C845" s="26">
        <v>1</v>
      </c>
      <c r="D845" s="26">
        <v>0</v>
      </c>
      <c r="E845" s="26">
        <v>2</v>
      </c>
      <c r="F845" s="26">
        <v>14</v>
      </c>
      <c r="G845" s="26" t="b">
        <v>0</v>
      </c>
      <c r="H845" s="26">
        <v>1</v>
      </c>
      <c r="I845" s="26">
        <v>2</v>
      </c>
      <c r="J845" s="26">
        <v>0.36</v>
      </c>
      <c r="K845" s="26">
        <v>0.36359999999999998</v>
      </c>
      <c r="L845" s="26">
        <v>0.56999999999999995</v>
      </c>
      <c r="M845">
        <v>8.9599999999999999E-2</v>
      </c>
      <c r="N845" s="26">
        <v>8</v>
      </c>
      <c r="O845" s="26">
        <v>52</v>
      </c>
      <c r="P845" s="26">
        <v>60</v>
      </c>
      <c r="Q845" s="34" t="str">
        <f t="shared" si="39"/>
        <v>Cloudy</v>
      </c>
      <c r="R845" s="41" t="str">
        <f>IF(I845=1,"Normal",IF(I845=2,"Yellow Alert",IF(I845=3,"Orange Alert",IF(I845=4,"Red Alert"))))</f>
        <v>Yellow Alert</v>
      </c>
      <c r="S845" s="60">
        <f t="shared" si="40"/>
        <v>7</v>
      </c>
      <c r="T845" s="61">
        <f>MONTH(dataset_1!B:B)</f>
        <v>1</v>
      </c>
      <c r="U845" s="61">
        <f t="shared" si="41"/>
        <v>2011</v>
      </c>
      <c r="V845" s="59" t="str">
        <f>TEXT(F845/24,"H AM/PM")</f>
        <v>2 PM</v>
      </c>
      <c r="W845" s="59" t="str">
        <f>IF(H845=6,"Saturday",IF(H845=0,"Sunday",IF(H845=1,"Monday",IF(H845=2,"Tuesday",IF(H845=3,"Wednesday",IF(H845=4,"Thursday",IF(H845=5,"Friday")))))))</f>
        <v>Monday</v>
      </c>
      <c r="X845" s="59" t="str">
        <f>IF(G845=FALSE,"Working day", IF(G845=TRUE,"Holiday"))</f>
        <v>Working day</v>
      </c>
    </row>
    <row r="846" spans="1:24" x14ac:dyDescent="0.25">
      <c r="A846" s="32">
        <v>845</v>
      </c>
      <c r="B846" s="33">
        <v>40581</v>
      </c>
      <c r="C846" s="26">
        <v>1</v>
      </c>
      <c r="D846" s="26">
        <v>0</v>
      </c>
      <c r="E846" s="26">
        <v>2</v>
      </c>
      <c r="F846" s="26">
        <v>15</v>
      </c>
      <c r="G846" s="26" t="b">
        <v>0</v>
      </c>
      <c r="H846" s="26">
        <v>1</v>
      </c>
      <c r="I846" s="26">
        <v>2</v>
      </c>
      <c r="J846" s="26">
        <v>0.38</v>
      </c>
      <c r="K846" s="26">
        <v>0.39389999999999997</v>
      </c>
      <c r="L846" s="26">
        <v>0.54</v>
      </c>
      <c r="M846">
        <v>8.9599999999999999E-2</v>
      </c>
      <c r="N846" s="26">
        <v>4</v>
      </c>
      <c r="O846" s="26">
        <v>46</v>
      </c>
      <c r="P846" s="26">
        <v>50</v>
      </c>
      <c r="Q846" s="34" t="str">
        <f t="shared" si="39"/>
        <v>Cloudy</v>
      </c>
      <c r="R846" s="41" t="str">
        <f>IF(I846=1,"Normal",IF(I846=2,"Yellow Alert",IF(I846=3,"Orange Alert",IF(I846=4,"Red Alert"))))</f>
        <v>Yellow Alert</v>
      </c>
      <c r="S846" s="60">
        <f t="shared" si="40"/>
        <v>7</v>
      </c>
      <c r="T846" s="61">
        <f>MONTH(dataset_1!B:B)</f>
        <v>1</v>
      </c>
      <c r="U846" s="61">
        <f t="shared" si="41"/>
        <v>2011</v>
      </c>
      <c r="V846" s="59" t="str">
        <f>TEXT(F846/24,"H AM/PM")</f>
        <v>3 PM</v>
      </c>
      <c r="W846" s="59" t="str">
        <f>IF(H846=6,"Saturday",IF(H846=0,"Sunday",IF(H846=1,"Monday",IF(H846=2,"Tuesday",IF(H846=3,"Wednesday",IF(H846=4,"Thursday",IF(H846=5,"Friday")))))))</f>
        <v>Monday</v>
      </c>
      <c r="X846" s="59" t="str">
        <f>IF(G846=FALSE,"Working day", IF(G846=TRUE,"Holiday"))</f>
        <v>Working day</v>
      </c>
    </row>
    <row r="847" spans="1:24" x14ac:dyDescent="0.25">
      <c r="A847" s="32">
        <v>846</v>
      </c>
      <c r="B847" s="33">
        <v>40581</v>
      </c>
      <c r="C847" s="26">
        <v>1</v>
      </c>
      <c r="D847" s="26">
        <v>0</v>
      </c>
      <c r="E847" s="26">
        <v>2</v>
      </c>
      <c r="F847" s="26">
        <v>16</v>
      </c>
      <c r="G847" s="26" t="b">
        <v>0</v>
      </c>
      <c r="H847" s="26">
        <v>1</v>
      </c>
      <c r="I847" s="26">
        <v>2</v>
      </c>
      <c r="J847" s="26">
        <v>0.36</v>
      </c>
      <c r="K847" s="26">
        <v>0.34849999999999998</v>
      </c>
      <c r="L847" s="26">
        <v>0.56999999999999995</v>
      </c>
      <c r="M847">
        <v>0.1343</v>
      </c>
      <c r="N847" s="26">
        <v>16</v>
      </c>
      <c r="O847" s="26">
        <v>98</v>
      </c>
      <c r="P847" s="26">
        <v>114</v>
      </c>
      <c r="Q847" s="34" t="str">
        <f t="shared" si="39"/>
        <v>Cloudy</v>
      </c>
      <c r="R847" s="41" t="str">
        <f>IF(I847=1,"Normal",IF(I847=2,"Yellow Alert",IF(I847=3,"Orange Alert",IF(I847=4,"Red Alert"))))</f>
        <v>Yellow Alert</v>
      </c>
      <c r="S847" s="60">
        <f t="shared" si="40"/>
        <v>7</v>
      </c>
      <c r="T847" s="61">
        <f>MONTH(dataset_1!B:B)</f>
        <v>1</v>
      </c>
      <c r="U847" s="61">
        <f t="shared" si="41"/>
        <v>2011</v>
      </c>
      <c r="V847" s="59" t="str">
        <f>TEXT(F847/24,"H AM/PM")</f>
        <v>4 PM</v>
      </c>
      <c r="W847" s="59" t="str">
        <f>IF(H847=6,"Saturday",IF(H847=0,"Sunday",IF(H847=1,"Monday",IF(H847=2,"Tuesday",IF(H847=3,"Wednesday",IF(H847=4,"Thursday",IF(H847=5,"Friday")))))))</f>
        <v>Monday</v>
      </c>
      <c r="X847" s="59" t="str">
        <f>IF(G847=FALSE,"Working day", IF(G847=TRUE,"Holiday"))</f>
        <v>Working day</v>
      </c>
    </row>
    <row r="848" spans="1:24" x14ac:dyDescent="0.25">
      <c r="A848" s="32">
        <v>847</v>
      </c>
      <c r="B848" s="33">
        <v>40581</v>
      </c>
      <c r="C848" s="26">
        <v>1</v>
      </c>
      <c r="D848" s="26">
        <v>0</v>
      </c>
      <c r="E848" s="26">
        <v>2</v>
      </c>
      <c r="F848" s="26">
        <v>17</v>
      </c>
      <c r="G848" s="26" t="b">
        <v>0</v>
      </c>
      <c r="H848" s="26">
        <v>1</v>
      </c>
      <c r="I848" s="26">
        <v>2</v>
      </c>
      <c r="J848" s="26">
        <v>0.32</v>
      </c>
      <c r="K848" s="26">
        <v>0.31819999999999998</v>
      </c>
      <c r="L848" s="26">
        <v>0.7</v>
      </c>
      <c r="M848">
        <v>0.16420000000000001</v>
      </c>
      <c r="N848" s="26">
        <v>9</v>
      </c>
      <c r="O848" s="26">
        <v>207</v>
      </c>
      <c r="P848" s="26">
        <v>216</v>
      </c>
      <c r="Q848" s="34" t="str">
        <f t="shared" si="39"/>
        <v>Cloudy</v>
      </c>
      <c r="R848" s="41" t="str">
        <f>IF(I848=1,"Normal",IF(I848=2,"Yellow Alert",IF(I848=3,"Orange Alert",IF(I848=4,"Red Alert"))))</f>
        <v>Yellow Alert</v>
      </c>
      <c r="S848" s="60">
        <f t="shared" si="40"/>
        <v>7</v>
      </c>
      <c r="T848" s="61">
        <f>MONTH(dataset_1!B:B)</f>
        <v>1</v>
      </c>
      <c r="U848" s="61">
        <f t="shared" si="41"/>
        <v>2011</v>
      </c>
      <c r="V848" s="59" t="str">
        <f>TEXT(F848/24,"H AM/PM")</f>
        <v>5 PM</v>
      </c>
      <c r="W848" s="59" t="str">
        <f>IF(H848=6,"Saturday",IF(H848=0,"Sunday",IF(H848=1,"Monday",IF(H848=2,"Tuesday",IF(H848=3,"Wednesday",IF(H848=4,"Thursday",IF(H848=5,"Friday")))))))</f>
        <v>Monday</v>
      </c>
      <c r="X848" s="59" t="str">
        <f>IF(G848=FALSE,"Working day", IF(G848=TRUE,"Holiday"))</f>
        <v>Working day</v>
      </c>
    </row>
    <row r="849" spans="1:24" x14ac:dyDescent="0.25">
      <c r="A849" s="32">
        <v>848</v>
      </c>
      <c r="B849" s="33">
        <v>40581</v>
      </c>
      <c r="C849" s="26">
        <v>1</v>
      </c>
      <c r="D849" s="26">
        <v>0</v>
      </c>
      <c r="E849" s="26">
        <v>2</v>
      </c>
      <c r="F849" s="26">
        <v>18</v>
      </c>
      <c r="G849" s="26" t="b">
        <v>0</v>
      </c>
      <c r="H849" s="26">
        <v>1</v>
      </c>
      <c r="I849" s="26">
        <v>2</v>
      </c>
      <c r="J849" s="26">
        <v>0.34</v>
      </c>
      <c r="K849" s="26">
        <v>0.33329999999999999</v>
      </c>
      <c r="L849" s="26">
        <v>0.66</v>
      </c>
      <c r="M849">
        <v>0.1343</v>
      </c>
      <c r="N849" s="26">
        <v>5</v>
      </c>
      <c r="O849" s="26">
        <v>170</v>
      </c>
      <c r="P849" s="26">
        <v>175</v>
      </c>
      <c r="Q849" s="34" t="str">
        <f t="shared" si="39"/>
        <v>Cloudy</v>
      </c>
      <c r="R849" s="41" t="str">
        <f>IF(I849=1,"Normal",IF(I849=2,"Yellow Alert",IF(I849=3,"Orange Alert",IF(I849=4,"Red Alert"))))</f>
        <v>Yellow Alert</v>
      </c>
      <c r="S849" s="60">
        <f t="shared" si="40"/>
        <v>7</v>
      </c>
      <c r="T849" s="61">
        <f>MONTH(dataset_1!B:B)</f>
        <v>1</v>
      </c>
      <c r="U849" s="61">
        <f t="shared" si="41"/>
        <v>2011</v>
      </c>
      <c r="V849" s="59" t="str">
        <f>TEXT(F849/24,"H AM/PM")</f>
        <v>6 PM</v>
      </c>
      <c r="W849" s="59" t="str">
        <f>IF(H849=6,"Saturday",IF(H849=0,"Sunday",IF(H849=1,"Monday",IF(H849=2,"Tuesday",IF(H849=3,"Wednesday",IF(H849=4,"Thursday",IF(H849=5,"Friday")))))))</f>
        <v>Monday</v>
      </c>
      <c r="X849" s="59" t="str">
        <f>IF(G849=FALSE,"Working day", IF(G849=TRUE,"Holiday"))</f>
        <v>Working day</v>
      </c>
    </row>
    <row r="850" spans="1:24" x14ac:dyDescent="0.25">
      <c r="A850" s="32">
        <v>849</v>
      </c>
      <c r="B850" s="33">
        <v>40581</v>
      </c>
      <c r="C850" s="26">
        <v>1</v>
      </c>
      <c r="D850" s="26">
        <v>0</v>
      </c>
      <c r="E850" s="26">
        <v>2</v>
      </c>
      <c r="F850" s="26">
        <v>19</v>
      </c>
      <c r="G850" s="26" t="b">
        <v>0</v>
      </c>
      <c r="H850" s="26">
        <v>1</v>
      </c>
      <c r="I850" s="26">
        <v>2</v>
      </c>
      <c r="J850" s="26">
        <v>0.32</v>
      </c>
      <c r="K850" s="26">
        <v>0.34849999999999998</v>
      </c>
      <c r="L850" s="26">
        <v>0.7</v>
      </c>
      <c r="M850">
        <v>0</v>
      </c>
      <c r="N850" s="26">
        <v>5</v>
      </c>
      <c r="O850" s="26">
        <v>123</v>
      </c>
      <c r="P850" s="26">
        <v>128</v>
      </c>
      <c r="Q850" s="34" t="str">
        <f t="shared" si="39"/>
        <v>Cloudy</v>
      </c>
      <c r="R850" s="41" t="str">
        <f>IF(I850=1,"Normal",IF(I850=2,"Yellow Alert",IF(I850=3,"Orange Alert",IF(I850=4,"Red Alert"))))</f>
        <v>Yellow Alert</v>
      </c>
      <c r="S850" s="60">
        <f t="shared" si="40"/>
        <v>7</v>
      </c>
      <c r="T850" s="61">
        <f>MONTH(dataset_1!B:B)</f>
        <v>1</v>
      </c>
      <c r="U850" s="61">
        <f t="shared" si="41"/>
        <v>2011</v>
      </c>
      <c r="V850" s="59" t="str">
        <f>TEXT(F850/24,"H AM/PM")</f>
        <v>7 PM</v>
      </c>
      <c r="W850" s="59" t="str">
        <f>IF(H850=6,"Saturday",IF(H850=0,"Sunday",IF(H850=1,"Monday",IF(H850=2,"Tuesday",IF(H850=3,"Wednesday",IF(H850=4,"Thursday",IF(H850=5,"Friday")))))))</f>
        <v>Monday</v>
      </c>
      <c r="X850" s="59" t="str">
        <f>IF(G850=FALSE,"Working day", IF(G850=TRUE,"Holiday"))</f>
        <v>Working day</v>
      </c>
    </row>
    <row r="851" spans="1:24" x14ac:dyDescent="0.25">
      <c r="A851" s="32">
        <v>850</v>
      </c>
      <c r="B851" s="33">
        <v>40581</v>
      </c>
      <c r="C851" s="26">
        <v>1</v>
      </c>
      <c r="D851" s="26">
        <v>0</v>
      </c>
      <c r="E851" s="26">
        <v>2</v>
      </c>
      <c r="F851" s="26">
        <v>20</v>
      </c>
      <c r="G851" s="26" t="b">
        <v>0</v>
      </c>
      <c r="H851" s="26">
        <v>1</v>
      </c>
      <c r="I851" s="26">
        <v>2</v>
      </c>
      <c r="J851" s="26">
        <v>0.32</v>
      </c>
      <c r="K851" s="26">
        <v>0.33329999999999999</v>
      </c>
      <c r="L851" s="26">
        <v>0.7</v>
      </c>
      <c r="M851">
        <v>0.1045</v>
      </c>
      <c r="N851" s="26">
        <v>6</v>
      </c>
      <c r="O851" s="26">
        <v>82</v>
      </c>
      <c r="P851" s="26">
        <v>88</v>
      </c>
      <c r="Q851" s="34" t="str">
        <f t="shared" si="39"/>
        <v>Cloudy</v>
      </c>
      <c r="R851" s="41" t="str">
        <f>IF(I851=1,"Normal",IF(I851=2,"Yellow Alert",IF(I851=3,"Orange Alert",IF(I851=4,"Red Alert"))))</f>
        <v>Yellow Alert</v>
      </c>
      <c r="S851" s="60">
        <f t="shared" si="40"/>
        <v>7</v>
      </c>
      <c r="T851" s="61">
        <f>MONTH(dataset_1!B:B)</f>
        <v>1</v>
      </c>
      <c r="U851" s="61">
        <f t="shared" si="41"/>
        <v>2011</v>
      </c>
      <c r="V851" s="59" t="str">
        <f>TEXT(F851/24,"H AM/PM")</f>
        <v>8 PM</v>
      </c>
      <c r="W851" s="59" t="str">
        <f>IF(H851=6,"Saturday",IF(H851=0,"Sunday",IF(H851=1,"Monday",IF(H851=2,"Tuesday",IF(H851=3,"Wednesday",IF(H851=4,"Thursday",IF(H851=5,"Friday")))))))</f>
        <v>Monday</v>
      </c>
      <c r="X851" s="59" t="str">
        <f>IF(G851=FALSE,"Working day", IF(G851=TRUE,"Holiday"))</f>
        <v>Working day</v>
      </c>
    </row>
    <row r="852" spans="1:24" x14ac:dyDescent="0.25">
      <c r="A852" s="32">
        <v>851</v>
      </c>
      <c r="B852" s="33">
        <v>40581</v>
      </c>
      <c r="C852" s="26">
        <v>1</v>
      </c>
      <c r="D852" s="26">
        <v>0</v>
      </c>
      <c r="E852" s="26">
        <v>2</v>
      </c>
      <c r="F852" s="26">
        <v>21</v>
      </c>
      <c r="G852" s="26" t="b">
        <v>0</v>
      </c>
      <c r="H852" s="26">
        <v>1</v>
      </c>
      <c r="I852" s="26">
        <v>1</v>
      </c>
      <c r="J852" s="26">
        <v>0.32</v>
      </c>
      <c r="K852" s="26">
        <v>0.34849999999999998</v>
      </c>
      <c r="L852" s="26">
        <v>0.7</v>
      </c>
      <c r="M852">
        <v>0</v>
      </c>
      <c r="N852" s="26">
        <v>3</v>
      </c>
      <c r="O852" s="26">
        <v>75</v>
      </c>
      <c r="P852" s="26">
        <v>78</v>
      </c>
      <c r="Q852" s="34" t="str">
        <f t="shared" si="39"/>
        <v>Clear</v>
      </c>
      <c r="R852" s="41" t="str">
        <f>IF(I852=1,"Normal",IF(I852=2,"Yellow Alert",IF(I852=3,"Orange Alert",IF(I852=4,"Red Alert"))))</f>
        <v>Normal</v>
      </c>
      <c r="S852" s="60">
        <f t="shared" si="40"/>
        <v>7</v>
      </c>
      <c r="T852" s="61">
        <f>MONTH(dataset_1!B:B)</f>
        <v>1</v>
      </c>
      <c r="U852" s="61">
        <f t="shared" si="41"/>
        <v>2011</v>
      </c>
      <c r="V852" s="59" t="str">
        <f>TEXT(F852/24,"H AM/PM")</f>
        <v>9 PM</v>
      </c>
      <c r="W852" s="59" t="str">
        <f>IF(H852=6,"Saturday",IF(H852=0,"Sunday",IF(H852=1,"Monday",IF(H852=2,"Tuesday",IF(H852=3,"Wednesday",IF(H852=4,"Thursday",IF(H852=5,"Friday")))))))</f>
        <v>Monday</v>
      </c>
      <c r="X852" s="59" t="str">
        <f>IF(G852=FALSE,"Working day", IF(G852=TRUE,"Holiday"))</f>
        <v>Working day</v>
      </c>
    </row>
    <row r="853" spans="1:24" x14ac:dyDescent="0.25">
      <c r="A853" s="32">
        <v>852</v>
      </c>
      <c r="B853" s="33">
        <v>40581</v>
      </c>
      <c r="C853" s="26">
        <v>1</v>
      </c>
      <c r="D853" s="26">
        <v>0</v>
      </c>
      <c r="E853" s="26">
        <v>2</v>
      </c>
      <c r="F853" s="26">
        <v>22</v>
      </c>
      <c r="G853" s="26" t="b">
        <v>0</v>
      </c>
      <c r="H853" s="26">
        <v>1</v>
      </c>
      <c r="I853" s="26">
        <v>1</v>
      </c>
      <c r="J853" s="26">
        <v>0.28000000000000003</v>
      </c>
      <c r="K853" s="26">
        <v>0.30299999999999999</v>
      </c>
      <c r="L853" s="26">
        <v>0.81</v>
      </c>
      <c r="M853">
        <v>8.9599999999999999E-2</v>
      </c>
      <c r="N853" s="26">
        <v>3</v>
      </c>
      <c r="O853" s="26">
        <v>34</v>
      </c>
      <c r="P853" s="26">
        <v>37</v>
      </c>
      <c r="Q853" s="34" t="str">
        <f t="shared" si="39"/>
        <v>Clear</v>
      </c>
      <c r="R853" s="41" t="str">
        <f>IF(I853=1,"Normal",IF(I853=2,"Yellow Alert",IF(I853=3,"Orange Alert",IF(I853=4,"Red Alert"))))</f>
        <v>Normal</v>
      </c>
      <c r="S853" s="60">
        <f t="shared" si="40"/>
        <v>7</v>
      </c>
      <c r="T853" s="61">
        <f>MONTH(dataset_1!B:B)</f>
        <v>1</v>
      </c>
      <c r="U853" s="61">
        <f t="shared" si="41"/>
        <v>2011</v>
      </c>
      <c r="V853" s="59" t="str">
        <f>TEXT(F853/24,"H AM/PM")</f>
        <v>10 PM</v>
      </c>
      <c r="W853" s="59" t="str">
        <f>IF(H853=6,"Saturday",IF(H853=0,"Sunday",IF(H853=1,"Monday",IF(H853=2,"Tuesday",IF(H853=3,"Wednesday",IF(H853=4,"Thursday",IF(H853=5,"Friday")))))))</f>
        <v>Monday</v>
      </c>
      <c r="X853" s="59" t="str">
        <f>IF(G853=FALSE,"Working day", IF(G853=TRUE,"Holiday"))</f>
        <v>Working day</v>
      </c>
    </row>
    <row r="854" spans="1:24" x14ac:dyDescent="0.25">
      <c r="A854" s="32">
        <v>853</v>
      </c>
      <c r="B854" s="33">
        <v>40581</v>
      </c>
      <c r="C854" s="26">
        <v>1</v>
      </c>
      <c r="D854" s="26">
        <v>0</v>
      </c>
      <c r="E854" s="26">
        <v>2</v>
      </c>
      <c r="F854" s="26">
        <v>23</v>
      </c>
      <c r="G854" s="26" t="b">
        <v>0</v>
      </c>
      <c r="H854" s="26">
        <v>1</v>
      </c>
      <c r="I854" s="26">
        <v>2</v>
      </c>
      <c r="J854" s="26">
        <v>0.3</v>
      </c>
      <c r="K854" s="26">
        <v>0.33329999999999999</v>
      </c>
      <c r="L854" s="26">
        <v>0.81</v>
      </c>
      <c r="M854">
        <v>0</v>
      </c>
      <c r="N854" s="26">
        <v>6</v>
      </c>
      <c r="O854" s="26">
        <v>19</v>
      </c>
      <c r="P854" s="26">
        <v>25</v>
      </c>
      <c r="Q854" s="34" t="str">
        <f t="shared" si="39"/>
        <v>Cloudy</v>
      </c>
      <c r="R854" s="41" t="str">
        <f>IF(I854=1,"Normal",IF(I854=2,"Yellow Alert",IF(I854=3,"Orange Alert",IF(I854=4,"Red Alert"))))</f>
        <v>Yellow Alert</v>
      </c>
      <c r="S854" s="60">
        <f t="shared" si="40"/>
        <v>7</v>
      </c>
      <c r="T854" s="61">
        <f>MONTH(dataset_1!B:B)</f>
        <v>1</v>
      </c>
      <c r="U854" s="61">
        <f t="shared" si="41"/>
        <v>2011</v>
      </c>
      <c r="V854" s="59" t="str">
        <f>TEXT(F854/24,"H AM/PM")</f>
        <v>11 PM</v>
      </c>
      <c r="W854" s="59" t="str">
        <f>IF(H854=6,"Saturday",IF(H854=0,"Sunday",IF(H854=1,"Monday",IF(H854=2,"Tuesday",IF(H854=3,"Wednesday",IF(H854=4,"Thursday",IF(H854=5,"Friday")))))))</f>
        <v>Monday</v>
      </c>
      <c r="X854" s="59" t="str">
        <f>IF(G854=FALSE,"Working day", IF(G854=TRUE,"Holiday"))</f>
        <v>Working day</v>
      </c>
    </row>
    <row r="855" spans="1:24" x14ac:dyDescent="0.25">
      <c r="A855" s="32">
        <v>854</v>
      </c>
      <c r="B855" s="33">
        <v>40582</v>
      </c>
      <c r="C855" s="26">
        <v>1</v>
      </c>
      <c r="D855" s="26">
        <v>0</v>
      </c>
      <c r="E855" s="26">
        <v>2</v>
      </c>
      <c r="F855" s="26">
        <v>0</v>
      </c>
      <c r="G855" s="26" t="b">
        <v>0</v>
      </c>
      <c r="H855" s="26">
        <v>2</v>
      </c>
      <c r="I855" s="26">
        <v>2</v>
      </c>
      <c r="J855" s="26">
        <v>0.28000000000000003</v>
      </c>
      <c r="K855" s="26">
        <v>0.31819999999999998</v>
      </c>
      <c r="L855" s="26">
        <v>0.87</v>
      </c>
      <c r="M855">
        <v>0</v>
      </c>
      <c r="N855" s="26">
        <v>4</v>
      </c>
      <c r="O855" s="26">
        <v>6</v>
      </c>
      <c r="P855" s="26">
        <v>10</v>
      </c>
      <c r="Q855" s="34" t="str">
        <f t="shared" si="39"/>
        <v>Cloudy</v>
      </c>
      <c r="R855" s="41" t="str">
        <f>IF(I855=1,"Normal",IF(I855=2,"Yellow Alert",IF(I855=3,"Orange Alert",IF(I855=4,"Red Alert"))))</f>
        <v>Yellow Alert</v>
      </c>
      <c r="S855" s="60">
        <f t="shared" si="40"/>
        <v>8</v>
      </c>
      <c r="T855" s="61">
        <f>MONTH(dataset_1!B:B)</f>
        <v>1</v>
      </c>
      <c r="U855" s="61">
        <f t="shared" si="41"/>
        <v>2011</v>
      </c>
      <c r="V855" s="59" t="str">
        <f>TEXT(F855/24,"H AM/PM")</f>
        <v>12 AM</v>
      </c>
      <c r="W855" s="59" t="str">
        <f>IF(H855=6,"Saturday",IF(H855=0,"Sunday",IF(H855=1,"Monday",IF(H855=2,"Tuesday",IF(H855=3,"Wednesday",IF(H855=4,"Thursday",IF(H855=5,"Friday")))))))</f>
        <v>Tuesday</v>
      </c>
      <c r="X855" s="59" t="str">
        <f>IF(G855=FALSE,"Working day", IF(G855=TRUE,"Holiday"))</f>
        <v>Working day</v>
      </c>
    </row>
    <row r="856" spans="1:24" x14ac:dyDescent="0.25">
      <c r="A856" s="32">
        <v>855</v>
      </c>
      <c r="B856" s="33">
        <v>40582</v>
      </c>
      <c r="C856" s="26">
        <v>1</v>
      </c>
      <c r="D856" s="26">
        <v>0</v>
      </c>
      <c r="E856" s="26">
        <v>2</v>
      </c>
      <c r="F856" s="26">
        <v>1</v>
      </c>
      <c r="G856" s="26" t="b">
        <v>0</v>
      </c>
      <c r="H856" s="26">
        <v>2</v>
      </c>
      <c r="I856" s="26">
        <v>2</v>
      </c>
      <c r="J856" s="26">
        <v>0.28000000000000003</v>
      </c>
      <c r="K856" s="26">
        <v>0.31819999999999998</v>
      </c>
      <c r="L856" s="26">
        <v>0.87</v>
      </c>
      <c r="M856">
        <v>0</v>
      </c>
      <c r="N856" s="26">
        <v>0</v>
      </c>
      <c r="O856" s="26">
        <v>4</v>
      </c>
      <c r="P856" s="26">
        <v>4</v>
      </c>
      <c r="Q856" s="34" t="str">
        <f t="shared" si="39"/>
        <v>Cloudy</v>
      </c>
      <c r="R856" s="41" t="str">
        <f>IF(I856=1,"Normal",IF(I856=2,"Yellow Alert",IF(I856=3,"Orange Alert",IF(I856=4,"Red Alert"))))</f>
        <v>Yellow Alert</v>
      </c>
      <c r="S856" s="60">
        <f t="shared" si="40"/>
        <v>8</v>
      </c>
      <c r="T856" s="61">
        <f>MONTH(dataset_1!B:B)</f>
        <v>1</v>
      </c>
      <c r="U856" s="61">
        <f t="shared" si="41"/>
        <v>2011</v>
      </c>
      <c r="V856" s="59" t="str">
        <f>TEXT(F856/24,"H AM/PM")</f>
        <v>1 AM</v>
      </c>
      <c r="W856" s="59" t="str">
        <f>IF(H856=6,"Saturday",IF(H856=0,"Sunday",IF(H856=1,"Monday",IF(H856=2,"Tuesday",IF(H856=3,"Wednesday",IF(H856=4,"Thursday",IF(H856=5,"Friday")))))))</f>
        <v>Tuesday</v>
      </c>
      <c r="X856" s="59" t="str">
        <f>IF(G856=FALSE,"Working day", IF(G856=TRUE,"Holiday"))</f>
        <v>Working day</v>
      </c>
    </row>
    <row r="857" spans="1:24" x14ac:dyDescent="0.25">
      <c r="A857" s="32">
        <v>856</v>
      </c>
      <c r="B857" s="33">
        <v>40582</v>
      </c>
      <c r="C857" s="26">
        <v>1</v>
      </c>
      <c r="D857" s="26">
        <v>0</v>
      </c>
      <c r="E857" s="26">
        <v>2</v>
      </c>
      <c r="F857" s="26">
        <v>2</v>
      </c>
      <c r="G857" s="26" t="b">
        <v>0</v>
      </c>
      <c r="H857" s="26">
        <v>2</v>
      </c>
      <c r="I857" s="26">
        <v>2</v>
      </c>
      <c r="J857" s="26">
        <v>0.26</v>
      </c>
      <c r="K857" s="26">
        <v>0.2727</v>
      </c>
      <c r="L857" s="26">
        <v>0.93</v>
      </c>
      <c r="M857">
        <v>0.1045</v>
      </c>
      <c r="N857" s="26">
        <v>1</v>
      </c>
      <c r="O857" s="26">
        <v>1</v>
      </c>
      <c r="P857" s="26">
        <v>2</v>
      </c>
      <c r="Q857" s="34" t="str">
        <f t="shared" si="39"/>
        <v>Cloudy</v>
      </c>
      <c r="R857" s="41" t="str">
        <f>IF(I857=1,"Normal",IF(I857=2,"Yellow Alert",IF(I857=3,"Orange Alert",IF(I857=4,"Red Alert"))))</f>
        <v>Yellow Alert</v>
      </c>
      <c r="S857" s="60">
        <f t="shared" si="40"/>
        <v>8</v>
      </c>
      <c r="T857" s="61">
        <f>MONTH(dataset_1!B:B)</f>
        <v>1</v>
      </c>
      <c r="U857" s="61">
        <f t="shared" si="41"/>
        <v>2011</v>
      </c>
      <c r="V857" s="59" t="str">
        <f>TEXT(F857/24,"H AM/PM")</f>
        <v>2 AM</v>
      </c>
      <c r="W857" s="59" t="str">
        <f>IF(H857=6,"Saturday",IF(H857=0,"Sunday",IF(H857=1,"Monday",IF(H857=2,"Tuesday",IF(H857=3,"Wednesday",IF(H857=4,"Thursday",IF(H857=5,"Friday")))))))</f>
        <v>Tuesday</v>
      </c>
      <c r="X857" s="59" t="str">
        <f>IF(G857=FALSE,"Working day", IF(G857=TRUE,"Holiday"))</f>
        <v>Working day</v>
      </c>
    </row>
    <row r="858" spans="1:24" x14ac:dyDescent="0.25">
      <c r="A858" s="32">
        <v>857</v>
      </c>
      <c r="B858" s="33">
        <v>40582</v>
      </c>
      <c r="C858" s="26">
        <v>1</v>
      </c>
      <c r="D858" s="26">
        <v>0</v>
      </c>
      <c r="E858" s="26">
        <v>2</v>
      </c>
      <c r="F858" s="26">
        <v>3</v>
      </c>
      <c r="G858" s="26" t="b">
        <v>0</v>
      </c>
      <c r="H858" s="26">
        <v>2</v>
      </c>
      <c r="I858" s="26">
        <v>3</v>
      </c>
      <c r="J858" s="26">
        <v>0.28000000000000003</v>
      </c>
      <c r="K858" s="26">
        <v>0.2727</v>
      </c>
      <c r="L858" s="26">
        <v>0.93</v>
      </c>
      <c r="M858">
        <v>0.16420000000000001</v>
      </c>
      <c r="N858" s="26">
        <v>0</v>
      </c>
      <c r="O858" s="26">
        <v>1</v>
      </c>
      <c r="P858" s="26">
        <v>1</v>
      </c>
      <c r="Q858" s="34" t="str">
        <f t="shared" si="39"/>
        <v>Light Rain</v>
      </c>
      <c r="R858" s="41" t="str">
        <f>IF(I858=1,"Normal",IF(I858=2,"Yellow Alert",IF(I858=3,"Orange Alert",IF(I858=4,"Red Alert"))))</f>
        <v>Orange Alert</v>
      </c>
      <c r="S858" s="60">
        <f t="shared" si="40"/>
        <v>8</v>
      </c>
      <c r="T858" s="61">
        <f>MONTH(dataset_1!B:B)</f>
        <v>1</v>
      </c>
      <c r="U858" s="61">
        <f t="shared" si="41"/>
        <v>2011</v>
      </c>
      <c r="V858" s="59" t="str">
        <f>TEXT(F858/24,"H AM/PM")</f>
        <v>3 AM</v>
      </c>
      <c r="W858" s="59" t="str">
        <f>IF(H858=6,"Saturday",IF(H858=0,"Sunday",IF(H858=1,"Monday",IF(H858=2,"Tuesday",IF(H858=3,"Wednesday",IF(H858=4,"Thursday",IF(H858=5,"Friday")))))))</f>
        <v>Tuesday</v>
      </c>
      <c r="X858" s="59" t="str">
        <f>IF(G858=FALSE,"Working day", IF(G858=TRUE,"Holiday"))</f>
        <v>Working day</v>
      </c>
    </row>
    <row r="859" spans="1:24" x14ac:dyDescent="0.25">
      <c r="A859" s="32">
        <v>858</v>
      </c>
      <c r="B859" s="33">
        <v>40582</v>
      </c>
      <c r="C859" s="26">
        <v>1</v>
      </c>
      <c r="D859" s="26">
        <v>0</v>
      </c>
      <c r="E859" s="26">
        <v>2</v>
      </c>
      <c r="F859" s="26">
        <v>4</v>
      </c>
      <c r="G859" s="26" t="b">
        <v>0</v>
      </c>
      <c r="H859" s="26">
        <v>2</v>
      </c>
      <c r="I859" s="26">
        <v>1</v>
      </c>
      <c r="J859" s="26">
        <v>0.26</v>
      </c>
      <c r="K859" s="26">
        <v>0.2576</v>
      </c>
      <c r="L859" s="26">
        <v>0.93</v>
      </c>
      <c r="M859">
        <v>0.16420000000000001</v>
      </c>
      <c r="N859" s="26">
        <v>0</v>
      </c>
      <c r="O859" s="26">
        <v>3</v>
      </c>
      <c r="P859" s="26">
        <v>3</v>
      </c>
      <c r="Q859" s="34" t="str">
        <f t="shared" si="39"/>
        <v>Clear</v>
      </c>
      <c r="R859" s="41" t="str">
        <f>IF(I859=1,"Normal",IF(I859=2,"Yellow Alert",IF(I859=3,"Orange Alert",IF(I859=4,"Red Alert"))))</f>
        <v>Normal</v>
      </c>
      <c r="S859" s="60">
        <f t="shared" si="40"/>
        <v>8</v>
      </c>
      <c r="T859" s="61">
        <f>MONTH(dataset_1!B:B)</f>
        <v>1</v>
      </c>
      <c r="U859" s="61">
        <f t="shared" si="41"/>
        <v>2011</v>
      </c>
      <c r="V859" s="59" t="str">
        <f>TEXT(F859/24,"H AM/PM")</f>
        <v>4 AM</v>
      </c>
      <c r="W859" s="59" t="str">
        <f>IF(H859=6,"Saturday",IF(H859=0,"Sunday",IF(H859=1,"Monday",IF(H859=2,"Tuesday",IF(H859=3,"Wednesday",IF(H859=4,"Thursday",IF(H859=5,"Friday")))))))</f>
        <v>Tuesday</v>
      </c>
      <c r="X859" s="59" t="str">
        <f>IF(G859=FALSE,"Working day", IF(G859=TRUE,"Holiday"))</f>
        <v>Working day</v>
      </c>
    </row>
    <row r="860" spans="1:24" x14ac:dyDescent="0.25">
      <c r="A860" s="32">
        <v>859</v>
      </c>
      <c r="B860" s="33">
        <v>40582</v>
      </c>
      <c r="C860" s="26">
        <v>1</v>
      </c>
      <c r="D860" s="26">
        <v>0</v>
      </c>
      <c r="E860" s="26">
        <v>2</v>
      </c>
      <c r="F860" s="26">
        <v>5</v>
      </c>
      <c r="G860" s="26" t="b">
        <v>0</v>
      </c>
      <c r="H860" s="26">
        <v>2</v>
      </c>
      <c r="I860" s="26">
        <v>1</v>
      </c>
      <c r="J860" s="26">
        <v>0.26</v>
      </c>
      <c r="K860" s="26">
        <v>0.2273</v>
      </c>
      <c r="L860" s="26">
        <v>0.81</v>
      </c>
      <c r="M860">
        <v>0.32840000000000003</v>
      </c>
      <c r="N860" s="26">
        <v>0</v>
      </c>
      <c r="O860" s="26">
        <v>2</v>
      </c>
      <c r="P860" s="26">
        <v>2</v>
      </c>
      <c r="Q860" s="34" t="str">
        <f t="shared" si="39"/>
        <v>Clear</v>
      </c>
      <c r="R860" s="41" t="str">
        <f>IF(I860=1,"Normal",IF(I860=2,"Yellow Alert",IF(I860=3,"Orange Alert",IF(I860=4,"Red Alert"))))</f>
        <v>Normal</v>
      </c>
      <c r="S860" s="60">
        <f t="shared" si="40"/>
        <v>8</v>
      </c>
      <c r="T860" s="61">
        <f>MONTH(dataset_1!B:B)</f>
        <v>1</v>
      </c>
      <c r="U860" s="61">
        <f t="shared" si="41"/>
        <v>2011</v>
      </c>
      <c r="V860" s="59" t="str">
        <f>TEXT(F860/24,"H AM/PM")</f>
        <v>5 AM</v>
      </c>
      <c r="W860" s="59" t="str">
        <f>IF(H860=6,"Saturday",IF(H860=0,"Sunday",IF(H860=1,"Monday",IF(H860=2,"Tuesday",IF(H860=3,"Wednesday",IF(H860=4,"Thursday",IF(H860=5,"Friday")))))))</f>
        <v>Tuesday</v>
      </c>
      <c r="X860" s="59" t="str">
        <f>IF(G860=FALSE,"Working day", IF(G860=TRUE,"Holiday"))</f>
        <v>Working day</v>
      </c>
    </row>
    <row r="861" spans="1:24" x14ac:dyDescent="0.25">
      <c r="A861" s="32">
        <v>860</v>
      </c>
      <c r="B861" s="33">
        <v>40582</v>
      </c>
      <c r="C861" s="26">
        <v>1</v>
      </c>
      <c r="D861" s="26">
        <v>0</v>
      </c>
      <c r="E861" s="26">
        <v>2</v>
      </c>
      <c r="F861" s="26">
        <v>6</v>
      </c>
      <c r="G861" s="26" t="b">
        <v>0</v>
      </c>
      <c r="H861" s="26">
        <v>2</v>
      </c>
      <c r="I861" s="26">
        <v>1</v>
      </c>
      <c r="J861" s="26">
        <v>0.26</v>
      </c>
      <c r="K861" s="26">
        <v>0.2273</v>
      </c>
      <c r="L861" s="26">
        <v>0.7</v>
      </c>
      <c r="M861">
        <v>0.32840000000000003</v>
      </c>
      <c r="N861" s="26">
        <v>0</v>
      </c>
      <c r="O861" s="26">
        <v>39</v>
      </c>
      <c r="P861" s="26">
        <v>39</v>
      </c>
      <c r="Q861" s="34" t="str">
        <f t="shared" si="39"/>
        <v>Clear</v>
      </c>
      <c r="R861" s="41" t="str">
        <f>IF(I861=1,"Normal",IF(I861=2,"Yellow Alert",IF(I861=3,"Orange Alert",IF(I861=4,"Red Alert"))))</f>
        <v>Normal</v>
      </c>
      <c r="S861" s="60">
        <f t="shared" si="40"/>
        <v>8</v>
      </c>
      <c r="T861" s="61">
        <f>MONTH(dataset_1!B:B)</f>
        <v>1</v>
      </c>
      <c r="U861" s="61">
        <f t="shared" si="41"/>
        <v>2011</v>
      </c>
      <c r="V861" s="59" t="str">
        <f>TEXT(F861/24,"H AM/PM")</f>
        <v>6 AM</v>
      </c>
      <c r="W861" s="59" t="str">
        <f>IF(H861=6,"Saturday",IF(H861=0,"Sunday",IF(H861=1,"Monday",IF(H861=2,"Tuesday",IF(H861=3,"Wednesday",IF(H861=4,"Thursday",IF(H861=5,"Friday")))))))</f>
        <v>Tuesday</v>
      </c>
      <c r="X861" s="59" t="str">
        <f>IF(G861=FALSE,"Working day", IF(G861=TRUE,"Holiday"))</f>
        <v>Working day</v>
      </c>
    </row>
    <row r="862" spans="1:24" x14ac:dyDescent="0.25">
      <c r="A862" s="32">
        <v>861</v>
      </c>
      <c r="B862" s="33">
        <v>40582</v>
      </c>
      <c r="C862" s="26">
        <v>1</v>
      </c>
      <c r="D862" s="26">
        <v>0</v>
      </c>
      <c r="E862" s="26">
        <v>2</v>
      </c>
      <c r="F862" s="26">
        <v>7</v>
      </c>
      <c r="G862" s="26" t="b">
        <v>0</v>
      </c>
      <c r="H862" s="26">
        <v>2</v>
      </c>
      <c r="I862" s="26">
        <v>1</v>
      </c>
      <c r="J862" s="26">
        <v>0.24</v>
      </c>
      <c r="K862" s="26">
        <v>0.19700000000000001</v>
      </c>
      <c r="L862" s="26">
        <v>0.65</v>
      </c>
      <c r="M862">
        <v>0.41789999999999999</v>
      </c>
      <c r="N862" s="26">
        <v>3</v>
      </c>
      <c r="O862" s="26">
        <v>97</v>
      </c>
      <c r="P862" s="26">
        <v>100</v>
      </c>
      <c r="Q862" s="34" t="str">
        <f t="shared" si="39"/>
        <v>Clear</v>
      </c>
      <c r="R862" s="41" t="str">
        <f>IF(I862=1,"Normal",IF(I862=2,"Yellow Alert",IF(I862=3,"Orange Alert",IF(I862=4,"Red Alert"))))</f>
        <v>Normal</v>
      </c>
      <c r="S862" s="60">
        <f t="shared" si="40"/>
        <v>8</v>
      </c>
      <c r="T862" s="61">
        <f>MONTH(dataset_1!B:B)</f>
        <v>1</v>
      </c>
      <c r="U862" s="61">
        <f t="shared" si="41"/>
        <v>2011</v>
      </c>
      <c r="V862" s="59" t="str">
        <f>TEXT(F862/24,"H AM/PM")</f>
        <v>7 AM</v>
      </c>
      <c r="W862" s="59" t="str">
        <f>IF(H862=6,"Saturday",IF(H862=0,"Sunday",IF(H862=1,"Monday",IF(H862=2,"Tuesday",IF(H862=3,"Wednesday",IF(H862=4,"Thursday",IF(H862=5,"Friday")))))))</f>
        <v>Tuesday</v>
      </c>
      <c r="X862" s="59" t="str">
        <f>IF(G862=FALSE,"Working day", IF(G862=TRUE,"Holiday"))</f>
        <v>Working day</v>
      </c>
    </row>
    <row r="863" spans="1:24" x14ac:dyDescent="0.25">
      <c r="A863" s="32">
        <v>862</v>
      </c>
      <c r="B863" s="33">
        <v>40582</v>
      </c>
      <c r="C863" s="26">
        <v>1</v>
      </c>
      <c r="D863" s="26">
        <v>0</v>
      </c>
      <c r="E863" s="26">
        <v>2</v>
      </c>
      <c r="F863" s="26">
        <v>8</v>
      </c>
      <c r="G863" s="26" t="b">
        <v>0</v>
      </c>
      <c r="H863" s="26">
        <v>2</v>
      </c>
      <c r="I863" s="26">
        <v>1</v>
      </c>
      <c r="J863" s="26">
        <v>0.24</v>
      </c>
      <c r="K863" s="26">
        <v>0.19700000000000001</v>
      </c>
      <c r="L863" s="26">
        <v>0.56000000000000005</v>
      </c>
      <c r="M863">
        <v>0.49249999999999999</v>
      </c>
      <c r="N863" s="26">
        <v>7</v>
      </c>
      <c r="O863" s="26">
        <v>236</v>
      </c>
      <c r="P863" s="26">
        <v>243</v>
      </c>
      <c r="Q863" s="34" t="str">
        <f t="shared" si="39"/>
        <v>Clear</v>
      </c>
      <c r="R863" s="41" t="str">
        <f>IF(I863=1,"Normal",IF(I863=2,"Yellow Alert",IF(I863=3,"Orange Alert",IF(I863=4,"Red Alert"))))</f>
        <v>Normal</v>
      </c>
      <c r="S863" s="60">
        <f t="shared" si="40"/>
        <v>8</v>
      </c>
      <c r="T863" s="61">
        <f>MONTH(dataset_1!B:B)</f>
        <v>1</v>
      </c>
      <c r="U863" s="61">
        <f t="shared" si="41"/>
        <v>2011</v>
      </c>
      <c r="V863" s="59" t="str">
        <f>TEXT(F863/24,"H AM/PM")</f>
        <v>8 AM</v>
      </c>
      <c r="W863" s="59" t="str">
        <f>IF(H863=6,"Saturday",IF(H863=0,"Sunday",IF(H863=1,"Monday",IF(H863=2,"Tuesday",IF(H863=3,"Wednesday",IF(H863=4,"Thursday",IF(H863=5,"Friday")))))))</f>
        <v>Tuesday</v>
      </c>
      <c r="X863" s="59" t="str">
        <f>IF(G863=FALSE,"Working day", IF(G863=TRUE,"Holiday"))</f>
        <v>Working day</v>
      </c>
    </row>
    <row r="864" spans="1:24" x14ac:dyDescent="0.25">
      <c r="A864" s="32">
        <v>863</v>
      </c>
      <c r="B864" s="33">
        <v>40582</v>
      </c>
      <c r="C864" s="26">
        <v>1</v>
      </c>
      <c r="D864" s="26">
        <v>0</v>
      </c>
      <c r="E864" s="26">
        <v>2</v>
      </c>
      <c r="F864" s="26">
        <v>9</v>
      </c>
      <c r="G864" s="26" t="b">
        <v>0</v>
      </c>
      <c r="H864" s="26">
        <v>2</v>
      </c>
      <c r="I864" s="26">
        <v>1</v>
      </c>
      <c r="J864" s="26">
        <v>0.24</v>
      </c>
      <c r="K864" s="26">
        <v>0.19700000000000001</v>
      </c>
      <c r="L864" s="26">
        <v>0.52</v>
      </c>
      <c r="M864">
        <v>0.49249999999999999</v>
      </c>
      <c r="N864" s="26">
        <v>7</v>
      </c>
      <c r="O864" s="26">
        <v>128</v>
      </c>
      <c r="P864" s="26">
        <v>135</v>
      </c>
      <c r="Q864" s="34" t="str">
        <f t="shared" si="39"/>
        <v>Clear</v>
      </c>
      <c r="R864" s="41" t="str">
        <f>IF(I864=1,"Normal",IF(I864=2,"Yellow Alert",IF(I864=3,"Orange Alert",IF(I864=4,"Red Alert"))))</f>
        <v>Normal</v>
      </c>
      <c r="S864" s="60">
        <f t="shared" si="40"/>
        <v>8</v>
      </c>
      <c r="T864" s="61">
        <f>MONTH(dataset_1!B:B)</f>
        <v>1</v>
      </c>
      <c r="U864" s="61">
        <f t="shared" si="41"/>
        <v>2011</v>
      </c>
      <c r="V864" s="59" t="str">
        <f>TEXT(F864/24,"H AM/PM")</f>
        <v>9 AM</v>
      </c>
      <c r="W864" s="59" t="str">
        <f>IF(H864=6,"Saturday",IF(H864=0,"Sunday",IF(H864=1,"Monday",IF(H864=2,"Tuesday",IF(H864=3,"Wednesday",IF(H864=4,"Thursday",IF(H864=5,"Friday")))))))</f>
        <v>Tuesday</v>
      </c>
      <c r="X864" s="59" t="str">
        <f>IF(G864=FALSE,"Working day", IF(G864=TRUE,"Holiday"))</f>
        <v>Working day</v>
      </c>
    </row>
    <row r="865" spans="1:24" x14ac:dyDescent="0.25">
      <c r="A865" s="32">
        <v>864</v>
      </c>
      <c r="B865" s="33">
        <v>40582</v>
      </c>
      <c r="C865" s="26">
        <v>1</v>
      </c>
      <c r="D865" s="26">
        <v>0</v>
      </c>
      <c r="E865" s="26">
        <v>2</v>
      </c>
      <c r="F865" s="26">
        <v>10</v>
      </c>
      <c r="G865" s="26" t="b">
        <v>0</v>
      </c>
      <c r="H865" s="26">
        <v>2</v>
      </c>
      <c r="I865" s="26">
        <v>1</v>
      </c>
      <c r="J865" s="26">
        <v>0.22</v>
      </c>
      <c r="K865" s="26">
        <v>0.18179999999999999</v>
      </c>
      <c r="L865" s="26">
        <v>0.47</v>
      </c>
      <c r="M865">
        <v>0.55220000000000002</v>
      </c>
      <c r="N865" s="26">
        <v>4</v>
      </c>
      <c r="O865" s="26">
        <v>44</v>
      </c>
      <c r="P865" s="26">
        <v>48</v>
      </c>
      <c r="Q865" s="34" t="str">
        <f t="shared" si="39"/>
        <v>Clear</v>
      </c>
      <c r="R865" s="41" t="str">
        <f>IF(I865=1,"Normal",IF(I865=2,"Yellow Alert",IF(I865=3,"Orange Alert",IF(I865=4,"Red Alert"))))</f>
        <v>Normal</v>
      </c>
      <c r="S865" s="60">
        <f t="shared" si="40"/>
        <v>8</v>
      </c>
      <c r="T865" s="61">
        <f>MONTH(dataset_1!B:B)</f>
        <v>1</v>
      </c>
      <c r="U865" s="61">
        <f t="shared" si="41"/>
        <v>2011</v>
      </c>
      <c r="V865" s="59" t="str">
        <f>TEXT(F865/24,"H AM/PM")</f>
        <v>10 AM</v>
      </c>
      <c r="W865" s="59" t="str">
        <f>IF(H865=6,"Saturday",IF(H865=0,"Sunday",IF(H865=1,"Monday",IF(H865=2,"Tuesday",IF(H865=3,"Wednesday",IF(H865=4,"Thursday",IF(H865=5,"Friday")))))))</f>
        <v>Tuesday</v>
      </c>
      <c r="X865" s="59" t="str">
        <f>IF(G865=FALSE,"Working day", IF(G865=TRUE,"Holiday"))</f>
        <v>Working day</v>
      </c>
    </row>
    <row r="866" spans="1:24" x14ac:dyDescent="0.25">
      <c r="A866" s="32">
        <v>865</v>
      </c>
      <c r="B866" s="33">
        <v>40582</v>
      </c>
      <c r="C866" s="26">
        <v>1</v>
      </c>
      <c r="D866" s="26">
        <v>0</v>
      </c>
      <c r="E866" s="26">
        <v>2</v>
      </c>
      <c r="F866" s="26">
        <v>11</v>
      </c>
      <c r="G866" s="26" t="b">
        <v>0</v>
      </c>
      <c r="H866" s="26">
        <v>2</v>
      </c>
      <c r="I866" s="26">
        <v>1</v>
      </c>
      <c r="J866" s="26">
        <v>0.22</v>
      </c>
      <c r="K866" s="26">
        <v>0.18179999999999999</v>
      </c>
      <c r="L866" s="26">
        <v>0.47</v>
      </c>
      <c r="M866">
        <v>0.4627</v>
      </c>
      <c r="N866" s="26">
        <v>1</v>
      </c>
      <c r="O866" s="26">
        <v>49</v>
      </c>
      <c r="P866" s="26">
        <v>50</v>
      </c>
      <c r="Q866" s="34" t="str">
        <f t="shared" si="39"/>
        <v>Clear</v>
      </c>
      <c r="R866" s="41" t="str">
        <f>IF(I866=1,"Normal",IF(I866=2,"Yellow Alert",IF(I866=3,"Orange Alert",IF(I866=4,"Red Alert"))))</f>
        <v>Normal</v>
      </c>
      <c r="S866" s="60">
        <f t="shared" si="40"/>
        <v>8</v>
      </c>
      <c r="T866" s="61">
        <f>MONTH(dataset_1!B:B)</f>
        <v>1</v>
      </c>
      <c r="U866" s="61">
        <f t="shared" si="41"/>
        <v>2011</v>
      </c>
      <c r="V866" s="59" t="str">
        <f>TEXT(F866/24,"H AM/PM")</f>
        <v>11 AM</v>
      </c>
      <c r="W866" s="59" t="str">
        <f>IF(H866=6,"Saturday",IF(H866=0,"Sunday",IF(H866=1,"Monday",IF(H866=2,"Tuesday",IF(H866=3,"Wednesday",IF(H866=4,"Thursday",IF(H866=5,"Friday")))))))</f>
        <v>Tuesday</v>
      </c>
      <c r="X866" s="59" t="str">
        <f>IF(G866=FALSE,"Working day", IF(G866=TRUE,"Holiday"))</f>
        <v>Working day</v>
      </c>
    </row>
    <row r="867" spans="1:24" x14ac:dyDescent="0.25">
      <c r="A867" s="32">
        <v>866</v>
      </c>
      <c r="B867" s="33">
        <v>40582</v>
      </c>
      <c r="C867" s="26">
        <v>1</v>
      </c>
      <c r="D867" s="26">
        <v>0</v>
      </c>
      <c r="E867" s="26">
        <v>2</v>
      </c>
      <c r="F867" s="26">
        <v>12</v>
      </c>
      <c r="G867" s="26" t="b">
        <v>0</v>
      </c>
      <c r="H867" s="26">
        <v>2</v>
      </c>
      <c r="I867" s="26">
        <v>1</v>
      </c>
      <c r="J867" s="26">
        <v>0.24</v>
      </c>
      <c r="K867" s="26">
        <v>0.19700000000000001</v>
      </c>
      <c r="L867" s="26">
        <v>0.38</v>
      </c>
      <c r="M867">
        <v>0.49249999999999999</v>
      </c>
      <c r="N867" s="26">
        <v>2</v>
      </c>
      <c r="O867" s="26">
        <v>63</v>
      </c>
      <c r="P867" s="26">
        <v>65</v>
      </c>
      <c r="Q867" s="34" t="str">
        <f t="shared" si="39"/>
        <v>Clear</v>
      </c>
      <c r="R867" s="41" t="str">
        <f>IF(I867=1,"Normal",IF(I867=2,"Yellow Alert",IF(I867=3,"Orange Alert",IF(I867=4,"Red Alert"))))</f>
        <v>Normal</v>
      </c>
      <c r="S867" s="60">
        <f t="shared" si="40"/>
        <v>8</v>
      </c>
      <c r="T867" s="61">
        <f>MONTH(dataset_1!B:B)</f>
        <v>1</v>
      </c>
      <c r="U867" s="61">
        <f t="shared" si="41"/>
        <v>2011</v>
      </c>
      <c r="V867" s="59" t="str">
        <f>TEXT(F867/24,"H AM/PM")</f>
        <v>12 PM</v>
      </c>
      <c r="W867" s="59" t="str">
        <f>IF(H867=6,"Saturday",IF(H867=0,"Sunday",IF(H867=1,"Monday",IF(H867=2,"Tuesday",IF(H867=3,"Wednesday",IF(H867=4,"Thursday",IF(H867=5,"Friday")))))))</f>
        <v>Tuesday</v>
      </c>
      <c r="X867" s="59" t="str">
        <f>IF(G867=FALSE,"Working day", IF(G867=TRUE,"Holiday"))</f>
        <v>Working day</v>
      </c>
    </row>
    <row r="868" spans="1:24" x14ac:dyDescent="0.25">
      <c r="A868" s="32">
        <v>867</v>
      </c>
      <c r="B868" s="33">
        <v>40582</v>
      </c>
      <c r="C868" s="26">
        <v>1</v>
      </c>
      <c r="D868" s="26">
        <v>0</v>
      </c>
      <c r="E868" s="26">
        <v>2</v>
      </c>
      <c r="F868" s="26">
        <v>13</v>
      </c>
      <c r="G868" s="26" t="b">
        <v>0</v>
      </c>
      <c r="H868" s="26">
        <v>2</v>
      </c>
      <c r="I868" s="26">
        <v>2</v>
      </c>
      <c r="J868" s="26">
        <v>0.24</v>
      </c>
      <c r="K868" s="26">
        <v>0.19700000000000001</v>
      </c>
      <c r="L868" s="26">
        <v>0.32</v>
      </c>
      <c r="M868">
        <v>0.44779999999999998</v>
      </c>
      <c r="N868" s="26">
        <v>2</v>
      </c>
      <c r="O868" s="26">
        <v>48</v>
      </c>
      <c r="P868" s="26">
        <v>50</v>
      </c>
      <c r="Q868" s="34" t="str">
        <f t="shared" si="39"/>
        <v>Cloudy</v>
      </c>
      <c r="R868" s="41" t="str">
        <f>IF(I868=1,"Normal",IF(I868=2,"Yellow Alert",IF(I868=3,"Orange Alert",IF(I868=4,"Red Alert"))))</f>
        <v>Yellow Alert</v>
      </c>
      <c r="S868" s="60">
        <f t="shared" si="40"/>
        <v>8</v>
      </c>
      <c r="T868" s="61">
        <f>MONTH(dataset_1!B:B)</f>
        <v>1</v>
      </c>
      <c r="U868" s="61">
        <f t="shared" si="41"/>
        <v>2011</v>
      </c>
      <c r="V868" s="59" t="str">
        <f>TEXT(F868/24,"H AM/PM")</f>
        <v>1 PM</v>
      </c>
      <c r="W868" s="59" t="str">
        <f>IF(H868=6,"Saturday",IF(H868=0,"Sunday",IF(H868=1,"Monday",IF(H868=2,"Tuesday",IF(H868=3,"Wednesday",IF(H868=4,"Thursday",IF(H868=5,"Friday")))))))</f>
        <v>Tuesday</v>
      </c>
      <c r="X868" s="59" t="str">
        <f>IF(G868=FALSE,"Working day", IF(G868=TRUE,"Holiday"))</f>
        <v>Working day</v>
      </c>
    </row>
    <row r="869" spans="1:24" x14ac:dyDescent="0.25">
      <c r="A869" s="32">
        <v>868</v>
      </c>
      <c r="B869" s="33">
        <v>40582</v>
      </c>
      <c r="C869" s="26">
        <v>1</v>
      </c>
      <c r="D869" s="26">
        <v>0</v>
      </c>
      <c r="E869" s="26">
        <v>2</v>
      </c>
      <c r="F869" s="26">
        <v>14</v>
      </c>
      <c r="G869" s="26" t="b">
        <v>0</v>
      </c>
      <c r="H869" s="26">
        <v>2</v>
      </c>
      <c r="I869" s="26">
        <v>1</v>
      </c>
      <c r="J869" s="26">
        <v>0.22</v>
      </c>
      <c r="K869" s="26">
        <v>0.19700000000000001</v>
      </c>
      <c r="L869" s="26">
        <v>0.37</v>
      </c>
      <c r="M869">
        <v>0.41789999999999999</v>
      </c>
      <c r="N869" s="26">
        <v>3</v>
      </c>
      <c r="O869" s="26">
        <v>61</v>
      </c>
      <c r="P869" s="26">
        <v>64</v>
      </c>
      <c r="Q869" s="34" t="str">
        <f t="shared" si="39"/>
        <v>Clear</v>
      </c>
      <c r="R869" s="41" t="str">
        <f>IF(I869=1,"Normal",IF(I869=2,"Yellow Alert",IF(I869=3,"Orange Alert",IF(I869=4,"Red Alert"))))</f>
        <v>Normal</v>
      </c>
      <c r="S869" s="60">
        <f t="shared" si="40"/>
        <v>8</v>
      </c>
      <c r="T869" s="61">
        <f>MONTH(dataset_1!B:B)</f>
        <v>1</v>
      </c>
      <c r="U869" s="61">
        <f t="shared" si="41"/>
        <v>2011</v>
      </c>
      <c r="V869" s="59" t="str">
        <f>TEXT(F869/24,"H AM/PM")</f>
        <v>2 PM</v>
      </c>
      <c r="W869" s="59" t="str">
        <f>IF(H869=6,"Saturday",IF(H869=0,"Sunday",IF(H869=1,"Monday",IF(H869=2,"Tuesday",IF(H869=3,"Wednesday",IF(H869=4,"Thursday",IF(H869=5,"Friday")))))))</f>
        <v>Tuesday</v>
      </c>
      <c r="X869" s="59" t="str">
        <f>IF(G869=FALSE,"Working day", IF(G869=TRUE,"Holiday"))</f>
        <v>Working day</v>
      </c>
    </row>
    <row r="870" spans="1:24" x14ac:dyDescent="0.25">
      <c r="A870" s="32">
        <v>869</v>
      </c>
      <c r="B870" s="33">
        <v>40582</v>
      </c>
      <c r="C870" s="26">
        <v>1</v>
      </c>
      <c r="D870" s="26">
        <v>0</v>
      </c>
      <c r="E870" s="26">
        <v>2</v>
      </c>
      <c r="F870" s="26">
        <v>15</v>
      </c>
      <c r="G870" s="26" t="b">
        <v>0</v>
      </c>
      <c r="H870" s="26">
        <v>2</v>
      </c>
      <c r="I870" s="26">
        <v>1</v>
      </c>
      <c r="J870" s="26">
        <v>0.22</v>
      </c>
      <c r="K870" s="26">
        <v>0.19700000000000001</v>
      </c>
      <c r="L870" s="26">
        <v>0.35</v>
      </c>
      <c r="M870">
        <v>0.3881</v>
      </c>
      <c r="N870" s="26">
        <v>6</v>
      </c>
      <c r="O870" s="26">
        <v>45</v>
      </c>
      <c r="P870" s="26">
        <v>51</v>
      </c>
      <c r="Q870" s="34" t="str">
        <f t="shared" si="39"/>
        <v>Clear</v>
      </c>
      <c r="R870" s="41" t="str">
        <f>IF(I870=1,"Normal",IF(I870=2,"Yellow Alert",IF(I870=3,"Orange Alert",IF(I870=4,"Red Alert"))))</f>
        <v>Normal</v>
      </c>
      <c r="S870" s="60">
        <f t="shared" si="40"/>
        <v>8</v>
      </c>
      <c r="T870" s="61">
        <f>MONTH(dataset_1!B:B)</f>
        <v>1</v>
      </c>
      <c r="U870" s="61">
        <f t="shared" si="41"/>
        <v>2011</v>
      </c>
      <c r="V870" s="59" t="str">
        <f>TEXT(F870/24,"H AM/PM")</f>
        <v>3 PM</v>
      </c>
      <c r="W870" s="59" t="str">
        <f>IF(H870=6,"Saturday",IF(H870=0,"Sunday",IF(H870=1,"Monday",IF(H870=2,"Tuesday",IF(H870=3,"Wednesday",IF(H870=4,"Thursday",IF(H870=5,"Friday")))))))</f>
        <v>Tuesday</v>
      </c>
      <c r="X870" s="59" t="str">
        <f>IF(G870=FALSE,"Working day", IF(G870=TRUE,"Holiday"))</f>
        <v>Working day</v>
      </c>
    </row>
    <row r="871" spans="1:24" x14ac:dyDescent="0.25">
      <c r="A871" s="32">
        <v>870</v>
      </c>
      <c r="B871" s="33">
        <v>40582</v>
      </c>
      <c r="C871" s="26">
        <v>1</v>
      </c>
      <c r="D871" s="26">
        <v>0</v>
      </c>
      <c r="E871" s="26">
        <v>2</v>
      </c>
      <c r="F871" s="26">
        <v>16</v>
      </c>
      <c r="G871" s="26" t="b">
        <v>0</v>
      </c>
      <c r="H871" s="26">
        <v>2</v>
      </c>
      <c r="I871" s="26">
        <v>1</v>
      </c>
      <c r="J871" s="26">
        <v>0.22</v>
      </c>
      <c r="K871" s="26">
        <v>0.18179999999999999</v>
      </c>
      <c r="L871" s="26">
        <v>0.35</v>
      </c>
      <c r="M871">
        <v>0.52239999999999998</v>
      </c>
      <c r="N871" s="26">
        <v>4</v>
      </c>
      <c r="O871" s="26">
        <v>79</v>
      </c>
      <c r="P871" s="26">
        <v>83</v>
      </c>
      <c r="Q871" s="34" t="str">
        <f t="shared" si="39"/>
        <v>Clear</v>
      </c>
      <c r="R871" s="41" t="str">
        <f>IF(I871=1,"Normal",IF(I871=2,"Yellow Alert",IF(I871=3,"Orange Alert",IF(I871=4,"Red Alert"))))</f>
        <v>Normal</v>
      </c>
      <c r="S871" s="60">
        <f t="shared" si="40"/>
        <v>8</v>
      </c>
      <c r="T871" s="61">
        <f>MONTH(dataset_1!B:B)</f>
        <v>1</v>
      </c>
      <c r="U871" s="61">
        <f t="shared" si="41"/>
        <v>2011</v>
      </c>
      <c r="V871" s="59" t="str">
        <f>TEXT(F871/24,"H AM/PM")</f>
        <v>4 PM</v>
      </c>
      <c r="W871" s="59" t="str">
        <f>IF(H871=6,"Saturday",IF(H871=0,"Sunday",IF(H871=1,"Monday",IF(H871=2,"Tuesday",IF(H871=3,"Wednesday",IF(H871=4,"Thursday",IF(H871=5,"Friday")))))))</f>
        <v>Tuesday</v>
      </c>
      <c r="X871" s="59" t="str">
        <f>IF(G871=FALSE,"Working day", IF(G871=TRUE,"Holiday"))</f>
        <v>Working day</v>
      </c>
    </row>
    <row r="872" spans="1:24" x14ac:dyDescent="0.25">
      <c r="A872" s="32">
        <v>871</v>
      </c>
      <c r="B872" s="33">
        <v>40582</v>
      </c>
      <c r="C872" s="26">
        <v>1</v>
      </c>
      <c r="D872" s="26">
        <v>0</v>
      </c>
      <c r="E872" s="26">
        <v>2</v>
      </c>
      <c r="F872" s="26">
        <v>17</v>
      </c>
      <c r="G872" s="26" t="b">
        <v>0</v>
      </c>
      <c r="H872" s="26">
        <v>2</v>
      </c>
      <c r="I872" s="26">
        <v>1</v>
      </c>
      <c r="J872" s="26">
        <v>0.22</v>
      </c>
      <c r="K872" s="26">
        <v>0.18179999999999999</v>
      </c>
      <c r="L872" s="26">
        <v>0.32</v>
      </c>
      <c r="M872">
        <v>0.58209999999999995</v>
      </c>
      <c r="N872" s="26">
        <v>4</v>
      </c>
      <c r="O872" s="26">
        <v>172</v>
      </c>
      <c r="P872" s="26">
        <v>176</v>
      </c>
      <c r="Q872" s="34" t="str">
        <f t="shared" si="39"/>
        <v>Clear</v>
      </c>
      <c r="R872" s="41" t="str">
        <f>IF(I872=1,"Normal",IF(I872=2,"Yellow Alert",IF(I872=3,"Orange Alert",IF(I872=4,"Red Alert"))))</f>
        <v>Normal</v>
      </c>
      <c r="S872" s="60">
        <f t="shared" si="40"/>
        <v>8</v>
      </c>
      <c r="T872" s="61">
        <f>MONTH(dataset_1!B:B)</f>
        <v>1</v>
      </c>
      <c r="U872" s="61">
        <f t="shared" si="41"/>
        <v>2011</v>
      </c>
      <c r="V872" s="59" t="str">
        <f>TEXT(F872/24,"H AM/PM")</f>
        <v>5 PM</v>
      </c>
      <c r="W872" s="59" t="str">
        <f>IF(H872=6,"Saturday",IF(H872=0,"Sunday",IF(H872=1,"Monday",IF(H872=2,"Tuesday",IF(H872=3,"Wednesday",IF(H872=4,"Thursday",IF(H872=5,"Friday")))))))</f>
        <v>Tuesday</v>
      </c>
      <c r="X872" s="59" t="str">
        <f>IF(G872=FALSE,"Working day", IF(G872=TRUE,"Holiday"))</f>
        <v>Working day</v>
      </c>
    </row>
    <row r="873" spans="1:24" x14ac:dyDescent="0.25">
      <c r="A873" s="32">
        <v>872</v>
      </c>
      <c r="B873" s="33">
        <v>40582</v>
      </c>
      <c r="C873" s="26">
        <v>1</v>
      </c>
      <c r="D873" s="26">
        <v>0</v>
      </c>
      <c r="E873" s="26">
        <v>2</v>
      </c>
      <c r="F873" s="26">
        <v>18</v>
      </c>
      <c r="G873" s="26" t="b">
        <v>0</v>
      </c>
      <c r="H873" s="26">
        <v>2</v>
      </c>
      <c r="I873" s="26">
        <v>1</v>
      </c>
      <c r="J873" s="26">
        <v>0.2</v>
      </c>
      <c r="K873" s="26">
        <v>0.18179999999999999</v>
      </c>
      <c r="L873" s="26">
        <v>0.32</v>
      </c>
      <c r="M873">
        <v>0.3881</v>
      </c>
      <c r="N873" s="26">
        <v>1</v>
      </c>
      <c r="O873" s="26">
        <v>151</v>
      </c>
      <c r="P873" s="26">
        <v>152</v>
      </c>
      <c r="Q873" s="34" t="str">
        <f t="shared" si="39"/>
        <v>Clear</v>
      </c>
      <c r="R873" s="41" t="str">
        <f>IF(I873=1,"Normal",IF(I873=2,"Yellow Alert",IF(I873=3,"Orange Alert",IF(I873=4,"Red Alert"))))</f>
        <v>Normal</v>
      </c>
      <c r="S873" s="60">
        <f t="shared" si="40"/>
        <v>8</v>
      </c>
      <c r="T873" s="61">
        <f>MONTH(dataset_1!B:B)</f>
        <v>1</v>
      </c>
      <c r="U873" s="61">
        <f t="shared" si="41"/>
        <v>2011</v>
      </c>
      <c r="V873" s="59" t="str">
        <f>TEXT(F873/24,"H AM/PM")</f>
        <v>6 PM</v>
      </c>
      <c r="W873" s="59" t="str">
        <f>IF(H873=6,"Saturday",IF(H873=0,"Sunday",IF(H873=1,"Monday",IF(H873=2,"Tuesday",IF(H873=3,"Wednesday",IF(H873=4,"Thursday",IF(H873=5,"Friday")))))))</f>
        <v>Tuesday</v>
      </c>
      <c r="X873" s="59" t="str">
        <f>IF(G873=FALSE,"Working day", IF(G873=TRUE,"Holiday"))</f>
        <v>Working day</v>
      </c>
    </row>
    <row r="874" spans="1:24" x14ac:dyDescent="0.25">
      <c r="A874" s="32">
        <v>873</v>
      </c>
      <c r="B874" s="33">
        <v>40582</v>
      </c>
      <c r="C874" s="26">
        <v>1</v>
      </c>
      <c r="D874" s="26">
        <v>0</v>
      </c>
      <c r="E874" s="26">
        <v>2</v>
      </c>
      <c r="F874" s="26">
        <v>19</v>
      </c>
      <c r="G874" s="26" t="b">
        <v>0</v>
      </c>
      <c r="H874" s="26">
        <v>2</v>
      </c>
      <c r="I874" s="26">
        <v>1</v>
      </c>
      <c r="J874" s="26">
        <v>0.16</v>
      </c>
      <c r="K874" s="26">
        <v>0.1212</v>
      </c>
      <c r="L874" s="26">
        <v>0.4</v>
      </c>
      <c r="M874">
        <v>0.4627</v>
      </c>
      <c r="N874" s="26">
        <v>1</v>
      </c>
      <c r="O874" s="26">
        <v>100</v>
      </c>
      <c r="P874" s="26">
        <v>101</v>
      </c>
      <c r="Q874" s="34" t="str">
        <f t="shared" si="39"/>
        <v>Clear</v>
      </c>
      <c r="R874" s="41" t="str">
        <f>IF(I874=1,"Normal",IF(I874=2,"Yellow Alert",IF(I874=3,"Orange Alert",IF(I874=4,"Red Alert"))))</f>
        <v>Normal</v>
      </c>
      <c r="S874" s="60">
        <f t="shared" si="40"/>
        <v>8</v>
      </c>
      <c r="T874" s="61">
        <f>MONTH(dataset_1!B:B)</f>
        <v>1</v>
      </c>
      <c r="U874" s="61">
        <f t="shared" si="41"/>
        <v>2011</v>
      </c>
      <c r="V874" s="59" t="str">
        <f>TEXT(F874/24,"H AM/PM")</f>
        <v>7 PM</v>
      </c>
      <c r="W874" s="59" t="str">
        <f>IF(H874=6,"Saturday",IF(H874=0,"Sunday",IF(H874=1,"Monday",IF(H874=2,"Tuesday",IF(H874=3,"Wednesday",IF(H874=4,"Thursday",IF(H874=5,"Friday")))))))</f>
        <v>Tuesday</v>
      </c>
      <c r="X874" s="59" t="str">
        <f>IF(G874=FALSE,"Working day", IF(G874=TRUE,"Holiday"))</f>
        <v>Working day</v>
      </c>
    </row>
    <row r="875" spans="1:24" x14ac:dyDescent="0.25">
      <c r="A875" s="32">
        <v>874</v>
      </c>
      <c r="B875" s="33">
        <v>40582</v>
      </c>
      <c r="C875" s="26">
        <v>1</v>
      </c>
      <c r="D875" s="26">
        <v>0</v>
      </c>
      <c r="E875" s="26">
        <v>2</v>
      </c>
      <c r="F875" s="26">
        <v>20</v>
      </c>
      <c r="G875" s="26" t="b">
        <v>0</v>
      </c>
      <c r="H875" s="26">
        <v>2</v>
      </c>
      <c r="I875" s="26">
        <v>1</v>
      </c>
      <c r="J875" s="26">
        <v>0.16</v>
      </c>
      <c r="K875" s="26">
        <v>0.13639999999999999</v>
      </c>
      <c r="L875" s="26">
        <v>0.4</v>
      </c>
      <c r="M875">
        <v>0.32840000000000003</v>
      </c>
      <c r="N875" s="26">
        <v>3</v>
      </c>
      <c r="O875" s="26">
        <v>53</v>
      </c>
      <c r="P875" s="26">
        <v>56</v>
      </c>
      <c r="Q875" s="34" t="str">
        <f t="shared" si="39"/>
        <v>Clear</v>
      </c>
      <c r="R875" s="41" t="str">
        <f>IF(I875=1,"Normal",IF(I875=2,"Yellow Alert",IF(I875=3,"Orange Alert",IF(I875=4,"Red Alert"))))</f>
        <v>Normal</v>
      </c>
      <c r="S875" s="60">
        <f t="shared" si="40"/>
        <v>8</v>
      </c>
      <c r="T875" s="61">
        <f>MONTH(dataset_1!B:B)</f>
        <v>1</v>
      </c>
      <c r="U875" s="61">
        <f t="shared" si="41"/>
        <v>2011</v>
      </c>
      <c r="V875" s="59" t="str">
        <f>TEXT(F875/24,"H AM/PM")</f>
        <v>8 PM</v>
      </c>
      <c r="W875" s="59" t="str">
        <f>IF(H875=6,"Saturday",IF(H875=0,"Sunday",IF(H875=1,"Monday",IF(H875=2,"Tuesday",IF(H875=3,"Wednesday",IF(H875=4,"Thursday",IF(H875=5,"Friday")))))))</f>
        <v>Tuesday</v>
      </c>
      <c r="X875" s="59" t="str">
        <f>IF(G875=FALSE,"Working day", IF(G875=TRUE,"Holiday"))</f>
        <v>Working day</v>
      </c>
    </row>
    <row r="876" spans="1:24" x14ac:dyDescent="0.25">
      <c r="A876" s="32">
        <v>875</v>
      </c>
      <c r="B876" s="33">
        <v>40582</v>
      </c>
      <c r="C876" s="26">
        <v>1</v>
      </c>
      <c r="D876" s="26">
        <v>0</v>
      </c>
      <c r="E876" s="26">
        <v>2</v>
      </c>
      <c r="F876" s="26">
        <v>21</v>
      </c>
      <c r="G876" s="26" t="b">
        <v>0</v>
      </c>
      <c r="H876" s="26">
        <v>2</v>
      </c>
      <c r="I876" s="26">
        <v>1</v>
      </c>
      <c r="J876" s="26">
        <v>0.14000000000000001</v>
      </c>
      <c r="K876" s="26">
        <v>0.1061</v>
      </c>
      <c r="L876" s="26">
        <v>0.33</v>
      </c>
      <c r="M876">
        <v>0.4627</v>
      </c>
      <c r="N876" s="26">
        <v>8</v>
      </c>
      <c r="O876" s="26">
        <v>46</v>
      </c>
      <c r="P876" s="26">
        <v>54</v>
      </c>
      <c r="Q876" s="34" t="str">
        <f t="shared" si="39"/>
        <v>Clear</v>
      </c>
      <c r="R876" s="41" t="str">
        <f>IF(I876=1,"Normal",IF(I876=2,"Yellow Alert",IF(I876=3,"Orange Alert",IF(I876=4,"Red Alert"))))</f>
        <v>Normal</v>
      </c>
      <c r="S876" s="60">
        <f t="shared" si="40"/>
        <v>8</v>
      </c>
      <c r="T876" s="61">
        <f>MONTH(dataset_1!B:B)</f>
        <v>1</v>
      </c>
      <c r="U876" s="61">
        <f t="shared" si="41"/>
        <v>2011</v>
      </c>
      <c r="V876" s="59" t="str">
        <f>TEXT(F876/24,"H AM/PM")</f>
        <v>9 PM</v>
      </c>
      <c r="W876" s="59" t="str">
        <f>IF(H876=6,"Saturday",IF(H876=0,"Sunday",IF(H876=1,"Monday",IF(H876=2,"Tuesday",IF(H876=3,"Wednesday",IF(H876=4,"Thursday",IF(H876=5,"Friday")))))))</f>
        <v>Tuesday</v>
      </c>
      <c r="X876" s="59" t="str">
        <f>IF(G876=FALSE,"Working day", IF(G876=TRUE,"Holiday"))</f>
        <v>Working day</v>
      </c>
    </row>
    <row r="877" spans="1:24" x14ac:dyDescent="0.25">
      <c r="A877" s="32">
        <v>876</v>
      </c>
      <c r="B877" s="33">
        <v>40582</v>
      </c>
      <c r="C877" s="26">
        <v>1</v>
      </c>
      <c r="D877" s="26">
        <v>0</v>
      </c>
      <c r="E877" s="26">
        <v>2</v>
      </c>
      <c r="F877" s="26">
        <v>22</v>
      </c>
      <c r="G877" s="26" t="b">
        <v>0</v>
      </c>
      <c r="H877" s="26">
        <v>2</v>
      </c>
      <c r="I877" s="26">
        <v>1</v>
      </c>
      <c r="J877" s="26">
        <v>0.12</v>
      </c>
      <c r="K877" s="26">
        <v>0.1061</v>
      </c>
      <c r="L877" s="26">
        <v>0.33</v>
      </c>
      <c r="M877">
        <v>0.35820000000000002</v>
      </c>
      <c r="N877" s="26">
        <v>0</v>
      </c>
      <c r="O877" s="26">
        <v>29</v>
      </c>
      <c r="P877" s="26">
        <v>29</v>
      </c>
      <c r="Q877" s="34" t="str">
        <f t="shared" si="39"/>
        <v>Clear</v>
      </c>
      <c r="R877" s="41" t="str">
        <f>IF(I877=1,"Normal",IF(I877=2,"Yellow Alert",IF(I877=3,"Orange Alert",IF(I877=4,"Red Alert"))))</f>
        <v>Normal</v>
      </c>
      <c r="S877" s="60">
        <f t="shared" si="40"/>
        <v>8</v>
      </c>
      <c r="T877" s="61">
        <f>MONTH(dataset_1!B:B)</f>
        <v>1</v>
      </c>
      <c r="U877" s="61">
        <f t="shared" si="41"/>
        <v>2011</v>
      </c>
      <c r="V877" s="59" t="str">
        <f>TEXT(F877/24,"H AM/PM")</f>
        <v>10 PM</v>
      </c>
      <c r="W877" s="59" t="str">
        <f>IF(H877=6,"Saturday",IF(H877=0,"Sunday",IF(H877=1,"Monday",IF(H877=2,"Tuesday",IF(H877=3,"Wednesday",IF(H877=4,"Thursday",IF(H877=5,"Friday")))))))</f>
        <v>Tuesday</v>
      </c>
      <c r="X877" s="59" t="str">
        <f>IF(G877=FALSE,"Working day", IF(G877=TRUE,"Holiday"))</f>
        <v>Working day</v>
      </c>
    </row>
    <row r="878" spans="1:24" x14ac:dyDescent="0.25">
      <c r="A878" s="32">
        <v>877</v>
      </c>
      <c r="B878" s="33">
        <v>40582</v>
      </c>
      <c r="C878" s="26">
        <v>1</v>
      </c>
      <c r="D878" s="26">
        <v>0</v>
      </c>
      <c r="E878" s="26">
        <v>2</v>
      </c>
      <c r="F878" s="26">
        <v>23</v>
      </c>
      <c r="G878" s="26" t="b">
        <v>0</v>
      </c>
      <c r="H878" s="26">
        <v>2</v>
      </c>
      <c r="I878" s="26">
        <v>1</v>
      </c>
      <c r="J878" s="26">
        <v>0.12</v>
      </c>
      <c r="K878" s="26">
        <v>0.1061</v>
      </c>
      <c r="L878" s="26">
        <v>0.33</v>
      </c>
      <c r="M878">
        <v>0.32840000000000003</v>
      </c>
      <c r="N878" s="26">
        <v>3</v>
      </c>
      <c r="O878" s="26">
        <v>9</v>
      </c>
      <c r="P878" s="26">
        <v>12</v>
      </c>
      <c r="Q878" s="34" t="str">
        <f t="shared" si="39"/>
        <v>Clear</v>
      </c>
      <c r="R878" s="41" t="str">
        <f>IF(I878=1,"Normal",IF(I878=2,"Yellow Alert",IF(I878=3,"Orange Alert",IF(I878=4,"Red Alert"))))</f>
        <v>Normal</v>
      </c>
      <c r="S878" s="60">
        <f t="shared" si="40"/>
        <v>8</v>
      </c>
      <c r="T878" s="61">
        <f>MONTH(dataset_1!B:B)</f>
        <v>1</v>
      </c>
      <c r="U878" s="61">
        <f t="shared" si="41"/>
        <v>2011</v>
      </c>
      <c r="V878" s="59" t="str">
        <f>TEXT(F878/24,"H AM/PM")</f>
        <v>11 PM</v>
      </c>
      <c r="W878" s="59" t="str">
        <f>IF(H878=6,"Saturday",IF(H878=0,"Sunday",IF(H878=1,"Monday",IF(H878=2,"Tuesday",IF(H878=3,"Wednesday",IF(H878=4,"Thursday",IF(H878=5,"Friday")))))))</f>
        <v>Tuesday</v>
      </c>
      <c r="X878" s="59" t="str">
        <f>IF(G878=FALSE,"Working day", IF(G878=TRUE,"Holiday"))</f>
        <v>Working day</v>
      </c>
    </row>
    <row r="879" spans="1:24" x14ac:dyDescent="0.25">
      <c r="A879" s="32">
        <v>878</v>
      </c>
      <c r="B879" s="33">
        <v>40583</v>
      </c>
      <c r="C879" s="26">
        <v>1</v>
      </c>
      <c r="D879" s="26">
        <v>0</v>
      </c>
      <c r="E879" s="26">
        <v>2</v>
      </c>
      <c r="F879" s="26">
        <v>0</v>
      </c>
      <c r="G879" s="26" t="b">
        <v>0</v>
      </c>
      <c r="H879" s="26">
        <v>3</v>
      </c>
      <c r="I879" s="26">
        <v>1</v>
      </c>
      <c r="J879" s="26">
        <v>0.1</v>
      </c>
      <c r="K879" s="26">
        <v>7.5800000000000006E-2</v>
      </c>
      <c r="L879" s="26">
        <v>0.36</v>
      </c>
      <c r="M879">
        <v>0.35820000000000002</v>
      </c>
      <c r="N879" s="26">
        <v>0</v>
      </c>
      <c r="O879" s="26">
        <v>17</v>
      </c>
      <c r="P879" s="26">
        <v>17</v>
      </c>
      <c r="Q879" s="34" t="str">
        <f t="shared" si="39"/>
        <v>Clear</v>
      </c>
      <c r="R879" s="41" t="str">
        <f>IF(I879=1,"Normal",IF(I879=2,"Yellow Alert",IF(I879=3,"Orange Alert",IF(I879=4,"Red Alert"))))</f>
        <v>Normal</v>
      </c>
      <c r="S879" s="60">
        <f t="shared" si="40"/>
        <v>9</v>
      </c>
      <c r="T879" s="61">
        <f>MONTH(dataset_1!B:B)</f>
        <v>1</v>
      </c>
      <c r="U879" s="61">
        <f t="shared" si="41"/>
        <v>2011</v>
      </c>
      <c r="V879" s="59" t="str">
        <f>TEXT(F879/24,"H AM/PM")</f>
        <v>12 AM</v>
      </c>
      <c r="W879" s="59" t="str">
        <f>IF(H879=6,"Saturday",IF(H879=0,"Sunday",IF(H879=1,"Monday",IF(H879=2,"Tuesday",IF(H879=3,"Wednesday",IF(H879=4,"Thursday",IF(H879=5,"Friday")))))))</f>
        <v>Wednesday</v>
      </c>
      <c r="X879" s="59" t="str">
        <f>IF(G879=FALSE,"Working day", IF(G879=TRUE,"Holiday"))</f>
        <v>Working day</v>
      </c>
    </row>
    <row r="880" spans="1:24" x14ac:dyDescent="0.25">
      <c r="A880" s="32">
        <v>879</v>
      </c>
      <c r="B880" s="33">
        <v>40583</v>
      </c>
      <c r="C880" s="26">
        <v>1</v>
      </c>
      <c r="D880" s="26">
        <v>0</v>
      </c>
      <c r="E880" s="26">
        <v>2</v>
      </c>
      <c r="F880" s="26">
        <v>1</v>
      </c>
      <c r="G880" s="26" t="b">
        <v>0</v>
      </c>
      <c r="H880" s="26">
        <v>3</v>
      </c>
      <c r="I880" s="26">
        <v>1</v>
      </c>
      <c r="J880" s="26">
        <v>0.1</v>
      </c>
      <c r="K880" s="26">
        <v>0.1061</v>
      </c>
      <c r="L880" s="26">
        <v>0.36</v>
      </c>
      <c r="M880">
        <v>0.22389999999999999</v>
      </c>
      <c r="N880" s="26">
        <v>0</v>
      </c>
      <c r="O880" s="26">
        <v>7</v>
      </c>
      <c r="P880" s="26">
        <v>7</v>
      </c>
      <c r="Q880" s="34" t="str">
        <f t="shared" si="39"/>
        <v>Clear</v>
      </c>
      <c r="R880" s="41" t="str">
        <f>IF(I880=1,"Normal",IF(I880=2,"Yellow Alert",IF(I880=3,"Orange Alert",IF(I880=4,"Red Alert"))))</f>
        <v>Normal</v>
      </c>
      <c r="S880" s="60">
        <f t="shared" si="40"/>
        <v>9</v>
      </c>
      <c r="T880" s="61">
        <f>MONTH(dataset_1!B:B)</f>
        <v>1</v>
      </c>
      <c r="U880" s="61">
        <f t="shared" si="41"/>
        <v>2011</v>
      </c>
      <c r="V880" s="59" t="str">
        <f>TEXT(F880/24,"H AM/PM")</f>
        <v>1 AM</v>
      </c>
      <c r="W880" s="59" t="str">
        <f>IF(H880=6,"Saturday",IF(H880=0,"Sunday",IF(H880=1,"Monday",IF(H880=2,"Tuesday",IF(H880=3,"Wednesday",IF(H880=4,"Thursday",IF(H880=5,"Friday")))))))</f>
        <v>Wednesday</v>
      </c>
      <c r="X880" s="59" t="str">
        <f>IF(G880=FALSE,"Working day", IF(G880=TRUE,"Holiday"))</f>
        <v>Working day</v>
      </c>
    </row>
    <row r="881" spans="1:24" x14ac:dyDescent="0.25">
      <c r="A881" s="32">
        <v>880</v>
      </c>
      <c r="B881" s="33">
        <v>40583</v>
      </c>
      <c r="C881" s="26">
        <v>1</v>
      </c>
      <c r="D881" s="26">
        <v>0</v>
      </c>
      <c r="E881" s="26">
        <v>2</v>
      </c>
      <c r="F881" s="26">
        <v>2</v>
      </c>
      <c r="G881" s="26" t="b">
        <v>0</v>
      </c>
      <c r="H881" s="26">
        <v>3</v>
      </c>
      <c r="I881" s="26">
        <v>1</v>
      </c>
      <c r="J881" s="26">
        <v>0.08</v>
      </c>
      <c r="K881" s="26">
        <v>7.5800000000000006E-2</v>
      </c>
      <c r="L881" s="26">
        <v>0.38</v>
      </c>
      <c r="M881">
        <v>0.28360000000000002</v>
      </c>
      <c r="N881" s="26">
        <v>1</v>
      </c>
      <c r="O881" s="26">
        <v>2</v>
      </c>
      <c r="P881" s="26">
        <v>3</v>
      </c>
      <c r="Q881" s="34" t="str">
        <f t="shared" si="39"/>
        <v>Clear</v>
      </c>
      <c r="R881" s="41" t="str">
        <f>IF(I881=1,"Normal",IF(I881=2,"Yellow Alert",IF(I881=3,"Orange Alert",IF(I881=4,"Red Alert"))))</f>
        <v>Normal</v>
      </c>
      <c r="S881" s="60">
        <f t="shared" si="40"/>
        <v>9</v>
      </c>
      <c r="T881" s="61">
        <f>MONTH(dataset_1!B:B)</f>
        <v>1</v>
      </c>
      <c r="U881" s="61">
        <f t="shared" si="41"/>
        <v>2011</v>
      </c>
      <c r="V881" s="59" t="str">
        <f>TEXT(F881/24,"H AM/PM")</f>
        <v>2 AM</v>
      </c>
      <c r="W881" s="59" t="str">
        <f>IF(H881=6,"Saturday",IF(H881=0,"Sunday",IF(H881=1,"Monday",IF(H881=2,"Tuesday",IF(H881=3,"Wednesday",IF(H881=4,"Thursday",IF(H881=5,"Friday")))))))</f>
        <v>Wednesday</v>
      </c>
      <c r="X881" s="59" t="str">
        <f>IF(G881=FALSE,"Working day", IF(G881=TRUE,"Holiday"))</f>
        <v>Working day</v>
      </c>
    </row>
    <row r="882" spans="1:24" x14ac:dyDescent="0.25">
      <c r="A882" s="32">
        <v>881</v>
      </c>
      <c r="B882" s="33">
        <v>40583</v>
      </c>
      <c r="C882" s="26">
        <v>1</v>
      </c>
      <c r="D882" s="26">
        <v>0</v>
      </c>
      <c r="E882" s="26">
        <v>2</v>
      </c>
      <c r="F882" s="26">
        <v>3</v>
      </c>
      <c r="G882" s="26" t="b">
        <v>0</v>
      </c>
      <c r="H882" s="26">
        <v>3</v>
      </c>
      <c r="I882" s="26">
        <v>1</v>
      </c>
      <c r="J882" s="26">
        <v>0.06</v>
      </c>
      <c r="K882" s="26">
        <v>7.5800000000000006E-2</v>
      </c>
      <c r="L882" s="26">
        <v>0.45</v>
      </c>
      <c r="M882">
        <v>0.1343</v>
      </c>
      <c r="N882" s="26">
        <v>0</v>
      </c>
      <c r="O882" s="26">
        <v>2</v>
      </c>
      <c r="P882" s="26">
        <v>2</v>
      </c>
      <c r="Q882" s="34" t="str">
        <f t="shared" si="39"/>
        <v>Clear</v>
      </c>
      <c r="R882" s="41" t="str">
        <f>IF(I882=1,"Normal",IF(I882=2,"Yellow Alert",IF(I882=3,"Orange Alert",IF(I882=4,"Red Alert"))))</f>
        <v>Normal</v>
      </c>
      <c r="S882" s="60">
        <f t="shared" si="40"/>
        <v>9</v>
      </c>
      <c r="T882" s="61">
        <f>MONTH(dataset_1!B:B)</f>
        <v>1</v>
      </c>
      <c r="U882" s="61">
        <f t="shared" si="41"/>
        <v>2011</v>
      </c>
      <c r="V882" s="59" t="str">
        <f>TEXT(F882/24,"H AM/PM")</f>
        <v>3 AM</v>
      </c>
      <c r="W882" s="59" t="str">
        <f>IF(H882=6,"Saturday",IF(H882=0,"Sunday",IF(H882=1,"Monday",IF(H882=2,"Tuesday",IF(H882=3,"Wednesday",IF(H882=4,"Thursday",IF(H882=5,"Friday")))))))</f>
        <v>Wednesday</v>
      </c>
      <c r="X882" s="59" t="str">
        <f>IF(G882=FALSE,"Working day", IF(G882=TRUE,"Holiday"))</f>
        <v>Working day</v>
      </c>
    </row>
    <row r="883" spans="1:24" x14ac:dyDescent="0.25">
      <c r="A883" s="32">
        <v>882</v>
      </c>
      <c r="B883" s="33">
        <v>40583</v>
      </c>
      <c r="C883" s="26">
        <v>1</v>
      </c>
      <c r="D883" s="26">
        <v>0</v>
      </c>
      <c r="E883" s="26">
        <v>2</v>
      </c>
      <c r="F883" s="26">
        <v>5</v>
      </c>
      <c r="G883" s="26" t="b">
        <v>0</v>
      </c>
      <c r="H883" s="26">
        <v>3</v>
      </c>
      <c r="I883" s="26">
        <v>1</v>
      </c>
      <c r="J883" s="26">
        <v>0.06</v>
      </c>
      <c r="K883" s="26">
        <v>0.1061</v>
      </c>
      <c r="L883" s="26">
        <v>0.45</v>
      </c>
      <c r="M883">
        <v>0.1045</v>
      </c>
      <c r="N883" s="26">
        <v>0</v>
      </c>
      <c r="O883" s="26">
        <v>7</v>
      </c>
      <c r="P883" s="26">
        <v>7</v>
      </c>
      <c r="Q883" s="34" t="str">
        <f t="shared" si="39"/>
        <v>Clear</v>
      </c>
      <c r="R883" s="41" t="str">
        <f>IF(I883=1,"Normal",IF(I883=2,"Yellow Alert",IF(I883=3,"Orange Alert",IF(I883=4,"Red Alert"))))</f>
        <v>Normal</v>
      </c>
      <c r="S883" s="60">
        <f t="shared" si="40"/>
        <v>9</v>
      </c>
      <c r="T883" s="61">
        <f>MONTH(dataset_1!B:B)</f>
        <v>1</v>
      </c>
      <c r="U883" s="61">
        <f t="shared" si="41"/>
        <v>2011</v>
      </c>
      <c r="V883" s="59" t="str">
        <f>TEXT(F883/24,"H AM/PM")</f>
        <v>5 AM</v>
      </c>
      <c r="W883" s="59" t="str">
        <f>IF(H883=6,"Saturday",IF(H883=0,"Sunday",IF(H883=1,"Monday",IF(H883=2,"Tuesday",IF(H883=3,"Wednesday",IF(H883=4,"Thursday",IF(H883=5,"Friday")))))))</f>
        <v>Wednesday</v>
      </c>
      <c r="X883" s="59" t="str">
        <f>IF(G883=FALSE,"Working day", IF(G883=TRUE,"Holiday"))</f>
        <v>Working day</v>
      </c>
    </row>
    <row r="884" spans="1:24" x14ac:dyDescent="0.25">
      <c r="A884" s="32">
        <v>883</v>
      </c>
      <c r="B884" s="33">
        <v>40583</v>
      </c>
      <c r="C884" s="26">
        <v>1</v>
      </c>
      <c r="D884" s="26">
        <v>0</v>
      </c>
      <c r="E884" s="26">
        <v>2</v>
      </c>
      <c r="F884" s="26">
        <v>6</v>
      </c>
      <c r="G884" s="26" t="b">
        <v>0</v>
      </c>
      <c r="H884" s="26">
        <v>3</v>
      </c>
      <c r="I884" s="26">
        <v>1</v>
      </c>
      <c r="J884" s="26">
        <v>0.06</v>
      </c>
      <c r="K884" s="26">
        <v>0.1515</v>
      </c>
      <c r="L884" s="26">
        <v>0.45</v>
      </c>
      <c r="M884">
        <v>0</v>
      </c>
      <c r="N884" s="26">
        <v>0</v>
      </c>
      <c r="O884" s="26">
        <v>43</v>
      </c>
      <c r="P884" s="26">
        <v>43</v>
      </c>
      <c r="Q884" s="34" t="str">
        <f t="shared" si="39"/>
        <v>Clear</v>
      </c>
      <c r="R884" s="41" t="str">
        <f>IF(I884=1,"Normal",IF(I884=2,"Yellow Alert",IF(I884=3,"Orange Alert",IF(I884=4,"Red Alert"))))</f>
        <v>Normal</v>
      </c>
      <c r="S884" s="60">
        <f t="shared" si="40"/>
        <v>9</v>
      </c>
      <c r="T884" s="61">
        <f>MONTH(dataset_1!B:B)</f>
        <v>1</v>
      </c>
      <c r="U884" s="61">
        <f t="shared" si="41"/>
        <v>2011</v>
      </c>
      <c r="V884" s="59" t="str">
        <f>TEXT(F884/24,"H AM/PM")</f>
        <v>6 AM</v>
      </c>
      <c r="W884" s="59" t="str">
        <f>IF(H884=6,"Saturday",IF(H884=0,"Sunday",IF(H884=1,"Monday",IF(H884=2,"Tuesday",IF(H884=3,"Wednesday",IF(H884=4,"Thursday",IF(H884=5,"Friday")))))))</f>
        <v>Wednesday</v>
      </c>
      <c r="X884" s="59" t="str">
        <f>IF(G884=FALSE,"Working day", IF(G884=TRUE,"Holiday"))</f>
        <v>Working day</v>
      </c>
    </row>
    <row r="885" spans="1:24" x14ac:dyDescent="0.25">
      <c r="A885" s="32">
        <v>884</v>
      </c>
      <c r="B885" s="33">
        <v>40583</v>
      </c>
      <c r="C885" s="26">
        <v>1</v>
      </c>
      <c r="D885" s="26">
        <v>0</v>
      </c>
      <c r="E885" s="26">
        <v>2</v>
      </c>
      <c r="F885" s="26">
        <v>7</v>
      </c>
      <c r="G885" s="26" t="b">
        <v>0</v>
      </c>
      <c r="H885" s="26">
        <v>3</v>
      </c>
      <c r="I885" s="26">
        <v>1</v>
      </c>
      <c r="J885" s="26">
        <v>0.06</v>
      </c>
      <c r="K885" s="26">
        <v>0.1061</v>
      </c>
      <c r="L885" s="26">
        <v>0.49</v>
      </c>
      <c r="M885">
        <v>0.1045</v>
      </c>
      <c r="N885" s="26">
        <v>4</v>
      </c>
      <c r="O885" s="26">
        <v>95</v>
      </c>
      <c r="P885" s="26">
        <v>99</v>
      </c>
      <c r="Q885" s="34" t="str">
        <f t="shared" si="39"/>
        <v>Clear</v>
      </c>
      <c r="R885" s="41" t="str">
        <f>IF(I885=1,"Normal",IF(I885=2,"Yellow Alert",IF(I885=3,"Orange Alert",IF(I885=4,"Red Alert"))))</f>
        <v>Normal</v>
      </c>
      <c r="S885" s="60">
        <f t="shared" si="40"/>
        <v>9</v>
      </c>
      <c r="T885" s="61">
        <f>MONTH(dataset_1!B:B)</f>
        <v>1</v>
      </c>
      <c r="U885" s="61">
        <f t="shared" si="41"/>
        <v>2011</v>
      </c>
      <c r="V885" s="59" t="str">
        <f>TEXT(F885/24,"H AM/PM")</f>
        <v>7 AM</v>
      </c>
      <c r="W885" s="59" t="str">
        <f>IF(H885=6,"Saturday",IF(H885=0,"Sunday",IF(H885=1,"Monday",IF(H885=2,"Tuesday",IF(H885=3,"Wednesday",IF(H885=4,"Thursday",IF(H885=5,"Friday")))))))</f>
        <v>Wednesday</v>
      </c>
      <c r="X885" s="59" t="str">
        <f>IF(G885=FALSE,"Working day", IF(G885=TRUE,"Holiday"))</f>
        <v>Working day</v>
      </c>
    </row>
    <row r="886" spans="1:24" x14ac:dyDescent="0.25">
      <c r="A886" s="32">
        <v>885</v>
      </c>
      <c r="B886" s="33">
        <v>40583</v>
      </c>
      <c r="C886" s="26">
        <v>1</v>
      </c>
      <c r="D886" s="26">
        <v>0</v>
      </c>
      <c r="E886" s="26">
        <v>2</v>
      </c>
      <c r="F886" s="26">
        <v>8</v>
      </c>
      <c r="G886" s="26" t="b">
        <v>0</v>
      </c>
      <c r="H886" s="26">
        <v>3</v>
      </c>
      <c r="I886" s="26">
        <v>1</v>
      </c>
      <c r="J886" s="26">
        <v>0.1</v>
      </c>
      <c r="K886" s="26">
        <v>0.13639999999999999</v>
      </c>
      <c r="L886" s="26">
        <v>0.42</v>
      </c>
      <c r="M886">
        <v>0</v>
      </c>
      <c r="N886" s="26">
        <v>1</v>
      </c>
      <c r="O886" s="26">
        <v>198</v>
      </c>
      <c r="P886" s="26">
        <v>199</v>
      </c>
      <c r="Q886" s="34" t="str">
        <f t="shared" si="39"/>
        <v>Clear</v>
      </c>
      <c r="R886" s="41" t="str">
        <f>IF(I886=1,"Normal",IF(I886=2,"Yellow Alert",IF(I886=3,"Orange Alert",IF(I886=4,"Red Alert"))))</f>
        <v>Normal</v>
      </c>
      <c r="S886" s="60">
        <f t="shared" si="40"/>
        <v>9</v>
      </c>
      <c r="T886" s="61">
        <f>MONTH(dataset_1!B:B)</f>
        <v>1</v>
      </c>
      <c r="U886" s="61">
        <f t="shared" si="41"/>
        <v>2011</v>
      </c>
      <c r="V886" s="59" t="str">
        <f>TEXT(F886/24,"H AM/PM")</f>
        <v>8 AM</v>
      </c>
      <c r="W886" s="59" t="str">
        <f>IF(H886=6,"Saturday",IF(H886=0,"Sunday",IF(H886=1,"Monday",IF(H886=2,"Tuesday",IF(H886=3,"Wednesday",IF(H886=4,"Thursday",IF(H886=5,"Friday")))))))</f>
        <v>Wednesday</v>
      </c>
      <c r="X886" s="59" t="str">
        <f>IF(G886=FALSE,"Working day", IF(G886=TRUE,"Holiday"))</f>
        <v>Working day</v>
      </c>
    </row>
    <row r="887" spans="1:24" x14ac:dyDescent="0.25">
      <c r="A887" s="32">
        <v>886</v>
      </c>
      <c r="B887" s="33">
        <v>40583</v>
      </c>
      <c r="C887" s="26">
        <v>1</v>
      </c>
      <c r="D887" s="26">
        <v>0</v>
      </c>
      <c r="E887" s="26">
        <v>2</v>
      </c>
      <c r="F887" s="26">
        <v>9</v>
      </c>
      <c r="G887" s="26" t="b">
        <v>0</v>
      </c>
      <c r="H887" s="26">
        <v>3</v>
      </c>
      <c r="I887" s="26">
        <v>1</v>
      </c>
      <c r="J887" s="26">
        <v>0.12</v>
      </c>
      <c r="K887" s="26">
        <v>0.13639999999999999</v>
      </c>
      <c r="L887" s="26">
        <v>0.39</v>
      </c>
      <c r="M887">
        <v>0.16420000000000001</v>
      </c>
      <c r="N887" s="26">
        <v>4</v>
      </c>
      <c r="O887" s="26">
        <v>119</v>
      </c>
      <c r="P887" s="26">
        <v>123</v>
      </c>
      <c r="Q887" s="34" t="str">
        <f t="shared" si="39"/>
        <v>Clear</v>
      </c>
      <c r="R887" s="41" t="str">
        <f>IF(I887=1,"Normal",IF(I887=2,"Yellow Alert",IF(I887=3,"Orange Alert",IF(I887=4,"Red Alert"))))</f>
        <v>Normal</v>
      </c>
      <c r="S887" s="60">
        <f t="shared" si="40"/>
        <v>9</v>
      </c>
      <c r="T887" s="61">
        <f>MONTH(dataset_1!B:B)</f>
        <v>1</v>
      </c>
      <c r="U887" s="61">
        <f t="shared" si="41"/>
        <v>2011</v>
      </c>
      <c r="V887" s="59" t="str">
        <f>TEXT(F887/24,"H AM/PM")</f>
        <v>9 AM</v>
      </c>
      <c r="W887" s="59" t="str">
        <f>IF(H887=6,"Saturday",IF(H887=0,"Sunday",IF(H887=1,"Monday",IF(H887=2,"Tuesday",IF(H887=3,"Wednesday",IF(H887=4,"Thursday",IF(H887=5,"Friday")))))))</f>
        <v>Wednesday</v>
      </c>
      <c r="X887" s="59" t="str">
        <f>IF(G887=FALSE,"Working day", IF(G887=TRUE,"Holiday"))</f>
        <v>Working day</v>
      </c>
    </row>
    <row r="888" spans="1:24" x14ac:dyDescent="0.25">
      <c r="A888" s="32">
        <v>887</v>
      </c>
      <c r="B888" s="33">
        <v>40583</v>
      </c>
      <c r="C888" s="26">
        <v>1</v>
      </c>
      <c r="D888" s="26">
        <v>0</v>
      </c>
      <c r="E888" s="26">
        <v>2</v>
      </c>
      <c r="F888" s="26">
        <v>10</v>
      </c>
      <c r="G888" s="26" t="b">
        <v>0</v>
      </c>
      <c r="H888" s="26">
        <v>3</v>
      </c>
      <c r="I888" s="26">
        <v>1</v>
      </c>
      <c r="J888" s="26">
        <v>0.14000000000000001</v>
      </c>
      <c r="K888" s="26">
        <v>0.18179999999999999</v>
      </c>
      <c r="L888" s="26">
        <v>0.36</v>
      </c>
      <c r="M888">
        <v>0</v>
      </c>
      <c r="N888" s="26">
        <v>8</v>
      </c>
      <c r="O888" s="26">
        <v>51</v>
      </c>
      <c r="P888" s="26">
        <v>59</v>
      </c>
      <c r="Q888" s="34" t="str">
        <f t="shared" si="39"/>
        <v>Clear</v>
      </c>
      <c r="R888" s="41" t="str">
        <f>IF(I888=1,"Normal",IF(I888=2,"Yellow Alert",IF(I888=3,"Orange Alert",IF(I888=4,"Red Alert"))))</f>
        <v>Normal</v>
      </c>
      <c r="S888" s="60">
        <f t="shared" si="40"/>
        <v>9</v>
      </c>
      <c r="T888" s="61">
        <f>MONTH(dataset_1!B:B)</f>
        <v>1</v>
      </c>
      <c r="U888" s="61">
        <f t="shared" si="41"/>
        <v>2011</v>
      </c>
      <c r="V888" s="59" t="str">
        <f>TEXT(F888/24,"H AM/PM")</f>
        <v>10 AM</v>
      </c>
      <c r="W888" s="59" t="str">
        <f>IF(H888=6,"Saturday",IF(H888=0,"Sunday",IF(H888=1,"Monday",IF(H888=2,"Tuesday",IF(H888=3,"Wednesday",IF(H888=4,"Thursday",IF(H888=5,"Friday")))))))</f>
        <v>Wednesday</v>
      </c>
      <c r="X888" s="59" t="str">
        <f>IF(G888=FALSE,"Working day", IF(G888=TRUE,"Holiday"))</f>
        <v>Working day</v>
      </c>
    </row>
    <row r="889" spans="1:24" x14ac:dyDescent="0.25">
      <c r="A889" s="32">
        <v>888</v>
      </c>
      <c r="B889" s="33">
        <v>40583</v>
      </c>
      <c r="C889" s="26">
        <v>1</v>
      </c>
      <c r="D889" s="26">
        <v>0</v>
      </c>
      <c r="E889" s="26">
        <v>2</v>
      </c>
      <c r="F889" s="26">
        <v>11</v>
      </c>
      <c r="G889" s="26" t="b">
        <v>0</v>
      </c>
      <c r="H889" s="26">
        <v>3</v>
      </c>
      <c r="I889" s="26">
        <v>2</v>
      </c>
      <c r="J889" s="26">
        <v>0.14000000000000001</v>
      </c>
      <c r="K889" s="26">
        <v>0.1515</v>
      </c>
      <c r="L889" s="26">
        <v>0.43</v>
      </c>
      <c r="M889">
        <v>0.16420000000000001</v>
      </c>
      <c r="N889" s="26">
        <v>1</v>
      </c>
      <c r="O889" s="26">
        <v>40</v>
      </c>
      <c r="P889" s="26">
        <v>41</v>
      </c>
      <c r="Q889" s="34" t="str">
        <f t="shared" si="39"/>
        <v>Cloudy</v>
      </c>
      <c r="R889" s="41" t="str">
        <f>IF(I889=1,"Normal",IF(I889=2,"Yellow Alert",IF(I889=3,"Orange Alert",IF(I889=4,"Red Alert"))))</f>
        <v>Yellow Alert</v>
      </c>
      <c r="S889" s="60">
        <f t="shared" si="40"/>
        <v>9</v>
      </c>
      <c r="T889" s="61">
        <f>MONTH(dataset_1!B:B)</f>
        <v>1</v>
      </c>
      <c r="U889" s="61">
        <f t="shared" si="41"/>
        <v>2011</v>
      </c>
      <c r="V889" s="59" t="str">
        <f>TEXT(F889/24,"H AM/PM")</f>
        <v>11 AM</v>
      </c>
      <c r="W889" s="59" t="str">
        <f>IF(H889=6,"Saturday",IF(H889=0,"Sunday",IF(H889=1,"Monday",IF(H889=2,"Tuesday",IF(H889=3,"Wednesday",IF(H889=4,"Thursday",IF(H889=5,"Friday")))))))</f>
        <v>Wednesday</v>
      </c>
      <c r="X889" s="59" t="str">
        <f>IF(G889=FALSE,"Working day", IF(G889=TRUE,"Holiday"))</f>
        <v>Working day</v>
      </c>
    </row>
    <row r="890" spans="1:24" x14ac:dyDescent="0.25">
      <c r="A890" s="32">
        <v>889</v>
      </c>
      <c r="B890" s="33">
        <v>40583</v>
      </c>
      <c r="C890" s="26">
        <v>1</v>
      </c>
      <c r="D890" s="26">
        <v>0</v>
      </c>
      <c r="E890" s="26">
        <v>2</v>
      </c>
      <c r="F890" s="26">
        <v>12</v>
      </c>
      <c r="G890" s="26" t="b">
        <v>0</v>
      </c>
      <c r="H890" s="26">
        <v>3</v>
      </c>
      <c r="I890" s="26">
        <v>2</v>
      </c>
      <c r="J890" s="26">
        <v>0.18</v>
      </c>
      <c r="K890" s="26">
        <v>0.18179999999999999</v>
      </c>
      <c r="L890" s="26">
        <v>0.4</v>
      </c>
      <c r="M890">
        <v>0.22389999999999999</v>
      </c>
      <c r="N890" s="26">
        <v>4</v>
      </c>
      <c r="O890" s="26">
        <v>57</v>
      </c>
      <c r="P890" s="26">
        <v>61</v>
      </c>
      <c r="Q890" s="34" t="str">
        <f t="shared" si="39"/>
        <v>Cloudy</v>
      </c>
      <c r="R890" s="41" t="str">
        <f>IF(I890=1,"Normal",IF(I890=2,"Yellow Alert",IF(I890=3,"Orange Alert",IF(I890=4,"Red Alert"))))</f>
        <v>Yellow Alert</v>
      </c>
      <c r="S890" s="60">
        <f t="shared" si="40"/>
        <v>9</v>
      </c>
      <c r="T890" s="61">
        <f>MONTH(dataset_1!B:B)</f>
        <v>1</v>
      </c>
      <c r="U890" s="61">
        <f t="shared" si="41"/>
        <v>2011</v>
      </c>
      <c r="V890" s="59" t="str">
        <f>TEXT(F890/24,"H AM/PM")</f>
        <v>12 PM</v>
      </c>
      <c r="W890" s="59" t="str">
        <f>IF(H890=6,"Saturday",IF(H890=0,"Sunday",IF(H890=1,"Monday",IF(H890=2,"Tuesday",IF(H890=3,"Wednesday",IF(H890=4,"Thursday",IF(H890=5,"Friday")))))))</f>
        <v>Wednesday</v>
      </c>
      <c r="X890" s="59" t="str">
        <f>IF(G890=FALSE,"Working day", IF(G890=TRUE,"Holiday"))</f>
        <v>Working day</v>
      </c>
    </row>
    <row r="891" spans="1:24" x14ac:dyDescent="0.25">
      <c r="A891" s="32">
        <v>890</v>
      </c>
      <c r="B891" s="33">
        <v>40583</v>
      </c>
      <c r="C891" s="26">
        <v>1</v>
      </c>
      <c r="D891" s="26">
        <v>0</v>
      </c>
      <c r="E891" s="26">
        <v>2</v>
      </c>
      <c r="F891" s="26">
        <v>13</v>
      </c>
      <c r="G891" s="26" t="b">
        <v>0</v>
      </c>
      <c r="H891" s="26">
        <v>3</v>
      </c>
      <c r="I891" s="26">
        <v>1</v>
      </c>
      <c r="J891" s="26">
        <v>0.18</v>
      </c>
      <c r="K891" s="26">
        <v>0.16669999999999999</v>
      </c>
      <c r="L891" s="26">
        <v>0.4</v>
      </c>
      <c r="M891">
        <v>0.25369999999999998</v>
      </c>
      <c r="N891" s="26">
        <v>2</v>
      </c>
      <c r="O891" s="26">
        <v>67</v>
      </c>
      <c r="P891" s="26">
        <v>69</v>
      </c>
      <c r="Q891" s="34" t="str">
        <f t="shared" si="39"/>
        <v>Clear</v>
      </c>
      <c r="R891" s="41" t="str">
        <f>IF(I891=1,"Normal",IF(I891=2,"Yellow Alert",IF(I891=3,"Orange Alert",IF(I891=4,"Red Alert"))))</f>
        <v>Normal</v>
      </c>
      <c r="S891" s="60">
        <f t="shared" si="40"/>
        <v>9</v>
      </c>
      <c r="T891" s="61">
        <f>MONTH(dataset_1!B:B)</f>
        <v>1</v>
      </c>
      <c r="U891" s="61">
        <f t="shared" si="41"/>
        <v>2011</v>
      </c>
      <c r="V891" s="59" t="str">
        <f>TEXT(F891/24,"H AM/PM")</f>
        <v>1 PM</v>
      </c>
      <c r="W891" s="59" t="str">
        <f>IF(H891=6,"Saturday",IF(H891=0,"Sunday",IF(H891=1,"Monday",IF(H891=2,"Tuesday",IF(H891=3,"Wednesday",IF(H891=4,"Thursday",IF(H891=5,"Friday")))))))</f>
        <v>Wednesday</v>
      </c>
      <c r="X891" s="59" t="str">
        <f>IF(G891=FALSE,"Working day", IF(G891=TRUE,"Holiday"))</f>
        <v>Working day</v>
      </c>
    </row>
    <row r="892" spans="1:24" x14ac:dyDescent="0.25">
      <c r="A892" s="32">
        <v>891</v>
      </c>
      <c r="B892" s="33">
        <v>40583</v>
      </c>
      <c r="C892" s="26">
        <v>1</v>
      </c>
      <c r="D892" s="26">
        <v>0</v>
      </c>
      <c r="E892" s="26">
        <v>2</v>
      </c>
      <c r="F892" s="26">
        <v>14</v>
      </c>
      <c r="G892" s="26" t="b">
        <v>0</v>
      </c>
      <c r="H892" s="26">
        <v>3</v>
      </c>
      <c r="I892" s="26">
        <v>1</v>
      </c>
      <c r="J892" s="26">
        <v>0.2</v>
      </c>
      <c r="K892" s="26">
        <v>0.18179999999999999</v>
      </c>
      <c r="L892" s="26">
        <v>0.34</v>
      </c>
      <c r="M892">
        <v>0.29849999999999999</v>
      </c>
      <c r="N892" s="26">
        <v>2</v>
      </c>
      <c r="O892" s="26">
        <v>56</v>
      </c>
      <c r="P892" s="26">
        <v>58</v>
      </c>
      <c r="Q892" s="34" t="str">
        <f t="shared" si="39"/>
        <v>Clear</v>
      </c>
      <c r="R892" s="41" t="str">
        <f>IF(I892=1,"Normal",IF(I892=2,"Yellow Alert",IF(I892=3,"Orange Alert",IF(I892=4,"Red Alert"))))</f>
        <v>Normal</v>
      </c>
      <c r="S892" s="60">
        <f t="shared" si="40"/>
        <v>9</v>
      </c>
      <c r="T892" s="61">
        <f>MONTH(dataset_1!B:B)</f>
        <v>1</v>
      </c>
      <c r="U892" s="61">
        <f t="shared" si="41"/>
        <v>2011</v>
      </c>
      <c r="V892" s="59" t="str">
        <f>TEXT(F892/24,"H AM/PM")</f>
        <v>2 PM</v>
      </c>
      <c r="W892" s="59" t="str">
        <f>IF(H892=6,"Saturday",IF(H892=0,"Sunday",IF(H892=1,"Monday",IF(H892=2,"Tuesday",IF(H892=3,"Wednesday",IF(H892=4,"Thursday",IF(H892=5,"Friday")))))))</f>
        <v>Wednesday</v>
      </c>
      <c r="X892" s="59" t="str">
        <f>IF(G892=FALSE,"Working day", IF(G892=TRUE,"Holiday"))</f>
        <v>Working day</v>
      </c>
    </row>
    <row r="893" spans="1:24" x14ac:dyDescent="0.25">
      <c r="A893" s="32">
        <v>892</v>
      </c>
      <c r="B893" s="33">
        <v>40583</v>
      </c>
      <c r="C893" s="26">
        <v>1</v>
      </c>
      <c r="D893" s="26">
        <v>0</v>
      </c>
      <c r="E893" s="26">
        <v>2</v>
      </c>
      <c r="F893" s="26">
        <v>15</v>
      </c>
      <c r="G893" s="26" t="b">
        <v>0</v>
      </c>
      <c r="H893" s="26">
        <v>3</v>
      </c>
      <c r="I893" s="26">
        <v>2</v>
      </c>
      <c r="J893" s="26">
        <v>0.2</v>
      </c>
      <c r="K893" s="26">
        <v>0.18179999999999999</v>
      </c>
      <c r="L893" s="26">
        <v>0.34</v>
      </c>
      <c r="M893">
        <v>0.28360000000000002</v>
      </c>
      <c r="N893" s="26">
        <v>3</v>
      </c>
      <c r="O893" s="26">
        <v>61</v>
      </c>
      <c r="P893" s="26">
        <v>64</v>
      </c>
      <c r="Q893" s="34" t="str">
        <f t="shared" si="39"/>
        <v>Cloudy</v>
      </c>
      <c r="R893" s="41" t="str">
        <f>IF(I893=1,"Normal",IF(I893=2,"Yellow Alert",IF(I893=3,"Orange Alert",IF(I893=4,"Red Alert"))))</f>
        <v>Yellow Alert</v>
      </c>
      <c r="S893" s="60">
        <f t="shared" si="40"/>
        <v>9</v>
      </c>
      <c r="T893" s="61">
        <f>MONTH(dataset_1!B:B)</f>
        <v>1</v>
      </c>
      <c r="U893" s="61">
        <f t="shared" si="41"/>
        <v>2011</v>
      </c>
      <c r="V893" s="59" t="str">
        <f>TEXT(F893/24,"H AM/PM")</f>
        <v>3 PM</v>
      </c>
      <c r="W893" s="59" t="str">
        <f>IF(H893=6,"Saturday",IF(H893=0,"Sunday",IF(H893=1,"Monday",IF(H893=2,"Tuesday",IF(H893=3,"Wednesday",IF(H893=4,"Thursday",IF(H893=5,"Friday")))))))</f>
        <v>Wednesday</v>
      </c>
      <c r="X893" s="59" t="str">
        <f>IF(G893=FALSE,"Working day", IF(G893=TRUE,"Holiday"))</f>
        <v>Working day</v>
      </c>
    </row>
    <row r="894" spans="1:24" x14ac:dyDescent="0.25">
      <c r="A894" s="32">
        <v>893</v>
      </c>
      <c r="B894" s="33">
        <v>40583</v>
      </c>
      <c r="C894" s="26">
        <v>1</v>
      </c>
      <c r="D894" s="26">
        <v>0</v>
      </c>
      <c r="E894" s="26">
        <v>2</v>
      </c>
      <c r="F894" s="26">
        <v>16</v>
      </c>
      <c r="G894" s="26" t="b">
        <v>0</v>
      </c>
      <c r="H894" s="26">
        <v>3</v>
      </c>
      <c r="I894" s="26">
        <v>2</v>
      </c>
      <c r="J894" s="26">
        <v>0.2</v>
      </c>
      <c r="K894" s="26">
        <v>0.19700000000000001</v>
      </c>
      <c r="L894" s="26">
        <v>0.37</v>
      </c>
      <c r="M894">
        <v>0.25369999999999998</v>
      </c>
      <c r="N894" s="26">
        <v>7</v>
      </c>
      <c r="O894" s="26">
        <v>72</v>
      </c>
      <c r="P894" s="26">
        <v>79</v>
      </c>
      <c r="Q894" s="34" t="str">
        <f t="shared" si="39"/>
        <v>Cloudy</v>
      </c>
      <c r="R894" s="41" t="str">
        <f>IF(I894=1,"Normal",IF(I894=2,"Yellow Alert",IF(I894=3,"Orange Alert",IF(I894=4,"Red Alert"))))</f>
        <v>Yellow Alert</v>
      </c>
      <c r="S894" s="60">
        <f t="shared" si="40"/>
        <v>9</v>
      </c>
      <c r="T894" s="61">
        <f>MONTH(dataset_1!B:B)</f>
        <v>1</v>
      </c>
      <c r="U894" s="61">
        <f t="shared" si="41"/>
        <v>2011</v>
      </c>
      <c r="V894" s="59" t="str">
        <f>TEXT(F894/24,"H AM/PM")</f>
        <v>4 PM</v>
      </c>
      <c r="W894" s="59" t="str">
        <f>IF(H894=6,"Saturday",IF(H894=0,"Sunday",IF(H894=1,"Monday",IF(H894=2,"Tuesday",IF(H894=3,"Wednesday",IF(H894=4,"Thursday",IF(H894=5,"Friday")))))))</f>
        <v>Wednesday</v>
      </c>
      <c r="X894" s="59" t="str">
        <f>IF(G894=FALSE,"Working day", IF(G894=TRUE,"Holiday"))</f>
        <v>Working day</v>
      </c>
    </row>
    <row r="895" spans="1:24" x14ac:dyDescent="0.25">
      <c r="A895" s="32">
        <v>894</v>
      </c>
      <c r="B895" s="33">
        <v>40583</v>
      </c>
      <c r="C895" s="26">
        <v>1</v>
      </c>
      <c r="D895" s="26">
        <v>0</v>
      </c>
      <c r="E895" s="26">
        <v>2</v>
      </c>
      <c r="F895" s="26">
        <v>17</v>
      </c>
      <c r="G895" s="26" t="b">
        <v>0</v>
      </c>
      <c r="H895" s="26">
        <v>3</v>
      </c>
      <c r="I895" s="26">
        <v>2</v>
      </c>
      <c r="J895" s="26">
        <v>0.2</v>
      </c>
      <c r="K895" s="26">
        <v>0.19700000000000001</v>
      </c>
      <c r="L895" s="26">
        <v>0.34</v>
      </c>
      <c r="M895">
        <v>0.25369999999999998</v>
      </c>
      <c r="N895" s="26">
        <v>9</v>
      </c>
      <c r="O895" s="26">
        <v>157</v>
      </c>
      <c r="P895" s="26">
        <v>166</v>
      </c>
      <c r="Q895" s="34" t="str">
        <f t="shared" si="39"/>
        <v>Cloudy</v>
      </c>
      <c r="R895" s="41" t="str">
        <f>IF(I895=1,"Normal",IF(I895=2,"Yellow Alert",IF(I895=3,"Orange Alert",IF(I895=4,"Red Alert"))))</f>
        <v>Yellow Alert</v>
      </c>
      <c r="S895" s="60">
        <f t="shared" si="40"/>
        <v>9</v>
      </c>
      <c r="T895" s="61">
        <f>MONTH(dataset_1!B:B)</f>
        <v>1</v>
      </c>
      <c r="U895" s="61">
        <f t="shared" si="41"/>
        <v>2011</v>
      </c>
      <c r="V895" s="59" t="str">
        <f>TEXT(F895/24,"H AM/PM")</f>
        <v>5 PM</v>
      </c>
      <c r="W895" s="59" t="str">
        <f>IF(H895=6,"Saturday",IF(H895=0,"Sunday",IF(H895=1,"Monday",IF(H895=2,"Tuesday",IF(H895=3,"Wednesday",IF(H895=4,"Thursday",IF(H895=5,"Friday")))))))</f>
        <v>Wednesday</v>
      </c>
      <c r="X895" s="59" t="str">
        <f>IF(G895=FALSE,"Working day", IF(G895=TRUE,"Holiday"))</f>
        <v>Working day</v>
      </c>
    </row>
    <row r="896" spans="1:24" x14ac:dyDescent="0.25">
      <c r="A896" s="32">
        <v>895</v>
      </c>
      <c r="B896" s="33">
        <v>40583</v>
      </c>
      <c r="C896" s="26">
        <v>1</v>
      </c>
      <c r="D896" s="26">
        <v>0</v>
      </c>
      <c r="E896" s="26">
        <v>2</v>
      </c>
      <c r="F896" s="26">
        <v>18</v>
      </c>
      <c r="G896" s="26" t="b">
        <v>0</v>
      </c>
      <c r="H896" s="26">
        <v>3</v>
      </c>
      <c r="I896" s="26">
        <v>2</v>
      </c>
      <c r="J896" s="26">
        <v>0.18</v>
      </c>
      <c r="K896" s="26">
        <v>0.16669999999999999</v>
      </c>
      <c r="L896" s="26">
        <v>0.47</v>
      </c>
      <c r="M896">
        <v>0.29849999999999999</v>
      </c>
      <c r="N896" s="26">
        <v>2</v>
      </c>
      <c r="O896" s="26">
        <v>168</v>
      </c>
      <c r="P896" s="26">
        <v>170</v>
      </c>
      <c r="Q896" s="34" t="str">
        <f t="shared" si="39"/>
        <v>Cloudy</v>
      </c>
      <c r="R896" s="41" t="str">
        <f>IF(I896=1,"Normal",IF(I896=2,"Yellow Alert",IF(I896=3,"Orange Alert",IF(I896=4,"Red Alert"))))</f>
        <v>Yellow Alert</v>
      </c>
      <c r="S896" s="60">
        <f t="shared" si="40"/>
        <v>9</v>
      </c>
      <c r="T896" s="61">
        <f>MONTH(dataset_1!B:B)</f>
        <v>1</v>
      </c>
      <c r="U896" s="61">
        <f t="shared" si="41"/>
        <v>2011</v>
      </c>
      <c r="V896" s="59" t="str">
        <f>TEXT(F896/24,"H AM/PM")</f>
        <v>6 PM</v>
      </c>
      <c r="W896" s="59" t="str">
        <f>IF(H896=6,"Saturday",IF(H896=0,"Sunday",IF(H896=1,"Monday",IF(H896=2,"Tuesday",IF(H896=3,"Wednesday",IF(H896=4,"Thursday",IF(H896=5,"Friday")))))))</f>
        <v>Wednesday</v>
      </c>
      <c r="X896" s="59" t="str">
        <f>IF(G896=FALSE,"Working day", IF(G896=TRUE,"Holiday"))</f>
        <v>Working day</v>
      </c>
    </row>
    <row r="897" spans="1:24" x14ac:dyDescent="0.25">
      <c r="A897" s="32">
        <v>896</v>
      </c>
      <c r="B897" s="33">
        <v>40583</v>
      </c>
      <c r="C897" s="26">
        <v>1</v>
      </c>
      <c r="D897" s="26">
        <v>0</v>
      </c>
      <c r="E897" s="26">
        <v>2</v>
      </c>
      <c r="F897" s="26">
        <v>19</v>
      </c>
      <c r="G897" s="26" t="b">
        <v>0</v>
      </c>
      <c r="H897" s="26">
        <v>3</v>
      </c>
      <c r="I897" s="26">
        <v>3</v>
      </c>
      <c r="J897" s="26">
        <v>0.14000000000000001</v>
      </c>
      <c r="K897" s="26">
        <v>0.1212</v>
      </c>
      <c r="L897" s="26">
        <v>0.86</v>
      </c>
      <c r="M897">
        <v>0.25369999999999998</v>
      </c>
      <c r="N897" s="26">
        <v>1</v>
      </c>
      <c r="O897" s="26">
        <v>87</v>
      </c>
      <c r="P897" s="26">
        <v>88</v>
      </c>
      <c r="Q897" s="34" t="str">
        <f t="shared" si="39"/>
        <v>Light Rain</v>
      </c>
      <c r="R897" s="41" t="str">
        <f>IF(I897=1,"Normal",IF(I897=2,"Yellow Alert",IF(I897=3,"Orange Alert",IF(I897=4,"Red Alert"))))</f>
        <v>Orange Alert</v>
      </c>
      <c r="S897" s="60">
        <f t="shared" si="40"/>
        <v>9</v>
      </c>
      <c r="T897" s="61">
        <f>MONTH(dataset_1!B:B)</f>
        <v>1</v>
      </c>
      <c r="U897" s="61">
        <f t="shared" si="41"/>
        <v>2011</v>
      </c>
      <c r="V897" s="59" t="str">
        <f>TEXT(F897/24,"H AM/PM")</f>
        <v>7 PM</v>
      </c>
      <c r="W897" s="59" t="str">
        <f>IF(H897=6,"Saturday",IF(H897=0,"Sunday",IF(H897=1,"Monday",IF(H897=2,"Tuesday",IF(H897=3,"Wednesday",IF(H897=4,"Thursday",IF(H897=5,"Friday")))))))</f>
        <v>Wednesday</v>
      </c>
      <c r="X897" s="59" t="str">
        <f>IF(G897=FALSE,"Working day", IF(G897=TRUE,"Holiday"))</f>
        <v>Working day</v>
      </c>
    </row>
    <row r="898" spans="1:24" x14ac:dyDescent="0.25">
      <c r="A898" s="32">
        <v>897</v>
      </c>
      <c r="B898" s="33">
        <v>40583</v>
      </c>
      <c r="C898" s="26">
        <v>1</v>
      </c>
      <c r="D898" s="26">
        <v>0</v>
      </c>
      <c r="E898" s="26">
        <v>2</v>
      </c>
      <c r="F898" s="26">
        <v>20</v>
      </c>
      <c r="G898" s="26" t="b">
        <v>0</v>
      </c>
      <c r="H898" s="26">
        <v>3</v>
      </c>
      <c r="I898" s="26">
        <v>3</v>
      </c>
      <c r="J898" s="26">
        <v>0.14000000000000001</v>
      </c>
      <c r="K898" s="26">
        <v>0.1515</v>
      </c>
      <c r="L898" s="26">
        <v>0.86</v>
      </c>
      <c r="M898">
        <v>0.16420000000000001</v>
      </c>
      <c r="N898" s="26">
        <v>0</v>
      </c>
      <c r="O898" s="26">
        <v>84</v>
      </c>
      <c r="P898" s="26">
        <v>84</v>
      </c>
      <c r="Q898" s="34" t="str">
        <f t="shared" ref="Q898:Q961" si="42">IF(I898=1,"Clear",IF(I898=2,"Cloudy",IF(I898=3,"Light Rain",IF(I898=4,"Heavy Rain"))))</f>
        <v>Light Rain</v>
      </c>
      <c r="R898" s="41" t="str">
        <f>IF(I898=1,"Normal",IF(I898=2,"Yellow Alert",IF(I898=3,"Orange Alert",IF(I898=4,"Red Alert"))))</f>
        <v>Orange Alert</v>
      </c>
      <c r="S898" s="60">
        <f t="shared" ref="S898:S961" si="43">DAY(B:B)</f>
        <v>9</v>
      </c>
      <c r="T898" s="61">
        <f>MONTH(dataset_1!B:B)</f>
        <v>1</v>
      </c>
      <c r="U898" s="61">
        <f t="shared" ref="U898:U961" si="44">YEAR(B:B)</f>
        <v>2011</v>
      </c>
      <c r="V898" s="59" t="str">
        <f>TEXT(F898/24,"H AM/PM")</f>
        <v>8 PM</v>
      </c>
      <c r="W898" s="59" t="str">
        <f>IF(H898=6,"Saturday",IF(H898=0,"Sunday",IF(H898=1,"Monday",IF(H898=2,"Tuesday",IF(H898=3,"Wednesday",IF(H898=4,"Thursday",IF(H898=5,"Friday")))))))</f>
        <v>Wednesday</v>
      </c>
      <c r="X898" s="59" t="str">
        <f>IF(G898=FALSE,"Working day", IF(G898=TRUE,"Holiday"))</f>
        <v>Working day</v>
      </c>
    </row>
    <row r="899" spans="1:24" x14ac:dyDescent="0.25">
      <c r="A899" s="32">
        <v>898</v>
      </c>
      <c r="B899" s="33">
        <v>40583</v>
      </c>
      <c r="C899" s="26">
        <v>1</v>
      </c>
      <c r="D899" s="26">
        <v>0</v>
      </c>
      <c r="E899" s="26">
        <v>2</v>
      </c>
      <c r="F899" s="26">
        <v>21</v>
      </c>
      <c r="G899" s="26" t="b">
        <v>0</v>
      </c>
      <c r="H899" s="26">
        <v>3</v>
      </c>
      <c r="I899" s="26">
        <v>2</v>
      </c>
      <c r="J899" s="26">
        <v>0.14000000000000001</v>
      </c>
      <c r="K899" s="26">
        <v>0.1515</v>
      </c>
      <c r="L899" s="26">
        <v>0.86</v>
      </c>
      <c r="M899">
        <v>0.16420000000000001</v>
      </c>
      <c r="N899" s="26">
        <v>0</v>
      </c>
      <c r="O899" s="26">
        <v>83</v>
      </c>
      <c r="P899" s="26">
        <v>83</v>
      </c>
      <c r="Q899" s="34" t="str">
        <f t="shared" si="42"/>
        <v>Cloudy</v>
      </c>
      <c r="R899" s="41" t="str">
        <f>IF(I899=1,"Normal",IF(I899=2,"Yellow Alert",IF(I899=3,"Orange Alert",IF(I899=4,"Red Alert"))))</f>
        <v>Yellow Alert</v>
      </c>
      <c r="S899" s="60">
        <f t="shared" si="43"/>
        <v>9</v>
      </c>
      <c r="T899" s="61">
        <f>MONTH(dataset_1!B:B)</f>
        <v>1</v>
      </c>
      <c r="U899" s="61">
        <f t="shared" si="44"/>
        <v>2011</v>
      </c>
      <c r="V899" s="59" t="str">
        <f>TEXT(F899/24,"H AM/PM")</f>
        <v>9 PM</v>
      </c>
      <c r="W899" s="59" t="str">
        <f>IF(H899=6,"Saturday",IF(H899=0,"Sunday",IF(H899=1,"Monday",IF(H899=2,"Tuesday",IF(H899=3,"Wednesday",IF(H899=4,"Thursday",IF(H899=5,"Friday")))))))</f>
        <v>Wednesday</v>
      </c>
      <c r="X899" s="59" t="str">
        <f>IF(G899=FALSE,"Working day", IF(G899=TRUE,"Holiday"))</f>
        <v>Working day</v>
      </c>
    </row>
    <row r="900" spans="1:24" x14ac:dyDescent="0.25">
      <c r="A900" s="32">
        <v>899</v>
      </c>
      <c r="B900" s="33">
        <v>40583</v>
      </c>
      <c r="C900" s="26">
        <v>1</v>
      </c>
      <c r="D900" s="26">
        <v>0</v>
      </c>
      <c r="E900" s="26">
        <v>2</v>
      </c>
      <c r="F900" s="26">
        <v>22</v>
      </c>
      <c r="G900" s="26" t="b">
        <v>0</v>
      </c>
      <c r="H900" s="26">
        <v>3</v>
      </c>
      <c r="I900" s="26">
        <v>3</v>
      </c>
      <c r="J900" s="26">
        <v>0.16</v>
      </c>
      <c r="K900" s="26">
        <v>0.16669999999999999</v>
      </c>
      <c r="L900" s="26">
        <v>0.8</v>
      </c>
      <c r="M900">
        <v>0.16420000000000001</v>
      </c>
      <c r="N900" s="26">
        <v>4</v>
      </c>
      <c r="O900" s="26">
        <v>42</v>
      </c>
      <c r="P900" s="26">
        <v>46</v>
      </c>
      <c r="Q900" s="34" t="str">
        <f t="shared" si="42"/>
        <v>Light Rain</v>
      </c>
      <c r="R900" s="41" t="str">
        <f>IF(I900=1,"Normal",IF(I900=2,"Yellow Alert",IF(I900=3,"Orange Alert",IF(I900=4,"Red Alert"))))</f>
        <v>Orange Alert</v>
      </c>
      <c r="S900" s="60">
        <f t="shared" si="43"/>
        <v>9</v>
      </c>
      <c r="T900" s="61">
        <f>MONTH(dataset_1!B:B)</f>
        <v>1</v>
      </c>
      <c r="U900" s="61">
        <f t="shared" si="44"/>
        <v>2011</v>
      </c>
      <c r="V900" s="59" t="str">
        <f>TEXT(F900/24,"H AM/PM")</f>
        <v>10 PM</v>
      </c>
      <c r="W900" s="59" t="str">
        <f>IF(H900=6,"Saturday",IF(H900=0,"Sunday",IF(H900=1,"Monday",IF(H900=2,"Tuesday",IF(H900=3,"Wednesday",IF(H900=4,"Thursday",IF(H900=5,"Friday")))))))</f>
        <v>Wednesday</v>
      </c>
      <c r="X900" s="59" t="str">
        <f>IF(G900=FALSE,"Working day", IF(G900=TRUE,"Holiday"))</f>
        <v>Working day</v>
      </c>
    </row>
    <row r="901" spans="1:24" x14ac:dyDescent="0.25">
      <c r="A901" s="32">
        <v>900</v>
      </c>
      <c r="B901" s="33">
        <v>40583</v>
      </c>
      <c r="C901" s="26">
        <v>1</v>
      </c>
      <c r="D901" s="26">
        <v>0</v>
      </c>
      <c r="E901" s="26">
        <v>2</v>
      </c>
      <c r="F901" s="26">
        <v>23</v>
      </c>
      <c r="G901" s="26" t="b">
        <v>0</v>
      </c>
      <c r="H901" s="26">
        <v>3</v>
      </c>
      <c r="I901" s="26">
        <v>3</v>
      </c>
      <c r="J901" s="26">
        <v>0.16</v>
      </c>
      <c r="K901" s="26">
        <v>0.1515</v>
      </c>
      <c r="L901" s="26">
        <v>0.8</v>
      </c>
      <c r="M901">
        <v>0.19400000000000001</v>
      </c>
      <c r="N901" s="26">
        <v>0</v>
      </c>
      <c r="O901" s="26">
        <v>37</v>
      </c>
      <c r="P901" s="26">
        <v>37</v>
      </c>
      <c r="Q901" s="34" t="str">
        <f t="shared" si="42"/>
        <v>Light Rain</v>
      </c>
      <c r="R901" s="41" t="str">
        <f>IF(I901=1,"Normal",IF(I901=2,"Yellow Alert",IF(I901=3,"Orange Alert",IF(I901=4,"Red Alert"))))</f>
        <v>Orange Alert</v>
      </c>
      <c r="S901" s="60">
        <f t="shared" si="43"/>
        <v>9</v>
      </c>
      <c r="T901" s="61">
        <f>MONTH(dataset_1!B:B)</f>
        <v>1</v>
      </c>
      <c r="U901" s="61">
        <f t="shared" si="44"/>
        <v>2011</v>
      </c>
      <c r="V901" s="59" t="str">
        <f>TEXT(F901/24,"H AM/PM")</f>
        <v>11 PM</v>
      </c>
      <c r="W901" s="59" t="str">
        <f>IF(H901=6,"Saturday",IF(H901=0,"Sunday",IF(H901=1,"Monday",IF(H901=2,"Tuesday",IF(H901=3,"Wednesday",IF(H901=4,"Thursday",IF(H901=5,"Friday")))))))</f>
        <v>Wednesday</v>
      </c>
      <c r="X901" s="59" t="str">
        <f>IF(G901=FALSE,"Working day", IF(G901=TRUE,"Holiday"))</f>
        <v>Working day</v>
      </c>
    </row>
    <row r="902" spans="1:24" x14ac:dyDescent="0.25">
      <c r="A902" s="32">
        <v>901</v>
      </c>
      <c r="B902" s="33">
        <v>40584</v>
      </c>
      <c r="C902" s="26">
        <v>1</v>
      </c>
      <c r="D902" s="26">
        <v>0</v>
      </c>
      <c r="E902" s="26">
        <v>2</v>
      </c>
      <c r="F902" s="26">
        <v>0</v>
      </c>
      <c r="G902" s="26" t="b">
        <v>0</v>
      </c>
      <c r="H902" s="26">
        <v>4</v>
      </c>
      <c r="I902" s="26">
        <v>3</v>
      </c>
      <c r="J902" s="26">
        <v>0.14000000000000001</v>
      </c>
      <c r="K902" s="26">
        <v>0.13639999999999999</v>
      </c>
      <c r="L902" s="26">
        <v>0.86</v>
      </c>
      <c r="M902">
        <v>0.19400000000000001</v>
      </c>
      <c r="N902" s="26">
        <v>0</v>
      </c>
      <c r="O902" s="26">
        <v>16</v>
      </c>
      <c r="P902" s="26">
        <v>16</v>
      </c>
      <c r="Q902" s="34" t="str">
        <f t="shared" si="42"/>
        <v>Light Rain</v>
      </c>
      <c r="R902" s="41" t="str">
        <f>IF(I902=1,"Normal",IF(I902=2,"Yellow Alert",IF(I902=3,"Orange Alert",IF(I902=4,"Red Alert"))))</f>
        <v>Orange Alert</v>
      </c>
      <c r="S902" s="60">
        <f t="shared" si="43"/>
        <v>10</v>
      </c>
      <c r="T902" s="61">
        <f>MONTH(dataset_1!B:B)</f>
        <v>1</v>
      </c>
      <c r="U902" s="61">
        <f t="shared" si="44"/>
        <v>2011</v>
      </c>
      <c r="V902" s="59" t="str">
        <f>TEXT(F902/24,"H AM/PM")</f>
        <v>12 AM</v>
      </c>
      <c r="W902" s="59" t="str">
        <f>IF(H902=6,"Saturday",IF(H902=0,"Sunday",IF(H902=1,"Monday",IF(H902=2,"Tuesday",IF(H902=3,"Wednesday",IF(H902=4,"Thursday",IF(H902=5,"Friday")))))))</f>
        <v>Thursday</v>
      </c>
      <c r="X902" s="59" t="str">
        <f>IF(G902=FALSE,"Working day", IF(G902=TRUE,"Holiday"))</f>
        <v>Working day</v>
      </c>
    </row>
    <row r="903" spans="1:24" x14ac:dyDescent="0.25">
      <c r="A903" s="32">
        <v>902</v>
      </c>
      <c r="B903" s="33">
        <v>40584</v>
      </c>
      <c r="C903" s="26">
        <v>1</v>
      </c>
      <c r="D903" s="26">
        <v>0</v>
      </c>
      <c r="E903" s="26">
        <v>2</v>
      </c>
      <c r="F903" s="26">
        <v>1</v>
      </c>
      <c r="G903" s="26" t="b">
        <v>0</v>
      </c>
      <c r="H903" s="26">
        <v>4</v>
      </c>
      <c r="I903" s="26">
        <v>3</v>
      </c>
      <c r="J903" s="26">
        <v>0.14000000000000001</v>
      </c>
      <c r="K903" s="26">
        <v>0.1515</v>
      </c>
      <c r="L903" s="26">
        <v>0.8</v>
      </c>
      <c r="M903">
        <v>0.1343</v>
      </c>
      <c r="N903" s="26">
        <v>0</v>
      </c>
      <c r="O903" s="26">
        <v>7</v>
      </c>
      <c r="P903" s="26">
        <v>7</v>
      </c>
      <c r="Q903" s="34" t="str">
        <f t="shared" si="42"/>
        <v>Light Rain</v>
      </c>
      <c r="R903" s="41" t="str">
        <f>IF(I903=1,"Normal",IF(I903=2,"Yellow Alert",IF(I903=3,"Orange Alert",IF(I903=4,"Red Alert"))))</f>
        <v>Orange Alert</v>
      </c>
      <c r="S903" s="60">
        <f t="shared" si="43"/>
        <v>10</v>
      </c>
      <c r="T903" s="61">
        <f>MONTH(dataset_1!B:B)</f>
        <v>1</v>
      </c>
      <c r="U903" s="61">
        <f t="shared" si="44"/>
        <v>2011</v>
      </c>
      <c r="V903" s="59" t="str">
        <f>TEXT(F903/24,"H AM/PM")</f>
        <v>1 AM</v>
      </c>
      <c r="W903" s="59" t="str">
        <f>IF(H903=6,"Saturday",IF(H903=0,"Sunday",IF(H903=1,"Monday",IF(H903=2,"Tuesday",IF(H903=3,"Wednesday",IF(H903=4,"Thursday",IF(H903=5,"Friday")))))))</f>
        <v>Thursday</v>
      </c>
      <c r="X903" s="59" t="str">
        <f>IF(G903=FALSE,"Working day", IF(G903=TRUE,"Holiday"))</f>
        <v>Working day</v>
      </c>
    </row>
    <row r="904" spans="1:24" x14ac:dyDescent="0.25">
      <c r="A904" s="32">
        <v>903</v>
      </c>
      <c r="B904" s="33">
        <v>40584</v>
      </c>
      <c r="C904" s="26">
        <v>1</v>
      </c>
      <c r="D904" s="26">
        <v>0</v>
      </c>
      <c r="E904" s="26">
        <v>2</v>
      </c>
      <c r="F904" s="26">
        <v>2</v>
      </c>
      <c r="G904" s="26" t="b">
        <v>0</v>
      </c>
      <c r="H904" s="26">
        <v>4</v>
      </c>
      <c r="I904" s="26">
        <v>3</v>
      </c>
      <c r="J904" s="26">
        <v>0.14000000000000001</v>
      </c>
      <c r="K904" s="26">
        <v>0.1515</v>
      </c>
      <c r="L904" s="26">
        <v>0.8</v>
      </c>
      <c r="M904">
        <v>0.1343</v>
      </c>
      <c r="N904" s="26">
        <v>0</v>
      </c>
      <c r="O904" s="26">
        <v>3</v>
      </c>
      <c r="P904" s="26">
        <v>3</v>
      </c>
      <c r="Q904" s="34" t="str">
        <f t="shared" si="42"/>
        <v>Light Rain</v>
      </c>
      <c r="R904" s="41" t="str">
        <f>IF(I904=1,"Normal",IF(I904=2,"Yellow Alert",IF(I904=3,"Orange Alert",IF(I904=4,"Red Alert"))))</f>
        <v>Orange Alert</v>
      </c>
      <c r="S904" s="60">
        <f t="shared" si="43"/>
        <v>10</v>
      </c>
      <c r="T904" s="61">
        <f>MONTH(dataset_1!B:B)</f>
        <v>1</v>
      </c>
      <c r="U904" s="61">
        <f t="shared" si="44"/>
        <v>2011</v>
      </c>
      <c r="V904" s="59" t="str">
        <f>TEXT(F904/24,"H AM/PM")</f>
        <v>2 AM</v>
      </c>
      <c r="W904" s="59" t="str">
        <f>IF(H904=6,"Saturday",IF(H904=0,"Sunday",IF(H904=1,"Monday",IF(H904=2,"Tuesday",IF(H904=3,"Wednesday",IF(H904=4,"Thursday",IF(H904=5,"Friday")))))))</f>
        <v>Thursday</v>
      </c>
      <c r="X904" s="59" t="str">
        <f>IF(G904=FALSE,"Working day", IF(G904=TRUE,"Holiday"))</f>
        <v>Working day</v>
      </c>
    </row>
    <row r="905" spans="1:24" x14ac:dyDescent="0.25">
      <c r="A905" s="32">
        <v>904</v>
      </c>
      <c r="B905" s="33">
        <v>40584</v>
      </c>
      <c r="C905" s="26">
        <v>1</v>
      </c>
      <c r="D905" s="26">
        <v>0</v>
      </c>
      <c r="E905" s="26">
        <v>2</v>
      </c>
      <c r="F905" s="26">
        <v>4</v>
      </c>
      <c r="G905" s="26" t="b">
        <v>0</v>
      </c>
      <c r="H905" s="26">
        <v>4</v>
      </c>
      <c r="I905" s="26">
        <v>2</v>
      </c>
      <c r="J905" s="26">
        <v>0.14000000000000001</v>
      </c>
      <c r="K905" s="26">
        <v>0.13639999999999999</v>
      </c>
      <c r="L905" s="26">
        <v>0.59</v>
      </c>
      <c r="M905">
        <v>0.22389999999999999</v>
      </c>
      <c r="N905" s="26">
        <v>0</v>
      </c>
      <c r="O905" s="26">
        <v>1</v>
      </c>
      <c r="P905" s="26">
        <v>1</v>
      </c>
      <c r="Q905" s="34" t="str">
        <f t="shared" si="42"/>
        <v>Cloudy</v>
      </c>
      <c r="R905" s="41" t="str">
        <f>IF(I905=1,"Normal",IF(I905=2,"Yellow Alert",IF(I905=3,"Orange Alert",IF(I905=4,"Red Alert"))))</f>
        <v>Yellow Alert</v>
      </c>
      <c r="S905" s="60">
        <f t="shared" si="43"/>
        <v>10</v>
      </c>
      <c r="T905" s="61">
        <f>MONTH(dataset_1!B:B)</f>
        <v>1</v>
      </c>
      <c r="U905" s="61">
        <f t="shared" si="44"/>
        <v>2011</v>
      </c>
      <c r="V905" s="59" t="str">
        <f>TEXT(F905/24,"H AM/PM")</f>
        <v>4 AM</v>
      </c>
      <c r="W905" s="59" t="str">
        <f>IF(H905=6,"Saturday",IF(H905=0,"Sunday",IF(H905=1,"Monday",IF(H905=2,"Tuesday",IF(H905=3,"Wednesday",IF(H905=4,"Thursday",IF(H905=5,"Friday")))))))</f>
        <v>Thursday</v>
      </c>
      <c r="X905" s="59" t="str">
        <f>IF(G905=FALSE,"Working day", IF(G905=TRUE,"Holiday"))</f>
        <v>Working day</v>
      </c>
    </row>
    <row r="906" spans="1:24" x14ac:dyDescent="0.25">
      <c r="A906" s="32">
        <v>905</v>
      </c>
      <c r="B906" s="33">
        <v>40584</v>
      </c>
      <c r="C906" s="26">
        <v>1</v>
      </c>
      <c r="D906" s="26">
        <v>0</v>
      </c>
      <c r="E906" s="26">
        <v>2</v>
      </c>
      <c r="F906" s="26">
        <v>5</v>
      </c>
      <c r="G906" s="26" t="b">
        <v>0</v>
      </c>
      <c r="H906" s="26">
        <v>4</v>
      </c>
      <c r="I906" s="26">
        <v>2</v>
      </c>
      <c r="J906" s="26">
        <v>0.12</v>
      </c>
      <c r="K906" s="26">
        <v>0.1212</v>
      </c>
      <c r="L906" s="26">
        <v>0.5</v>
      </c>
      <c r="M906">
        <v>0.22389999999999999</v>
      </c>
      <c r="N906" s="26">
        <v>0</v>
      </c>
      <c r="O906" s="26">
        <v>6</v>
      </c>
      <c r="P906" s="26">
        <v>6</v>
      </c>
      <c r="Q906" s="34" t="str">
        <f t="shared" si="42"/>
        <v>Cloudy</v>
      </c>
      <c r="R906" s="41" t="str">
        <f>IF(I906=1,"Normal",IF(I906=2,"Yellow Alert",IF(I906=3,"Orange Alert",IF(I906=4,"Red Alert"))))</f>
        <v>Yellow Alert</v>
      </c>
      <c r="S906" s="60">
        <f t="shared" si="43"/>
        <v>10</v>
      </c>
      <c r="T906" s="61">
        <f>MONTH(dataset_1!B:B)</f>
        <v>1</v>
      </c>
      <c r="U906" s="61">
        <f t="shared" si="44"/>
        <v>2011</v>
      </c>
      <c r="V906" s="59" t="str">
        <f>TEXT(F906/24,"H AM/PM")</f>
        <v>5 AM</v>
      </c>
      <c r="W906" s="59" t="str">
        <f>IF(H906=6,"Saturday",IF(H906=0,"Sunday",IF(H906=1,"Monday",IF(H906=2,"Tuesday",IF(H906=3,"Wednesday",IF(H906=4,"Thursday",IF(H906=5,"Friday")))))))</f>
        <v>Thursday</v>
      </c>
      <c r="X906" s="59" t="str">
        <f>IF(G906=FALSE,"Working day", IF(G906=TRUE,"Holiday"))</f>
        <v>Working day</v>
      </c>
    </row>
    <row r="907" spans="1:24" x14ac:dyDescent="0.25">
      <c r="A907" s="32">
        <v>906</v>
      </c>
      <c r="B907" s="33">
        <v>40584</v>
      </c>
      <c r="C907" s="26">
        <v>1</v>
      </c>
      <c r="D907" s="26">
        <v>0</v>
      </c>
      <c r="E907" s="26">
        <v>2</v>
      </c>
      <c r="F907" s="26">
        <v>6</v>
      </c>
      <c r="G907" s="26" t="b">
        <v>0</v>
      </c>
      <c r="H907" s="26">
        <v>4</v>
      </c>
      <c r="I907" s="26">
        <v>2</v>
      </c>
      <c r="J907" s="26">
        <v>0.12</v>
      </c>
      <c r="K907" s="26">
        <v>0.1212</v>
      </c>
      <c r="L907" s="26">
        <v>0.54</v>
      </c>
      <c r="M907">
        <v>0.28360000000000002</v>
      </c>
      <c r="N907" s="26">
        <v>0</v>
      </c>
      <c r="O907" s="26">
        <v>26</v>
      </c>
      <c r="P907" s="26">
        <v>26</v>
      </c>
      <c r="Q907" s="34" t="str">
        <f t="shared" si="42"/>
        <v>Cloudy</v>
      </c>
      <c r="R907" s="41" t="str">
        <f>IF(I907=1,"Normal",IF(I907=2,"Yellow Alert",IF(I907=3,"Orange Alert",IF(I907=4,"Red Alert"))))</f>
        <v>Yellow Alert</v>
      </c>
      <c r="S907" s="60">
        <f t="shared" si="43"/>
        <v>10</v>
      </c>
      <c r="T907" s="61">
        <f>MONTH(dataset_1!B:B)</f>
        <v>1</v>
      </c>
      <c r="U907" s="61">
        <f t="shared" si="44"/>
        <v>2011</v>
      </c>
      <c r="V907" s="59" t="str">
        <f>TEXT(F907/24,"H AM/PM")</f>
        <v>6 AM</v>
      </c>
      <c r="W907" s="59" t="str">
        <f>IF(H907=6,"Saturday",IF(H907=0,"Sunday",IF(H907=1,"Monday",IF(H907=2,"Tuesday",IF(H907=3,"Wednesday",IF(H907=4,"Thursday",IF(H907=5,"Friday")))))))</f>
        <v>Thursday</v>
      </c>
      <c r="X907" s="59" t="str">
        <f>IF(G907=FALSE,"Working day", IF(G907=TRUE,"Holiday"))</f>
        <v>Working day</v>
      </c>
    </row>
    <row r="908" spans="1:24" x14ac:dyDescent="0.25">
      <c r="A908" s="32">
        <v>907</v>
      </c>
      <c r="B908" s="33">
        <v>40584</v>
      </c>
      <c r="C908" s="26">
        <v>1</v>
      </c>
      <c r="D908" s="26">
        <v>0</v>
      </c>
      <c r="E908" s="26">
        <v>2</v>
      </c>
      <c r="F908" s="26">
        <v>7</v>
      </c>
      <c r="G908" s="26" t="b">
        <v>0</v>
      </c>
      <c r="H908" s="26">
        <v>4</v>
      </c>
      <c r="I908" s="26">
        <v>1</v>
      </c>
      <c r="J908" s="26">
        <v>0.1</v>
      </c>
      <c r="K908" s="26">
        <v>7.5800000000000006E-2</v>
      </c>
      <c r="L908" s="26">
        <v>0.5</v>
      </c>
      <c r="M908">
        <v>0.41789999999999999</v>
      </c>
      <c r="N908" s="26">
        <v>0</v>
      </c>
      <c r="O908" s="26">
        <v>99</v>
      </c>
      <c r="P908" s="26">
        <v>99</v>
      </c>
      <c r="Q908" s="34" t="str">
        <f t="shared" si="42"/>
        <v>Clear</v>
      </c>
      <c r="R908" s="41" t="str">
        <f>IF(I908=1,"Normal",IF(I908=2,"Yellow Alert",IF(I908=3,"Orange Alert",IF(I908=4,"Red Alert"))))</f>
        <v>Normal</v>
      </c>
      <c r="S908" s="60">
        <f t="shared" si="43"/>
        <v>10</v>
      </c>
      <c r="T908" s="61">
        <f>MONTH(dataset_1!B:B)</f>
        <v>1</v>
      </c>
      <c r="U908" s="61">
        <f t="shared" si="44"/>
        <v>2011</v>
      </c>
      <c r="V908" s="59" t="str">
        <f>TEXT(F908/24,"H AM/PM")</f>
        <v>7 AM</v>
      </c>
      <c r="W908" s="59" t="str">
        <f>IF(H908=6,"Saturday",IF(H908=0,"Sunday",IF(H908=1,"Monday",IF(H908=2,"Tuesday",IF(H908=3,"Wednesday",IF(H908=4,"Thursday",IF(H908=5,"Friday")))))))</f>
        <v>Thursday</v>
      </c>
      <c r="X908" s="59" t="str">
        <f>IF(G908=FALSE,"Working day", IF(G908=TRUE,"Holiday"))</f>
        <v>Working day</v>
      </c>
    </row>
    <row r="909" spans="1:24" x14ac:dyDescent="0.25">
      <c r="A909" s="32">
        <v>908</v>
      </c>
      <c r="B909" s="33">
        <v>40584</v>
      </c>
      <c r="C909" s="26">
        <v>1</v>
      </c>
      <c r="D909" s="26">
        <v>0</v>
      </c>
      <c r="E909" s="26">
        <v>2</v>
      </c>
      <c r="F909" s="26">
        <v>8</v>
      </c>
      <c r="G909" s="26" t="b">
        <v>0</v>
      </c>
      <c r="H909" s="26">
        <v>4</v>
      </c>
      <c r="I909" s="26">
        <v>1</v>
      </c>
      <c r="J909" s="26">
        <v>0.1</v>
      </c>
      <c r="K909" s="26">
        <v>7.5800000000000006E-2</v>
      </c>
      <c r="L909" s="26">
        <v>0.49</v>
      </c>
      <c r="M909">
        <v>0.32840000000000003</v>
      </c>
      <c r="N909" s="26">
        <v>5</v>
      </c>
      <c r="O909" s="26">
        <v>173</v>
      </c>
      <c r="P909" s="26">
        <v>178</v>
      </c>
      <c r="Q909" s="34" t="str">
        <f t="shared" si="42"/>
        <v>Clear</v>
      </c>
      <c r="R909" s="41" t="str">
        <f>IF(I909=1,"Normal",IF(I909=2,"Yellow Alert",IF(I909=3,"Orange Alert",IF(I909=4,"Red Alert"))))</f>
        <v>Normal</v>
      </c>
      <c r="S909" s="60">
        <f t="shared" si="43"/>
        <v>10</v>
      </c>
      <c r="T909" s="61">
        <f>MONTH(dataset_1!B:B)</f>
        <v>1</v>
      </c>
      <c r="U909" s="61">
        <f t="shared" si="44"/>
        <v>2011</v>
      </c>
      <c r="V909" s="59" t="str">
        <f>TEXT(F909/24,"H AM/PM")</f>
        <v>8 AM</v>
      </c>
      <c r="W909" s="59" t="str">
        <f>IF(H909=6,"Saturday",IF(H909=0,"Sunday",IF(H909=1,"Monday",IF(H909=2,"Tuesday",IF(H909=3,"Wednesday",IF(H909=4,"Thursday",IF(H909=5,"Friday")))))))</f>
        <v>Thursday</v>
      </c>
      <c r="X909" s="59" t="str">
        <f>IF(G909=FALSE,"Working day", IF(G909=TRUE,"Holiday"))</f>
        <v>Working day</v>
      </c>
    </row>
    <row r="910" spans="1:24" x14ac:dyDescent="0.25">
      <c r="A910" s="32">
        <v>909</v>
      </c>
      <c r="B910" s="33">
        <v>40584</v>
      </c>
      <c r="C910" s="26">
        <v>1</v>
      </c>
      <c r="D910" s="26">
        <v>0</v>
      </c>
      <c r="E910" s="26">
        <v>2</v>
      </c>
      <c r="F910" s="26">
        <v>9</v>
      </c>
      <c r="G910" s="26" t="b">
        <v>0</v>
      </c>
      <c r="H910" s="26">
        <v>4</v>
      </c>
      <c r="I910" s="26">
        <v>1</v>
      </c>
      <c r="J910" s="26">
        <v>0.12</v>
      </c>
      <c r="K910" s="26">
        <v>0.1061</v>
      </c>
      <c r="L910" s="26">
        <v>0.42</v>
      </c>
      <c r="M910">
        <v>0.35820000000000002</v>
      </c>
      <c r="N910" s="26">
        <v>1</v>
      </c>
      <c r="O910" s="26">
        <v>121</v>
      </c>
      <c r="P910" s="26">
        <v>122</v>
      </c>
      <c r="Q910" s="34" t="str">
        <f t="shared" si="42"/>
        <v>Clear</v>
      </c>
      <c r="R910" s="41" t="str">
        <f>IF(I910=1,"Normal",IF(I910=2,"Yellow Alert",IF(I910=3,"Orange Alert",IF(I910=4,"Red Alert"))))</f>
        <v>Normal</v>
      </c>
      <c r="S910" s="60">
        <f t="shared" si="43"/>
        <v>10</v>
      </c>
      <c r="T910" s="61">
        <f>MONTH(dataset_1!B:B)</f>
        <v>1</v>
      </c>
      <c r="U910" s="61">
        <f t="shared" si="44"/>
        <v>2011</v>
      </c>
      <c r="V910" s="59" t="str">
        <f>TEXT(F910/24,"H AM/PM")</f>
        <v>9 AM</v>
      </c>
      <c r="W910" s="59" t="str">
        <f>IF(H910=6,"Saturday",IF(H910=0,"Sunday",IF(H910=1,"Monday",IF(H910=2,"Tuesday",IF(H910=3,"Wednesday",IF(H910=4,"Thursday",IF(H910=5,"Friday")))))))</f>
        <v>Thursday</v>
      </c>
      <c r="X910" s="59" t="str">
        <f>IF(G910=FALSE,"Working day", IF(G910=TRUE,"Holiday"))</f>
        <v>Working day</v>
      </c>
    </row>
    <row r="911" spans="1:24" x14ac:dyDescent="0.25">
      <c r="A911" s="32">
        <v>910</v>
      </c>
      <c r="B911" s="33">
        <v>40584</v>
      </c>
      <c r="C911" s="26">
        <v>1</v>
      </c>
      <c r="D911" s="26">
        <v>0</v>
      </c>
      <c r="E911" s="26">
        <v>2</v>
      </c>
      <c r="F911" s="26">
        <v>10</v>
      </c>
      <c r="G911" s="26" t="b">
        <v>0</v>
      </c>
      <c r="H911" s="26">
        <v>4</v>
      </c>
      <c r="I911" s="26">
        <v>1</v>
      </c>
      <c r="J911" s="26">
        <v>0.12</v>
      </c>
      <c r="K911" s="26">
        <v>0.1061</v>
      </c>
      <c r="L911" s="26">
        <v>0.42</v>
      </c>
      <c r="M911">
        <v>0.29849999999999999</v>
      </c>
      <c r="N911" s="26">
        <v>1</v>
      </c>
      <c r="O911" s="26">
        <v>34</v>
      </c>
      <c r="P911" s="26">
        <v>35</v>
      </c>
      <c r="Q911" s="34" t="str">
        <f t="shared" si="42"/>
        <v>Clear</v>
      </c>
      <c r="R911" s="41" t="str">
        <f>IF(I911=1,"Normal",IF(I911=2,"Yellow Alert",IF(I911=3,"Orange Alert",IF(I911=4,"Red Alert"))))</f>
        <v>Normal</v>
      </c>
      <c r="S911" s="60">
        <f t="shared" si="43"/>
        <v>10</v>
      </c>
      <c r="T911" s="61">
        <f>MONTH(dataset_1!B:B)</f>
        <v>1</v>
      </c>
      <c r="U911" s="61">
        <f t="shared" si="44"/>
        <v>2011</v>
      </c>
      <c r="V911" s="59" t="str">
        <f>TEXT(F911/24,"H AM/PM")</f>
        <v>10 AM</v>
      </c>
      <c r="W911" s="59" t="str">
        <f>IF(H911=6,"Saturday",IF(H911=0,"Sunday",IF(H911=1,"Monday",IF(H911=2,"Tuesday",IF(H911=3,"Wednesday",IF(H911=4,"Thursday",IF(H911=5,"Friday")))))))</f>
        <v>Thursday</v>
      </c>
      <c r="X911" s="59" t="str">
        <f>IF(G911=FALSE,"Working day", IF(G911=TRUE,"Holiday"))</f>
        <v>Working day</v>
      </c>
    </row>
    <row r="912" spans="1:24" x14ac:dyDescent="0.25">
      <c r="A912" s="32">
        <v>911</v>
      </c>
      <c r="B912" s="33">
        <v>40584</v>
      </c>
      <c r="C912" s="26">
        <v>1</v>
      </c>
      <c r="D912" s="26">
        <v>0</v>
      </c>
      <c r="E912" s="26">
        <v>2</v>
      </c>
      <c r="F912" s="26">
        <v>11</v>
      </c>
      <c r="G912" s="26" t="b">
        <v>0</v>
      </c>
      <c r="H912" s="26">
        <v>4</v>
      </c>
      <c r="I912" s="26">
        <v>1</v>
      </c>
      <c r="J912" s="26">
        <v>0.14000000000000001</v>
      </c>
      <c r="K912" s="26">
        <v>0.1212</v>
      </c>
      <c r="L912" s="26">
        <v>0.39</v>
      </c>
      <c r="M912">
        <v>0.35820000000000002</v>
      </c>
      <c r="N912" s="26">
        <v>1</v>
      </c>
      <c r="O912" s="26">
        <v>44</v>
      </c>
      <c r="P912" s="26">
        <v>45</v>
      </c>
      <c r="Q912" s="34" t="str">
        <f t="shared" si="42"/>
        <v>Clear</v>
      </c>
      <c r="R912" s="41" t="str">
        <f>IF(I912=1,"Normal",IF(I912=2,"Yellow Alert",IF(I912=3,"Orange Alert",IF(I912=4,"Red Alert"))))</f>
        <v>Normal</v>
      </c>
      <c r="S912" s="60">
        <f t="shared" si="43"/>
        <v>10</v>
      </c>
      <c r="T912" s="61">
        <f>MONTH(dataset_1!B:B)</f>
        <v>1</v>
      </c>
      <c r="U912" s="61">
        <f t="shared" si="44"/>
        <v>2011</v>
      </c>
      <c r="V912" s="59" t="str">
        <f>TEXT(F912/24,"H AM/PM")</f>
        <v>11 AM</v>
      </c>
      <c r="W912" s="59" t="str">
        <f>IF(H912=6,"Saturday",IF(H912=0,"Sunday",IF(H912=1,"Monday",IF(H912=2,"Tuesday",IF(H912=3,"Wednesday",IF(H912=4,"Thursday",IF(H912=5,"Friday")))))))</f>
        <v>Thursday</v>
      </c>
      <c r="X912" s="59" t="str">
        <f>IF(G912=FALSE,"Working day", IF(G912=TRUE,"Holiday"))</f>
        <v>Working day</v>
      </c>
    </row>
    <row r="913" spans="1:24" x14ac:dyDescent="0.25">
      <c r="A913" s="32">
        <v>912</v>
      </c>
      <c r="B913" s="33">
        <v>40584</v>
      </c>
      <c r="C913" s="26">
        <v>1</v>
      </c>
      <c r="D913" s="26">
        <v>0</v>
      </c>
      <c r="E913" s="26">
        <v>2</v>
      </c>
      <c r="F913" s="26">
        <v>12</v>
      </c>
      <c r="G913" s="26" t="b">
        <v>0</v>
      </c>
      <c r="H913" s="26">
        <v>4</v>
      </c>
      <c r="I913" s="26">
        <v>1</v>
      </c>
      <c r="J913" s="26">
        <v>0.16</v>
      </c>
      <c r="K913" s="26">
        <v>0.13639999999999999</v>
      </c>
      <c r="L913" s="26">
        <v>0.34</v>
      </c>
      <c r="M913">
        <v>0.3881</v>
      </c>
      <c r="N913" s="26">
        <v>4</v>
      </c>
      <c r="O913" s="26">
        <v>65</v>
      </c>
      <c r="P913" s="26">
        <v>69</v>
      </c>
      <c r="Q913" s="34" t="str">
        <f t="shared" si="42"/>
        <v>Clear</v>
      </c>
      <c r="R913" s="41" t="str">
        <f>IF(I913=1,"Normal",IF(I913=2,"Yellow Alert",IF(I913=3,"Orange Alert",IF(I913=4,"Red Alert"))))</f>
        <v>Normal</v>
      </c>
      <c r="S913" s="60">
        <f t="shared" si="43"/>
        <v>10</v>
      </c>
      <c r="T913" s="61">
        <f>MONTH(dataset_1!B:B)</f>
        <v>1</v>
      </c>
      <c r="U913" s="61">
        <f t="shared" si="44"/>
        <v>2011</v>
      </c>
      <c r="V913" s="59" t="str">
        <f>TEXT(F913/24,"H AM/PM")</f>
        <v>12 PM</v>
      </c>
      <c r="W913" s="59" t="str">
        <f>IF(H913=6,"Saturday",IF(H913=0,"Sunday",IF(H913=1,"Monday",IF(H913=2,"Tuesday",IF(H913=3,"Wednesday",IF(H913=4,"Thursday",IF(H913=5,"Friday")))))))</f>
        <v>Thursday</v>
      </c>
      <c r="X913" s="59" t="str">
        <f>IF(G913=FALSE,"Working day", IF(G913=TRUE,"Holiday"))</f>
        <v>Working day</v>
      </c>
    </row>
    <row r="914" spans="1:24" x14ac:dyDescent="0.25">
      <c r="A914" s="32">
        <v>913</v>
      </c>
      <c r="B914" s="33">
        <v>40584</v>
      </c>
      <c r="C914" s="26">
        <v>1</v>
      </c>
      <c r="D914" s="26">
        <v>0</v>
      </c>
      <c r="E914" s="26">
        <v>2</v>
      </c>
      <c r="F914" s="26">
        <v>13</v>
      </c>
      <c r="G914" s="26" t="b">
        <v>0</v>
      </c>
      <c r="H914" s="26">
        <v>4</v>
      </c>
      <c r="I914" s="26">
        <v>1</v>
      </c>
      <c r="J914" s="26">
        <v>0.18</v>
      </c>
      <c r="K914" s="26">
        <v>0.16669999999999999</v>
      </c>
      <c r="L914" s="26">
        <v>0.28999999999999998</v>
      </c>
      <c r="M914">
        <v>0.29849999999999999</v>
      </c>
      <c r="N914" s="26">
        <v>3</v>
      </c>
      <c r="O914" s="26">
        <v>59</v>
      </c>
      <c r="P914" s="26">
        <v>62</v>
      </c>
      <c r="Q914" s="34" t="str">
        <f t="shared" si="42"/>
        <v>Clear</v>
      </c>
      <c r="R914" s="41" t="str">
        <f>IF(I914=1,"Normal",IF(I914=2,"Yellow Alert",IF(I914=3,"Orange Alert",IF(I914=4,"Red Alert"))))</f>
        <v>Normal</v>
      </c>
      <c r="S914" s="60">
        <f t="shared" si="43"/>
        <v>10</v>
      </c>
      <c r="T914" s="61">
        <f>MONTH(dataset_1!B:B)</f>
        <v>1</v>
      </c>
      <c r="U914" s="61">
        <f t="shared" si="44"/>
        <v>2011</v>
      </c>
      <c r="V914" s="59" t="str">
        <f>TEXT(F914/24,"H AM/PM")</f>
        <v>1 PM</v>
      </c>
      <c r="W914" s="59" t="str">
        <f>IF(H914=6,"Saturday",IF(H914=0,"Sunday",IF(H914=1,"Monday",IF(H914=2,"Tuesday",IF(H914=3,"Wednesday",IF(H914=4,"Thursday",IF(H914=5,"Friday")))))))</f>
        <v>Thursday</v>
      </c>
      <c r="X914" s="59" t="str">
        <f>IF(G914=FALSE,"Working day", IF(G914=TRUE,"Holiday"))</f>
        <v>Working day</v>
      </c>
    </row>
    <row r="915" spans="1:24" x14ac:dyDescent="0.25">
      <c r="A915" s="32">
        <v>914</v>
      </c>
      <c r="B915" s="33">
        <v>40584</v>
      </c>
      <c r="C915" s="26">
        <v>1</v>
      </c>
      <c r="D915" s="26">
        <v>0</v>
      </c>
      <c r="E915" s="26">
        <v>2</v>
      </c>
      <c r="F915" s="26">
        <v>14</v>
      </c>
      <c r="G915" s="26" t="b">
        <v>0</v>
      </c>
      <c r="H915" s="26">
        <v>4</v>
      </c>
      <c r="I915" s="26">
        <v>1</v>
      </c>
      <c r="J915" s="26">
        <v>0.2</v>
      </c>
      <c r="K915" s="26">
        <v>0.18179999999999999</v>
      </c>
      <c r="L915" s="26">
        <v>0.27</v>
      </c>
      <c r="M915">
        <v>0.28360000000000002</v>
      </c>
      <c r="N915" s="26">
        <v>6</v>
      </c>
      <c r="O915" s="26">
        <v>42</v>
      </c>
      <c r="P915" s="26">
        <v>48</v>
      </c>
      <c r="Q915" s="34" t="str">
        <f t="shared" si="42"/>
        <v>Clear</v>
      </c>
      <c r="R915" s="41" t="str">
        <f>IF(I915=1,"Normal",IF(I915=2,"Yellow Alert",IF(I915=3,"Orange Alert",IF(I915=4,"Red Alert"))))</f>
        <v>Normal</v>
      </c>
      <c r="S915" s="60">
        <f t="shared" si="43"/>
        <v>10</v>
      </c>
      <c r="T915" s="61">
        <f>MONTH(dataset_1!B:B)</f>
        <v>1</v>
      </c>
      <c r="U915" s="61">
        <f t="shared" si="44"/>
        <v>2011</v>
      </c>
      <c r="V915" s="59" t="str">
        <f>TEXT(F915/24,"H AM/PM")</f>
        <v>2 PM</v>
      </c>
      <c r="W915" s="59" t="str">
        <f>IF(H915=6,"Saturday",IF(H915=0,"Sunday",IF(H915=1,"Monday",IF(H915=2,"Tuesday",IF(H915=3,"Wednesday",IF(H915=4,"Thursday",IF(H915=5,"Friday")))))))</f>
        <v>Thursday</v>
      </c>
      <c r="X915" s="59" t="str">
        <f>IF(G915=FALSE,"Working day", IF(G915=TRUE,"Holiday"))</f>
        <v>Working day</v>
      </c>
    </row>
    <row r="916" spans="1:24" x14ac:dyDescent="0.25">
      <c r="A916" s="32">
        <v>915</v>
      </c>
      <c r="B916" s="33">
        <v>40584</v>
      </c>
      <c r="C916" s="26">
        <v>1</v>
      </c>
      <c r="D916" s="26">
        <v>0</v>
      </c>
      <c r="E916" s="26">
        <v>2</v>
      </c>
      <c r="F916" s="26">
        <v>15</v>
      </c>
      <c r="G916" s="26" t="b">
        <v>0</v>
      </c>
      <c r="H916" s="26">
        <v>4</v>
      </c>
      <c r="I916" s="26">
        <v>1</v>
      </c>
      <c r="J916" s="26">
        <v>0.2</v>
      </c>
      <c r="K916" s="26">
        <v>0.19700000000000001</v>
      </c>
      <c r="L916" s="26">
        <v>0.25</v>
      </c>
      <c r="M916">
        <v>0.25369999999999998</v>
      </c>
      <c r="N916" s="26">
        <v>0</v>
      </c>
      <c r="O916" s="26">
        <v>50</v>
      </c>
      <c r="P916" s="26">
        <v>50</v>
      </c>
      <c r="Q916" s="34" t="str">
        <f t="shared" si="42"/>
        <v>Clear</v>
      </c>
      <c r="R916" s="41" t="str">
        <f>IF(I916=1,"Normal",IF(I916=2,"Yellow Alert",IF(I916=3,"Orange Alert",IF(I916=4,"Red Alert"))))</f>
        <v>Normal</v>
      </c>
      <c r="S916" s="60">
        <f t="shared" si="43"/>
        <v>10</v>
      </c>
      <c r="T916" s="61">
        <f>MONTH(dataset_1!B:B)</f>
        <v>1</v>
      </c>
      <c r="U916" s="61">
        <f t="shared" si="44"/>
        <v>2011</v>
      </c>
      <c r="V916" s="59" t="str">
        <f>TEXT(F916/24,"H AM/PM")</f>
        <v>3 PM</v>
      </c>
      <c r="W916" s="59" t="str">
        <f>IF(H916=6,"Saturday",IF(H916=0,"Sunday",IF(H916=1,"Monday",IF(H916=2,"Tuesday",IF(H916=3,"Wednesday",IF(H916=4,"Thursday",IF(H916=5,"Friday")))))))</f>
        <v>Thursday</v>
      </c>
      <c r="X916" s="59" t="str">
        <f>IF(G916=FALSE,"Working day", IF(G916=TRUE,"Holiday"))</f>
        <v>Working day</v>
      </c>
    </row>
    <row r="917" spans="1:24" x14ac:dyDescent="0.25">
      <c r="A917" s="32">
        <v>916</v>
      </c>
      <c r="B917" s="33">
        <v>40584</v>
      </c>
      <c r="C917" s="26">
        <v>1</v>
      </c>
      <c r="D917" s="26">
        <v>0</v>
      </c>
      <c r="E917" s="26">
        <v>2</v>
      </c>
      <c r="F917" s="26">
        <v>16</v>
      </c>
      <c r="G917" s="26" t="b">
        <v>0</v>
      </c>
      <c r="H917" s="26">
        <v>4</v>
      </c>
      <c r="I917" s="26">
        <v>1</v>
      </c>
      <c r="J917" s="26">
        <v>0.2</v>
      </c>
      <c r="K917" s="26">
        <v>0.18179999999999999</v>
      </c>
      <c r="L917" s="26">
        <v>0.27</v>
      </c>
      <c r="M917">
        <v>0.29849999999999999</v>
      </c>
      <c r="N917" s="26">
        <v>4</v>
      </c>
      <c r="O917" s="26">
        <v>76</v>
      </c>
      <c r="P917" s="26">
        <v>80</v>
      </c>
      <c r="Q917" s="34" t="str">
        <f t="shared" si="42"/>
        <v>Clear</v>
      </c>
      <c r="R917" s="41" t="str">
        <f>IF(I917=1,"Normal",IF(I917=2,"Yellow Alert",IF(I917=3,"Orange Alert",IF(I917=4,"Red Alert"))))</f>
        <v>Normal</v>
      </c>
      <c r="S917" s="60">
        <f t="shared" si="43"/>
        <v>10</v>
      </c>
      <c r="T917" s="61">
        <f>MONTH(dataset_1!B:B)</f>
        <v>1</v>
      </c>
      <c r="U917" s="61">
        <f t="shared" si="44"/>
        <v>2011</v>
      </c>
      <c r="V917" s="59" t="str">
        <f>TEXT(F917/24,"H AM/PM")</f>
        <v>4 PM</v>
      </c>
      <c r="W917" s="59" t="str">
        <f>IF(H917=6,"Saturday",IF(H917=0,"Sunday",IF(H917=1,"Monday",IF(H917=2,"Tuesday",IF(H917=3,"Wednesday",IF(H917=4,"Thursday",IF(H917=5,"Friday")))))))</f>
        <v>Thursday</v>
      </c>
      <c r="X917" s="59" t="str">
        <f>IF(G917=FALSE,"Working day", IF(G917=TRUE,"Holiday"))</f>
        <v>Working day</v>
      </c>
    </row>
    <row r="918" spans="1:24" x14ac:dyDescent="0.25">
      <c r="A918" s="32">
        <v>917</v>
      </c>
      <c r="B918" s="33">
        <v>40584</v>
      </c>
      <c r="C918" s="26">
        <v>1</v>
      </c>
      <c r="D918" s="26">
        <v>0</v>
      </c>
      <c r="E918" s="26">
        <v>2</v>
      </c>
      <c r="F918" s="26">
        <v>17</v>
      </c>
      <c r="G918" s="26" t="b">
        <v>0</v>
      </c>
      <c r="H918" s="26">
        <v>4</v>
      </c>
      <c r="I918" s="26">
        <v>1</v>
      </c>
      <c r="J918" s="26">
        <v>0.18</v>
      </c>
      <c r="K918" s="26">
        <v>0.18179999999999999</v>
      </c>
      <c r="L918" s="26">
        <v>0.26</v>
      </c>
      <c r="M918">
        <v>0.19400000000000001</v>
      </c>
      <c r="N918" s="26">
        <v>6</v>
      </c>
      <c r="O918" s="26">
        <v>159</v>
      </c>
      <c r="P918" s="26">
        <v>165</v>
      </c>
      <c r="Q918" s="34" t="str">
        <f t="shared" si="42"/>
        <v>Clear</v>
      </c>
      <c r="R918" s="41" t="str">
        <f>IF(I918=1,"Normal",IF(I918=2,"Yellow Alert",IF(I918=3,"Orange Alert",IF(I918=4,"Red Alert"))))</f>
        <v>Normal</v>
      </c>
      <c r="S918" s="60">
        <f t="shared" si="43"/>
        <v>10</v>
      </c>
      <c r="T918" s="61">
        <f>MONTH(dataset_1!B:B)</f>
        <v>1</v>
      </c>
      <c r="U918" s="61">
        <f t="shared" si="44"/>
        <v>2011</v>
      </c>
      <c r="V918" s="59" t="str">
        <f>TEXT(F918/24,"H AM/PM")</f>
        <v>5 PM</v>
      </c>
      <c r="W918" s="59" t="str">
        <f>IF(H918=6,"Saturday",IF(H918=0,"Sunday",IF(H918=1,"Monday",IF(H918=2,"Tuesday",IF(H918=3,"Wednesday",IF(H918=4,"Thursday",IF(H918=5,"Friday")))))))</f>
        <v>Thursday</v>
      </c>
      <c r="X918" s="59" t="str">
        <f>IF(G918=FALSE,"Working day", IF(G918=TRUE,"Holiday"))</f>
        <v>Working day</v>
      </c>
    </row>
    <row r="919" spans="1:24" x14ac:dyDescent="0.25">
      <c r="A919" s="32">
        <v>918</v>
      </c>
      <c r="B919" s="33">
        <v>40584</v>
      </c>
      <c r="C919" s="26">
        <v>1</v>
      </c>
      <c r="D919" s="26">
        <v>0</v>
      </c>
      <c r="E919" s="26">
        <v>2</v>
      </c>
      <c r="F919" s="26">
        <v>18</v>
      </c>
      <c r="G919" s="26" t="b">
        <v>0</v>
      </c>
      <c r="H919" s="26">
        <v>4</v>
      </c>
      <c r="I919" s="26">
        <v>1</v>
      </c>
      <c r="J919" s="26">
        <v>0.16</v>
      </c>
      <c r="K919" s="26">
        <v>0.18179999999999999</v>
      </c>
      <c r="L919" s="26">
        <v>0.28000000000000003</v>
      </c>
      <c r="M919">
        <v>0.1343</v>
      </c>
      <c r="N919" s="26">
        <v>3</v>
      </c>
      <c r="O919" s="26">
        <v>157</v>
      </c>
      <c r="P919" s="26">
        <v>160</v>
      </c>
      <c r="Q919" s="34" t="str">
        <f t="shared" si="42"/>
        <v>Clear</v>
      </c>
      <c r="R919" s="41" t="str">
        <f>IF(I919=1,"Normal",IF(I919=2,"Yellow Alert",IF(I919=3,"Orange Alert",IF(I919=4,"Red Alert"))))</f>
        <v>Normal</v>
      </c>
      <c r="S919" s="60">
        <f t="shared" si="43"/>
        <v>10</v>
      </c>
      <c r="T919" s="61">
        <f>MONTH(dataset_1!B:B)</f>
        <v>1</v>
      </c>
      <c r="U919" s="61">
        <f t="shared" si="44"/>
        <v>2011</v>
      </c>
      <c r="V919" s="59" t="str">
        <f>TEXT(F919/24,"H AM/PM")</f>
        <v>6 PM</v>
      </c>
      <c r="W919" s="59" t="str">
        <f>IF(H919=6,"Saturday",IF(H919=0,"Sunday",IF(H919=1,"Monday",IF(H919=2,"Tuesday",IF(H919=3,"Wednesday",IF(H919=4,"Thursday",IF(H919=5,"Friday")))))))</f>
        <v>Thursday</v>
      </c>
      <c r="X919" s="59" t="str">
        <f>IF(G919=FALSE,"Working day", IF(G919=TRUE,"Holiday"))</f>
        <v>Working day</v>
      </c>
    </row>
    <row r="920" spans="1:24" x14ac:dyDescent="0.25">
      <c r="A920" s="32">
        <v>919</v>
      </c>
      <c r="B920" s="33">
        <v>40584</v>
      </c>
      <c r="C920" s="26">
        <v>1</v>
      </c>
      <c r="D920" s="26">
        <v>0</v>
      </c>
      <c r="E920" s="26">
        <v>2</v>
      </c>
      <c r="F920" s="26">
        <v>19</v>
      </c>
      <c r="G920" s="26" t="b">
        <v>0</v>
      </c>
      <c r="H920" s="26">
        <v>4</v>
      </c>
      <c r="I920" s="26">
        <v>1</v>
      </c>
      <c r="J920" s="26">
        <v>0.14000000000000001</v>
      </c>
      <c r="K920" s="26">
        <v>0.16669999999999999</v>
      </c>
      <c r="L920" s="26">
        <v>0.28000000000000003</v>
      </c>
      <c r="M920">
        <v>0.1045</v>
      </c>
      <c r="N920" s="26">
        <v>2</v>
      </c>
      <c r="O920" s="26">
        <v>110</v>
      </c>
      <c r="P920" s="26">
        <v>112</v>
      </c>
      <c r="Q920" s="34" t="str">
        <f t="shared" si="42"/>
        <v>Clear</v>
      </c>
      <c r="R920" s="41" t="str">
        <f>IF(I920=1,"Normal",IF(I920=2,"Yellow Alert",IF(I920=3,"Orange Alert",IF(I920=4,"Red Alert"))))</f>
        <v>Normal</v>
      </c>
      <c r="S920" s="60">
        <f t="shared" si="43"/>
        <v>10</v>
      </c>
      <c r="T920" s="61">
        <f>MONTH(dataset_1!B:B)</f>
        <v>1</v>
      </c>
      <c r="U920" s="61">
        <f t="shared" si="44"/>
        <v>2011</v>
      </c>
      <c r="V920" s="59" t="str">
        <f>TEXT(F920/24,"H AM/PM")</f>
        <v>7 PM</v>
      </c>
      <c r="W920" s="59" t="str">
        <f>IF(H920=6,"Saturday",IF(H920=0,"Sunday",IF(H920=1,"Monday",IF(H920=2,"Tuesday",IF(H920=3,"Wednesday",IF(H920=4,"Thursday",IF(H920=5,"Friday")))))))</f>
        <v>Thursday</v>
      </c>
      <c r="X920" s="59" t="str">
        <f>IF(G920=FALSE,"Working day", IF(G920=TRUE,"Holiday"))</f>
        <v>Working day</v>
      </c>
    </row>
    <row r="921" spans="1:24" x14ac:dyDescent="0.25">
      <c r="A921" s="32">
        <v>920</v>
      </c>
      <c r="B921" s="33">
        <v>40584</v>
      </c>
      <c r="C921" s="26">
        <v>1</v>
      </c>
      <c r="D921" s="26">
        <v>0</v>
      </c>
      <c r="E921" s="26">
        <v>2</v>
      </c>
      <c r="F921" s="26">
        <v>20</v>
      </c>
      <c r="G921" s="26" t="b">
        <v>0</v>
      </c>
      <c r="H921" s="26">
        <v>4</v>
      </c>
      <c r="I921" s="26">
        <v>1</v>
      </c>
      <c r="J921" s="26">
        <v>0.14000000000000001</v>
      </c>
      <c r="K921" s="26">
        <v>0.18179999999999999</v>
      </c>
      <c r="L921" s="26">
        <v>0.31</v>
      </c>
      <c r="M921">
        <v>8.9599999999999999E-2</v>
      </c>
      <c r="N921" s="26">
        <v>4</v>
      </c>
      <c r="O921" s="26">
        <v>93</v>
      </c>
      <c r="P921" s="26">
        <v>97</v>
      </c>
      <c r="Q921" s="34" t="str">
        <f t="shared" si="42"/>
        <v>Clear</v>
      </c>
      <c r="R921" s="41" t="str">
        <f>IF(I921=1,"Normal",IF(I921=2,"Yellow Alert",IF(I921=3,"Orange Alert",IF(I921=4,"Red Alert"))))</f>
        <v>Normal</v>
      </c>
      <c r="S921" s="60">
        <f t="shared" si="43"/>
        <v>10</v>
      </c>
      <c r="T921" s="61">
        <f>MONTH(dataset_1!B:B)</f>
        <v>1</v>
      </c>
      <c r="U921" s="61">
        <f t="shared" si="44"/>
        <v>2011</v>
      </c>
      <c r="V921" s="59" t="str">
        <f>TEXT(F921/24,"H AM/PM")</f>
        <v>8 PM</v>
      </c>
      <c r="W921" s="59" t="str">
        <f>IF(H921=6,"Saturday",IF(H921=0,"Sunday",IF(H921=1,"Monday",IF(H921=2,"Tuesday",IF(H921=3,"Wednesday",IF(H921=4,"Thursday",IF(H921=5,"Friday")))))))</f>
        <v>Thursday</v>
      </c>
      <c r="X921" s="59" t="str">
        <f>IF(G921=FALSE,"Working day", IF(G921=TRUE,"Holiday"))</f>
        <v>Working day</v>
      </c>
    </row>
    <row r="922" spans="1:24" x14ac:dyDescent="0.25">
      <c r="A922" s="32">
        <v>921</v>
      </c>
      <c r="B922" s="33">
        <v>40584</v>
      </c>
      <c r="C922" s="26">
        <v>1</v>
      </c>
      <c r="D922" s="26">
        <v>0</v>
      </c>
      <c r="E922" s="26">
        <v>2</v>
      </c>
      <c r="F922" s="26">
        <v>21</v>
      </c>
      <c r="G922" s="26" t="b">
        <v>0</v>
      </c>
      <c r="H922" s="26">
        <v>4</v>
      </c>
      <c r="I922" s="26">
        <v>1</v>
      </c>
      <c r="J922" s="26">
        <v>0.14000000000000001</v>
      </c>
      <c r="K922" s="26">
        <v>0.21210000000000001</v>
      </c>
      <c r="L922" s="26">
        <v>0.39</v>
      </c>
      <c r="M922">
        <v>0</v>
      </c>
      <c r="N922" s="26">
        <v>2</v>
      </c>
      <c r="O922" s="26">
        <v>70</v>
      </c>
      <c r="P922" s="26">
        <v>72</v>
      </c>
      <c r="Q922" s="34" t="str">
        <f t="shared" si="42"/>
        <v>Clear</v>
      </c>
      <c r="R922" s="41" t="str">
        <f>IF(I922=1,"Normal",IF(I922=2,"Yellow Alert",IF(I922=3,"Orange Alert",IF(I922=4,"Red Alert"))))</f>
        <v>Normal</v>
      </c>
      <c r="S922" s="60">
        <f t="shared" si="43"/>
        <v>10</v>
      </c>
      <c r="T922" s="61">
        <f>MONTH(dataset_1!B:B)</f>
        <v>1</v>
      </c>
      <c r="U922" s="61">
        <f t="shared" si="44"/>
        <v>2011</v>
      </c>
      <c r="V922" s="59" t="str">
        <f>TEXT(F922/24,"H AM/PM")</f>
        <v>9 PM</v>
      </c>
      <c r="W922" s="59" t="str">
        <f>IF(H922=6,"Saturday",IF(H922=0,"Sunday",IF(H922=1,"Monday",IF(H922=2,"Tuesday",IF(H922=3,"Wednesday",IF(H922=4,"Thursday",IF(H922=5,"Friday")))))))</f>
        <v>Thursday</v>
      </c>
      <c r="X922" s="59" t="str">
        <f>IF(G922=FALSE,"Working day", IF(G922=TRUE,"Holiday"))</f>
        <v>Working day</v>
      </c>
    </row>
    <row r="923" spans="1:24" x14ac:dyDescent="0.25">
      <c r="A923" s="32">
        <v>922</v>
      </c>
      <c r="B923" s="33">
        <v>40584</v>
      </c>
      <c r="C923" s="26">
        <v>1</v>
      </c>
      <c r="D923" s="26">
        <v>0</v>
      </c>
      <c r="E923" s="26">
        <v>2</v>
      </c>
      <c r="F923" s="26">
        <v>22</v>
      </c>
      <c r="G923" s="26" t="b">
        <v>0</v>
      </c>
      <c r="H923" s="26">
        <v>4</v>
      </c>
      <c r="I923" s="26">
        <v>1</v>
      </c>
      <c r="J923" s="26">
        <v>0.12</v>
      </c>
      <c r="K923" s="26">
        <v>0.19700000000000001</v>
      </c>
      <c r="L923" s="26">
        <v>0.39</v>
      </c>
      <c r="M923">
        <v>0</v>
      </c>
      <c r="N923" s="26">
        <v>4</v>
      </c>
      <c r="O923" s="26">
        <v>47</v>
      </c>
      <c r="P923" s="26">
        <v>51</v>
      </c>
      <c r="Q923" s="34" t="str">
        <f t="shared" si="42"/>
        <v>Clear</v>
      </c>
      <c r="R923" s="41" t="str">
        <f>IF(I923=1,"Normal",IF(I923=2,"Yellow Alert",IF(I923=3,"Orange Alert",IF(I923=4,"Red Alert"))))</f>
        <v>Normal</v>
      </c>
      <c r="S923" s="60">
        <f t="shared" si="43"/>
        <v>10</v>
      </c>
      <c r="T923" s="61">
        <f>MONTH(dataset_1!B:B)</f>
        <v>1</v>
      </c>
      <c r="U923" s="61">
        <f t="shared" si="44"/>
        <v>2011</v>
      </c>
      <c r="V923" s="59" t="str">
        <f>TEXT(F923/24,"H AM/PM")</f>
        <v>10 PM</v>
      </c>
      <c r="W923" s="59" t="str">
        <f>IF(H923=6,"Saturday",IF(H923=0,"Sunday",IF(H923=1,"Monday",IF(H923=2,"Tuesday",IF(H923=3,"Wednesday",IF(H923=4,"Thursday",IF(H923=5,"Friday")))))))</f>
        <v>Thursday</v>
      </c>
      <c r="X923" s="59" t="str">
        <f>IF(G923=FALSE,"Working day", IF(G923=TRUE,"Holiday"))</f>
        <v>Working day</v>
      </c>
    </row>
    <row r="924" spans="1:24" x14ac:dyDescent="0.25">
      <c r="A924" s="32">
        <v>923</v>
      </c>
      <c r="B924" s="33">
        <v>40584</v>
      </c>
      <c r="C924" s="26">
        <v>1</v>
      </c>
      <c r="D924" s="26">
        <v>0</v>
      </c>
      <c r="E924" s="26">
        <v>2</v>
      </c>
      <c r="F924" s="26">
        <v>23</v>
      </c>
      <c r="G924" s="26" t="b">
        <v>0</v>
      </c>
      <c r="H924" s="26">
        <v>4</v>
      </c>
      <c r="I924" s="26">
        <v>1</v>
      </c>
      <c r="J924" s="26">
        <v>0.12</v>
      </c>
      <c r="K924" s="26">
        <v>0.1515</v>
      </c>
      <c r="L924" s="26">
        <v>0.42</v>
      </c>
      <c r="M924">
        <v>0.1045</v>
      </c>
      <c r="N924" s="26">
        <v>1</v>
      </c>
      <c r="O924" s="26">
        <v>33</v>
      </c>
      <c r="P924" s="26">
        <v>34</v>
      </c>
      <c r="Q924" s="34" t="str">
        <f t="shared" si="42"/>
        <v>Clear</v>
      </c>
      <c r="R924" s="41" t="str">
        <f>IF(I924=1,"Normal",IF(I924=2,"Yellow Alert",IF(I924=3,"Orange Alert",IF(I924=4,"Red Alert"))))</f>
        <v>Normal</v>
      </c>
      <c r="S924" s="60">
        <f t="shared" si="43"/>
        <v>10</v>
      </c>
      <c r="T924" s="61">
        <f>MONTH(dataset_1!B:B)</f>
        <v>1</v>
      </c>
      <c r="U924" s="61">
        <f t="shared" si="44"/>
        <v>2011</v>
      </c>
      <c r="V924" s="59" t="str">
        <f>TEXT(F924/24,"H AM/PM")</f>
        <v>11 PM</v>
      </c>
      <c r="W924" s="59" t="str">
        <f>IF(H924=6,"Saturday",IF(H924=0,"Sunday",IF(H924=1,"Monday",IF(H924=2,"Tuesday",IF(H924=3,"Wednesday",IF(H924=4,"Thursday",IF(H924=5,"Friday")))))))</f>
        <v>Thursday</v>
      </c>
      <c r="X924" s="59" t="str">
        <f>IF(G924=FALSE,"Working day", IF(G924=TRUE,"Holiday"))</f>
        <v>Working day</v>
      </c>
    </row>
    <row r="925" spans="1:24" x14ac:dyDescent="0.25">
      <c r="A925" s="32">
        <v>924</v>
      </c>
      <c r="B925" s="33">
        <v>40585</v>
      </c>
      <c r="C925" s="26">
        <v>1</v>
      </c>
      <c r="D925" s="26">
        <v>0</v>
      </c>
      <c r="E925" s="26">
        <v>2</v>
      </c>
      <c r="F925" s="26">
        <v>0</v>
      </c>
      <c r="G925" s="26" t="b">
        <v>0</v>
      </c>
      <c r="H925" s="26">
        <v>5</v>
      </c>
      <c r="I925" s="26">
        <v>1</v>
      </c>
      <c r="J925" s="26">
        <v>0.1</v>
      </c>
      <c r="K925" s="26">
        <v>0.13639999999999999</v>
      </c>
      <c r="L925" s="26">
        <v>0.49</v>
      </c>
      <c r="M925">
        <v>0.1045</v>
      </c>
      <c r="N925" s="26">
        <v>2</v>
      </c>
      <c r="O925" s="26">
        <v>12</v>
      </c>
      <c r="P925" s="26">
        <v>14</v>
      </c>
      <c r="Q925" s="34" t="str">
        <f t="shared" si="42"/>
        <v>Clear</v>
      </c>
      <c r="R925" s="41" t="str">
        <f>IF(I925=1,"Normal",IF(I925=2,"Yellow Alert",IF(I925=3,"Orange Alert",IF(I925=4,"Red Alert"))))</f>
        <v>Normal</v>
      </c>
      <c r="S925" s="60">
        <f t="shared" si="43"/>
        <v>11</v>
      </c>
      <c r="T925" s="61">
        <f>MONTH(dataset_1!B:B)</f>
        <v>1</v>
      </c>
      <c r="U925" s="61">
        <f t="shared" si="44"/>
        <v>2011</v>
      </c>
      <c r="V925" s="59" t="str">
        <f>TEXT(F925/24,"H AM/PM")</f>
        <v>12 AM</v>
      </c>
      <c r="W925" s="59" t="str">
        <f>IF(H925=6,"Saturday",IF(H925=0,"Sunday",IF(H925=1,"Monday",IF(H925=2,"Tuesday",IF(H925=3,"Wednesday",IF(H925=4,"Thursday",IF(H925=5,"Friday")))))))</f>
        <v>Friday</v>
      </c>
      <c r="X925" s="59" t="str">
        <f>IF(G925=FALSE,"Working day", IF(G925=TRUE,"Holiday"))</f>
        <v>Working day</v>
      </c>
    </row>
    <row r="926" spans="1:24" x14ac:dyDescent="0.25">
      <c r="A926" s="32">
        <v>925</v>
      </c>
      <c r="B926" s="33">
        <v>40585</v>
      </c>
      <c r="C926" s="26">
        <v>1</v>
      </c>
      <c r="D926" s="26">
        <v>0</v>
      </c>
      <c r="E926" s="26">
        <v>2</v>
      </c>
      <c r="F926" s="26">
        <v>1</v>
      </c>
      <c r="G926" s="26" t="b">
        <v>0</v>
      </c>
      <c r="H926" s="26">
        <v>5</v>
      </c>
      <c r="I926" s="26">
        <v>1</v>
      </c>
      <c r="J926" s="26">
        <v>0.1</v>
      </c>
      <c r="K926" s="26">
        <v>0.13639999999999999</v>
      </c>
      <c r="L926" s="26">
        <v>0.54</v>
      </c>
      <c r="M926">
        <v>8.9599999999999999E-2</v>
      </c>
      <c r="N926" s="26">
        <v>1</v>
      </c>
      <c r="O926" s="26">
        <v>6</v>
      </c>
      <c r="P926" s="26">
        <v>7</v>
      </c>
      <c r="Q926" s="34" t="str">
        <f t="shared" si="42"/>
        <v>Clear</v>
      </c>
      <c r="R926" s="41" t="str">
        <f>IF(I926=1,"Normal",IF(I926=2,"Yellow Alert",IF(I926=3,"Orange Alert",IF(I926=4,"Red Alert"))))</f>
        <v>Normal</v>
      </c>
      <c r="S926" s="60">
        <f t="shared" si="43"/>
        <v>11</v>
      </c>
      <c r="T926" s="61">
        <f>MONTH(dataset_1!B:B)</f>
        <v>1</v>
      </c>
      <c r="U926" s="61">
        <f t="shared" si="44"/>
        <v>2011</v>
      </c>
      <c r="V926" s="59" t="str">
        <f>TEXT(F926/24,"H AM/PM")</f>
        <v>1 AM</v>
      </c>
      <c r="W926" s="59" t="str">
        <f>IF(H926=6,"Saturday",IF(H926=0,"Sunday",IF(H926=1,"Monday",IF(H926=2,"Tuesday",IF(H926=3,"Wednesday",IF(H926=4,"Thursday",IF(H926=5,"Friday")))))))</f>
        <v>Friday</v>
      </c>
      <c r="X926" s="59" t="str">
        <f>IF(G926=FALSE,"Working day", IF(G926=TRUE,"Holiday"))</f>
        <v>Working day</v>
      </c>
    </row>
    <row r="927" spans="1:24" x14ac:dyDescent="0.25">
      <c r="A927" s="32">
        <v>926</v>
      </c>
      <c r="B927" s="33">
        <v>40585</v>
      </c>
      <c r="C927" s="26">
        <v>1</v>
      </c>
      <c r="D927" s="26">
        <v>0</v>
      </c>
      <c r="E927" s="26">
        <v>2</v>
      </c>
      <c r="F927" s="26">
        <v>2</v>
      </c>
      <c r="G927" s="26" t="b">
        <v>0</v>
      </c>
      <c r="H927" s="26">
        <v>5</v>
      </c>
      <c r="I927" s="26">
        <v>1</v>
      </c>
      <c r="J927" s="26">
        <v>0.1</v>
      </c>
      <c r="K927" s="26">
        <v>0.13639999999999999</v>
      </c>
      <c r="L927" s="26">
        <v>0.54</v>
      </c>
      <c r="M927">
        <v>8.9599999999999999E-2</v>
      </c>
      <c r="N927" s="26">
        <v>0</v>
      </c>
      <c r="O927" s="26">
        <v>3</v>
      </c>
      <c r="P927" s="26">
        <v>3</v>
      </c>
      <c r="Q927" s="34" t="str">
        <f t="shared" si="42"/>
        <v>Clear</v>
      </c>
      <c r="R927" s="41" t="str">
        <f>IF(I927=1,"Normal",IF(I927=2,"Yellow Alert",IF(I927=3,"Orange Alert",IF(I927=4,"Red Alert"))))</f>
        <v>Normal</v>
      </c>
      <c r="S927" s="60">
        <f t="shared" si="43"/>
        <v>11</v>
      </c>
      <c r="T927" s="61">
        <f>MONTH(dataset_1!B:B)</f>
        <v>1</v>
      </c>
      <c r="U927" s="61">
        <f t="shared" si="44"/>
        <v>2011</v>
      </c>
      <c r="V927" s="59" t="str">
        <f>TEXT(F927/24,"H AM/PM")</f>
        <v>2 AM</v>
      </c>
      <c r="W927" s="59" t="str">
        <f>IF(H927=6,"Saturday",IF(H927=0,"Sunday",IF(H927=1,"Monday",IF(H927=2,"Tuesday",IF(H927=3,"Wednesday",IF(H927=4,"Thursday",IF(H927=5,"Friday")))))))</f>
        <v>Friday</v>
      </c>
      <c r="X927" s="59" t="str">
        <f>IF(G927=FALSE,"Working day", IF(G927=TRUE,"Holiday"))</f>
        <v>Working day</v>
      </c>
    </row>
    <row r="928" spans="1:24" x14ac:dyDescent="0.25">
      <c r="A928" s="32">
        <v>927</v>
      </c>
      <c r="B928" s="33">
        <v>40585</v>
      </c>
      <c r="C928" s="26">
        <v>1</v>
      </c>
      <c r="D928" s="26">
        <v>0</v>
      </c>
      <c r="E928" s="26">
        <v>2</v>
      </c>
      <c r="F928" s="26">
        <v>5</v>
      </c>
      <c r="G928" s="26" t="b">
        <v>0</v>
      </c>
      <c r="H928" s="26">
        <v>5</v>
      </c>
      <c r="I928" s="26">
        <v>1</v>
      </c>
      <c r="J928" s="26">
        <v>0.08</v>
      </c>
      <c r="K928" s="26">
        <v>0.1212</v>
      </c>
      <c r="L928" s="26">
        <v>0.63</v>
      </c>
      <c r="M928">
        <v>8.9599999999999999E-2</v>
      </c>
      <c r="N928" s="26">
        <v>0</v>
      </c>
      <c r="O928" s="26">
        <v>4</v>
      </c>
      <c r="P928" s="26">
        <v>4</v>
      </c>
      <c r="Q928" s="34" t="str">
        <f t="shared" si="42"/>
        <v>Clear</v>
      </c>
      <c r="R928" s="41" t="str">
        <f>IF(I928=1,"Normal",IF(I928=2,"Yellow Alert",IF(I928=3,"Orange Alert",IF(I928=4,"Red Alert"))))</f>
        <v>Normal</v>
      </c>
      <c r="S928" s="60">
        <f t="shared" si="43"/>
        <v>11</v>
      </c>
      <c r="T928" s="61">
        <f>MONTH(dataset_1!B:B)</f>
        <v>1</v>
      </c>
      <c r="U928" s="61">
        <f t="shared" si="44"/>
        <v>2011</v>
      </c>
      <c r="V928" s="59" t="str">
        <f>TEXT(F928/24,"H AM/PM")</f>
        <v>5 AM</v>
      </c>
      <c r="W928" s="59" t="str">
        <f>IF(H928=6,"Saturday",IF(H928=0,"Sunday",IF(H928=1,"Monday",IF(H928=2,"Tuesday",IF(H928=3,"Wednesday",IF(H928=4,"Thursday",IF(H928=5,"Friday")))))))</f>
        <v>Friday</v>
      </c>
      <c r="X928" s="59" t="str">
        <f>IF(G928=FALSE,"Working day", IF(G928=TRUE,"Holiday"))</f>
        <v>Working day</v>
      </c>
    </row>
    <row r="929" spans="1:24" x14ac:dyDescent="0.25">
      <c r="A929" s="32">
        <v>928</v>
      </c>
      <c r="B929" s="33">
        <v>40585</v>
      </c>
      <c r="C929" s="26">
        <v>1</v>
      </c>
      <c r="D929" s="26">
        <v>0</v>
      </c>
      <c r="E929" s="26">
        <v>2</v>
      </c>
      <c r="F929" s="26">
        <v>6</v>
      </c>
      <c r="G929" s="26" t="b">
        <v>0</v>
      </c>
      <c r="H929" s="26">
        <v>5</v>
      </c>
      <c r="I929" s="26">
        <v>1</v>
      </c>
      <c r="J929" s="26">
        <v>0.1</v>
      </c>
      <c r="K929" s="26">
        <v>0.18179999999999999</v>
      </c>
      <c r="L929" s="26">
        <v>0.68</v>
      </c>
      <c r="M929">
        <v>0</v>
      </c>
      <c r="N929" s="26">
        <v>1</v>
      </c>
      <c r="O929" s="26">
        <v>23</v>
      </c>
      <c r="P929" s="26">
        <v>24</v>
      </c>
      <c r="Q929" s="34" t="str">
        <f t="shared" si="42"/>
        <v>Clear</v>
      </c>
      <c r="R929" s="41" t="str">
        <f>IF(I929=1,"Normal",IF(I929=2,"Yellow Alert",IF(I929=3,"Orange Alert",IF(I929=4,"Red Alert"))))</f>
        <v>Normal</v>
      </c>
      <c r="S929" s="60">
        <f t="shared" si="43"/>
        <v>11</v>
      </c>
      <c r="T929" s="61">
        <f>MONTH(dataset_1!B:B)</f>
        <v>1</v>
      </c>
      <c r="U929" s="61">
        <f t="shared" si="44"/>
        <v>2011</v>
      </c>
      <c r="V929" s="59" t="str">
        <f>TEXT(F929/24,"H AM/PM")</f>
        <v>6 AM</v>
      </c>
      <c r="W929" s="59" t="str">
        <f>IF(H929=6,"Saturday",IF(H929=0,"Sunday",IF(H929=1,"Monday",IF(H929=2,"Tuesday",IF(H929=3,"Wednesday",IF(H929=4,"Thursday",IF(H929=5,"Friday")))))))</f>
        <v>Friday</v>
      </c>
      <c r="X929" s="59" t="str">
        <f>IF(G929=FALSE,"Working day", IF(G929=TRUE,"Holiday"))</f>
        <v>Working day</v>
      </c>
    </row>
    <row r="930" spans="1:24" x14ac:dyDescent="0.25">
      <c r="A930" s="32">
        <v>929</v>
      </c>
      <c r="B930" s="33">
        <v>40585</v>
      </c>
      <c r="C930" s="26">
        <v>1</v>
      </c>
      <c r="D930" s="26">
        <v>0</v>
      </c>
      <c r="E930" s="26">
        <v>2</v>
      </c>
      <c r="F930" s="26">
        <v>7</v>
      </c>
      <c r="G930" s="26" t="b">
        <v>0</v>
      </c>
      <c r="H930" s="26">
        <v>5</v>
      </c>
      <c r="I930" s="26">
        <v>1</v>
      </c>
      <c r="J930" s="26">
        <v>0.08</v>
      </c>
      <c r="K930" s="26">
        <v>0.16669999999999999</v>
      </c>
      <c r="L930" s="26">
        <v>0.73</v>
      </c>
      <c r="M930">
        <v>0</v>
      </c>
      <c r="N930" s="26">
        <v>1</v>
      </c>
      <c r="O930" s="26">
        <v>73</v>
      </c>
      <c r="P930" s="26">
        <v>74</v>
      </c>
      <c r="Q930" s="34" t="str">
        <f t="shared" si="42"/>
        <v>Clear</v>
      </c>
      <c r="R930" s="41" t="str">
        <f>IF(I930=1,"Normal",IF(I930=2,"Yellow Alert",IF(I930=3,"Orange Alert",IF(I930=4,"Red Alert"))))</f>
        <v>Normal</v>
      </c>
      <c r="S930" s="60">
        <f t="shared" si="43"/>
        <v>11</v>
      </c>
      <c r="T930" s="61">
        <f>MONTH(dataset_1!B:B)</f>
        <v>1</v>
      </c>
      <c r="U930" s="61">
        <f t="shared" si="44"/>
        <v>2011</v>
      </c>
      <c r="V930" s="59" t="str">
        <f>TEXT(F930/24,"H AM/PM")</f>
        <v>7 AM</v>
      </c>
      <c r="W930" s="59" t="str">
        <f>IF(H930=6,"Saturday",IF(H930=0,"Sunday",IF(H930=1,"Monday",IF(H930=2,"Tuesday",IF(H930=3,"Wednesday",IF(H930=4,"Thursday",IF(H930=5,"Friday")))))))</f>
        <v>Friday</v>
      </c>
      <c r="X930" s="59" t="str">
        <f>IF(G930=FALSE,"Working day", IF(G930=TRUE,"Holiday"))</f>
        <v>Working day</v>
      </c>
    </row>
    <row r="931" spans="1:24" x14ac:dyDescent="0.25">
      <c r="A931" s="32">
        <v>930</v>
      </c>
      <c r="B931" s="33">
        <v>40585</v>
      </c>
      <c r="C931" s="26">
        <v>1</v>
      </c>
      <c r="D931" s="26">
        <v>0</v>
      </c>
      <c r="E931" s="26">
        <v>2</v>
      </c>
      <c r="F931" s="26">
        <v>8</v>
      </c>
      <c r="G931" s="26" t="b">
        <v>0</v>
      </c>
      <c r="H931" s="26">
        <v>5</v>
      </c>
      <c r="I931" s="26">
        <v>1</v>
      </c>
      <c r="J931" s="26">
        <v>0.1</v>
      </c>
      <c r="K931" s="26">
        <v>0.1212</v>
      </c>
      <c r="L931" s="26">
        <v>0.74</v>
      </c>
      <c r="M931">
        <v>0.16420000000000001</v>
      </c>
      <c r="N931" s="26">
        <v>4</v>
      </c>
      <c r="O931" s="26">
        <v>212</v>
      </c>
      <c r="P931" s="26">
        <v>216</v>
      </c>
      <c r="Q931" s="34" t="str">
        <f t="shared" si="42"/>
        <v>Clear</v>
      </c>
      <c r="R931" s="41" t="str">
        <f>IF(I931=1,"Normal",IF(I931=2,"Yellow Alert",IF(I931=3,"Orange Alert",IF(I931=4,"Red Alert"))))</f>
        <v>Normal</v>
      </c>
      <c r="S931" s="60">
        <f t="shared" si="43"/>
        <v>11</v>
      </c>
      <c r="T931" s="61">
        <f>MONTH(dataset_1!B:B)</f>
        <v>1</v>
      </c>
      <c r="U931" s="61">
        <f t="shared" si="44"/>
        <v>2011</v>
      </c>
      <c r="V931" s="59" t="str">
        <f>TEXT(F931/24,"H AM/PM")</f>
        <v>8 AM</v>
      </c>
      <c r="W931" s="59" t="str">
        <f>IF(H931=6,"Saturday",IF(H931=0,"Sunday",IF(H931=1,"Monday",IF(H931=2,"Tuesday",IF(H931=3,"Wednesday",IF(H931=4,"Thursday",IF(H931=5,"Friday")))))))</f>
        <v>Friday</v>
      </c>
      <c r="X931" s="59" t="str">
        <f>IF(G931=FALSE,"Working day", IF(G931=TRUE,"Holiday"))</f>
        <v>Working day</v>
      </c>
    </row>
    <row r="932" spans="1:24" x14ac:dyDescent="0.25">
      <c r="A932" s="32">
        <v>931</v>
      </c>
      <c r="B932" s="33">
        <v>40585</v>
      </c>
      <c r="C932" s="26">
        <v>1</v>
      </c>
      <c r="D932" s="26">
        <v>0</v>
      </c>
      <c r="E932" s="26">
        <v>2</v>
      </c>
      <c r="F932" s="26">
        <v>9</v>
      </c>
      <c r="G932" s="26" t="b">
        <v>0</v>
      </c>
      <c r="H932" s="26">
        <v>5</v>
      </c>
      <c r="I932" s="26">
        <v>1</v>
      </c>
      <c r="J932" s="26">
        <v>0.12</v>
      </c>
      <c r="K932" s="26">
        <v>0.1212</v>
      </c>
      <c r="L932" s="26">
        <v>0.74</v>
      </c>
      <c r="M932">
        <v>0.22389999999999999</v>
      </c>
      <c r="N932" s="26">
        <v>8</v>
      </c>
      <c r="O932" s="26">
        <v>132</v>
      </c>
      <c r="P932" s="26">
        <v>140</v>
      </c>
      <c r="Q932" s="34" t="str">
        <f t="shared" si="42"/>
        <v>Clear</v>
      </c>
      <c r="R932" s="41" t="str">
        <f>IF(I932=1,"Normal",IF(I932=2,"Yellow Alert",IF(I932=3,"Orange Alert",IF(I932=4,"Red Alert"))))</f>
        <v>Normal</v>
      </c>
      <c r="S932" s="60">
        <f t="shared" si="43"/>
        <v>11</v>
      </c>
      <c r="T932" s="61">
        <f>MONTH(dataset_1!B:B)</f>
        <v>1</v>
      </c>
      <c r="U932" s="61">
        <f t="shared" si="44"/>
        <v>2011</v>
      </c>
      <c r="V932" s="59" t="str">
        <f>TEXT(F932/24,"H AM/PM")</f>
        <v>9 AM</v>
      </c>
      <c r="W932" s="59" t="str">
        <f>IF(H932=6,"Saturday",IF(H932=0,"Sunday",IF(H932=1,"Monday",IF(H932=2,"Tuesday",IF(H932=3,"Wednesday",IF(H932=4,"Thursday",IF(H932=5,"Friday")))))))</f>
        <v>Friday</v>
      </c>
      <c r="X932" s="59" t="str">
        <f>IF(G932=FALSE,"Working day", IF(G932=TRUE,"Holiday"))</f>
        <v>Working day</v>
      </c>
    </row>
    <row r="933" spans="1:24" x14ac:dyDescent="0.25">
      <c r="A933" s="32">
        <v>932</v>
      </c>
      <c r="B933" s="33">
        <v>40585</v>
      </c>
      <c r="C933" s="26">
        <v>1</v>
      </c>
      <c r="D933" s="26">
        <v>0</v>
      </c>
      <c r="E933" s="26">
        <v>2</v>
      </c>
      <c r="F933" s="26">
        <v>10</v>
      </c>
      <c r="G933" s="26" t="b">
        <v>0</v>
      </c>
      <c r="H933" s="26">
        <v>5</v>
      </c>
      <c r="I933" s="26">
        <v>1</v>
      </c>
      <c r="J933" s="26">
        <v>0.14000000000000001</v>
      </c>
      <c r="K933" s="26">
        <v>0.13639999999999999</v>
      </c>
      <c r="L933" s="26">
        <v>0.69</v>
      </c>
      <c r="M933">
        <v>0.19400000000000001</v>
      </c>
      <c r="N933" s="26">
        <v>5</v>
      </c>
      <c r="O933" s="26">
        <v>39</v>
      </c>
      <c r="P933" s="26">
        <v>44</v>
      </c>
      <c r="Q933" s="34" t="str">
        <f t="shared" si="42"/>
        <v>Clear</v>
      </c>
      <c r="R933" s="41" t="str">
        <f>IF(I933=1,"Normal",IF(I933=2,"Yellow Alert",IF(I933=3,"Orange Alert",IF(I933=4,"Red Alert"))))</f>
        <v>Normal</v>
      </c>
      <c r="S933" s="60">
        <f t="shared" si="43"/>
        <v>11</v>
      </c>
      <c r="T933" s="61">
        <f>MONTH(dataset_1!B:B)</f>
        <v>1</v>
      </c>
      <c r="U933" s="61">
        <f t="shared" si="44"/>
        <v>2011</v>
      </c>
      <c r="V933" s="59" t="str">
        <f>TEXT(F933/24,"H AM/PM")</f>
        <v>10 AM</v>
      </c>
      <c r="W933" s="59" t="str">
        <f>IF(H933=6,"Saturday",IF(H933=0,"Sunday",IF(H933=1,"Monday",IF(H933=2,"Tuesday",IF(H933=3,"Wednesday",IF(H933=4,"Thursday",IF(H933=5,"Friday")))))))</f>
        <v>Friday</v>
      </c>
      <c r="X933" s="59" t="str">
        <f>IF(G933=FALSE,"Working day", IF(G933=TRUE,"Holiday"))</f>
        <v>Working day</v>
      </c>
    </row>
    <row r="934" spans="1:24" x14ac:dyDescent="0.25">
      <c r="A934" s="32">
        <v>933</v>
      </c>
      <c r="B934" s="33">
        <v>40585</v>
      </c>
      <c r="C934" s="26">
        <v>1</v>
      </c>
      <c r="D934" s="26">
        <v>0</v>
      </c>
      <c r="E934" s="26">
        <v>2</v>
      </c>
      <c r="F934" s="26">
        <v>11</v>
      </c>
      <c r="G934" s="26" t="b">
        <v>0</v>
      </c>
      <c r="H934" s="26">
        <v>5</v>
      </c>
      <c r="I934" s="26">
        <v>1</v>
      </c>
      <c r="J934" s="26">
        <v>0.22</v>
      </c>
      <c r="K934" s="26">
        <v>0.2273</v>
      </c>
      <c r="L934" s="26">
        <v>0.47</v>
      </c>
      <c r="M934">
        <v>0.1343</v>
      </c>
      <c r="N934" s="26">
        <v>12</v>
      </c>
      <c r="O934" s="26">
        <v>52</v>
      </c>
      <c r="P934" s="26">
        <v>64</v>
      </c>
      <c r="Q934" s="34" t="str">
        <f t="shared" si="42"/>
        <v>Clear</v>
      </c>
      <c r="R934" s="41" t="str">
        <f>IF(I934=1,"Normal",IF(I934=2,"Yellow Alert",IF(I934=3,"Orange Alert",IF(I934=4,"Red Alert"))))</f>
        <v>Normal</v>
      </c>
      <c r="S934" s="60">
        <f t="shared" si="43"/>
        <v>11</v>
      </c>
      <c r="T934" s="61">
        <f>MONTH(dataset_1!B:B)</f>
        <v>1</v>
      </c>
      <c r="U934" s="61">
        <f t="shared" si="44"/>
        <v>2011</v>
      </c>
      <c r="V934" s="59" t="str">
        <f>TEXT(F934/24,"H AM/PM")</f>
        <v>11 AM</v>
      </c>
      <c r="W934" s="59" t="str">
        <f>IF(H934=6,"Saturday",IF(H934=0,"Sunday",IF(H934=1,"Monday",IF(H934=2,"Tuesday",IF(H934=3,"Wednesday",IF(H934=4,"Thursday",IF(H934=5,"Friday")))))))</f>
        <v>Friday</v>
      </c>
      <c r="X934" s="59" t="str">
        <f>IF(G934=FALSE,"Working day", IF(G934=TRUE,"Holiday"))</f>
        <v>Working day</v>
      </c>
    </row>
    <row r="935" spans="1:24" x14ac:dyDescent="0.25">
      <c r="A935" s="32">
        <v>934</v>
      </c>
      <c r="B935" s="33">
        <v>40585</v>
      </c>
      <c r="C935" s="26">
        <v>1</v>
      </c>
      <c r="D935" s="26">
        <v>0</v>
      </c>
      <c r="E935" s="26">
        <v>2</v>
      </c>
      <c r="F935" s="26">
        <v>12</v>
      </c>
      <c r="G935" s="26" t="b">
        <v>0</v>
      </c>
      <c r="H935" s="26">
        <v>5</v>
      </c>
      <c r="I935" s="26">
        <v>1</v>
      </c>
      <c r="J935" s="26">
        <v>0.22</v>
      </c>
      <c r="K935" s="26">
        <v>0.2273</v>
      </c>
      <c r="L935" s="26">
        <v>0.47</v>
      </c>
      <c r="M935">
        <v>0.1343</v>
      </c>
      <c r="N935" s="26">
        <v>7</v>
      </c>
      <c r="O935" s="26">
        <v>64</v>
      </c>
      <c r="P935" s="26">
        <v>71</v>
      </c>
      <c r="Q935" s="34" t="str">
        <f t="shared" si="42"/>
        <v>Clear</v>
      </c>
      <c r="R935" s="41" t="str">
        <f>IF(I935=1,"Normal",IF(I935=2,"Yellow Alert",IF(I935=3,"Orange Alert",IF(I935=4,"Red Alert"))))</f>
        <v>Normal</v>
      </c>
      <c r="S935" s="60">
        <f t="shared" si="43"/>
        <v>11</v>
      </c>
      <c r="T935" s="61">
        <f>MONTH(dataset_1!B:B)</f>
        <v>1</v>
      </c>
      <c r="U935" s="61">
        <f t="shared" si="44"/>
        <v>2011</v>
      </c>
      <c r="V935" s="59" t="str">
        <f>TEXT(F935/24,"H AM/PM")</f>
        <v>12 PM</v>
      </c>
      <c r="W935" s="59" t="str">
        <f>IF(H935=6,"Saturday",IF(H935=0,"Sunday",IF(H935=1,"Monday",IF(H935=2,"Tuesday",IF(H935=3,"Wednesday",IF(H935=4,"Thursday",IF(H935=5,"Friday")))))))</f>
        <v>Friday</v>
      </c>
      <c r="X935" s="59" t="str">
        <f>IF(G935=FALSE,"Working day", IF(G935=TRUE,"Holiday"))</f>
        <v>Working day</v>
      </c>
    </row>
    <row r="936" spans="1:24" x14ac:dyDescent="0.25">
      <c r="A936" s="32">
        <v>935</v>
      </c>
      <c r="B936" s="33">
        <v>40585</v>
      </c>
      <c r="C936" s="26">
        <v>1</v>
      </c>
      <c r="D936" s="26">
        <v>0</v>
      </c>
      <c r="E936" s="26">
        <v>2</v>
      </c>
      <c r="F936" s="26">
        <v>13</v>
      </c>
      <c r="G936" s="26" t="b">
        <v>0</v>
      </c>
      <c r="H936" s="26">
        <v>5</v>
      </c>
      <c r="I936" s="26">
        <v>1</v>
      </c>
      <c r="J936" s="26">
        <v>0.24</v>
      </c>
      <c r="K936" s="26">
        <v>0.2273</v>
      </c>
      <c r="L936" s="26">
        <v>0.35</v>
      </c>
      <c r="M936">
        <v>0.19400000000000001</v>
      </c>
      <c r="N936" s="26">
        <v>21</v>
      </c>
      <c r="O936" s="26">
        <v>89</v>
      </c>
      <c r="P936" s="26">
        <v>110</v>
      </c>
      <c r="Q936" s="34" t="str">
        <f t="shared" si="42"/>
        <v>Clear</v>
      </c>
      <c r="R936" s="41" t="str">
        <f>IF(I936=1,"Normal",IF(I936=2,"Yellow Alert",IF(I936=3,"Orange Alert",IF(I936=4,"Red Alert"))))</f>
        <v>Normal</v>
      </c>
      <c r="S936" s="60">
        <f t="shared" si="43"/>
        <v>11</v>
      </c>
      <c r="T936" s="61">
        <f>MONTH(dataset_1!B:B)</f>
        <v>1</v>
      </c>
      <c r="U936" s="61">
        <f t="shared" si="44"/>
        <v>2011</v>
      </c>
      <c r="V936" s="59" t="str">
        <f>TEXT(F936/24,"H AM/PM")</f>
        <v>1 PM</v>
      </c>
      <c r="W936" s="59" t="str">
        <f>IF(H936=6,"Saturday",IF(H936=0,"Sunday",IF(H936=1,"Monday",IF(H936=2,"Tuesday",IF(H936=3,"Wednesday",IF(H936=4,"Thursday",IF(H936=5,"Friday")))))))</f>
        <v>Friday</v>
      </c>
      <c r="X936" s="59" t="str">
        <f>IF(G936=FALSE,"Working day", IF(G936=TRUE,"Holiday"))</f>
        <v>Working day</v>
      </c>
    </row>
    <row r="937" spans="1:24" x14ac:dyDescent="0.25">
      <c r="A937" s="32">
        <v>936</v>
      </c>
      <c r="B937" s="33">
        <v>40585</v>
      </c>
      <c r="C937" s="26">
        <v>1</v>
      </c>
      <c r="D937" s="26">
        <v>0</v>
      </c>
      <c r="E937" s="26">
        <v>2</v>
      </c>
      <c r="F937" s="26">
        <v>14</v>
      </c>
      <c r="G937" s="26" t="b">
        <v>0</v>
      </c>
      <c r="H937" s="26">
        <v>5</v>
      </c>
      <c r="I937" s="26">
        <v>1</v>
      </c>
      <c r="J937" s="26">
        <v>0.3</v>
      </c>
      <c r="K937" s="26">
        <v>0.28789999999999999</v>
      </c>
      <c r="L937" s="26">
        <v>0.26</v>
      </c>
      <c r="M937">
        <v>0.25369999999999998</v>
      </c>
      <c r="N937" s="26">
        <v>17</v>
      </c>
      <c r="O937" s="26">
        <v>67</v>
      </c>
      <c r="P937" s="26">
        <v>84</v>
      </c>
      <c r="Q937" s="34" t="str">
        <f t="shared" si="42"/>
        <v>Clear</v>
      </c>
      <c r="R937" s="41" t="str">
        <f>IF(I937=1,"Normal",IF(I937=2,"Yellow Alert",IF(I937=3,"Orange Alert",IF(I937=4,"Red Alert"))))</f>
        <v>Normal</v>
      </c>
      <c r="S937" s="60">
        <f t="shared" si="43"/>
        <v>11</v>
      </c>
      <c r="T937" s="61">
        <f>MONTH(dataset_1!B:B)</f>
        <v>1</v>
      </c>
      <c r="U937" s="61">
        <f t="shared" si="44"/>
        <v>2011</v>
      </c>
      <c r="V937" s="59" t="str">
        <f>TEXT(F937/24,"H AM/PM")</f>
        <v>2 PM</v>
      </c>
      <c r="W937" s="59" t="str">
        <f>IF(H937=6,"Saturday",IF(H937=0,"Sunday",IF(H937=1,"Monday",IF(H937=2,"Tuesday",IF(H937=3,"Wednesday",IF(H937=4,"Thursday",IF(H937=5,"Friday")))))))</f>
        <v>Friday</v>
      </c>
      <c r="X937" s="59" t="str">
        <f>IF(G937=FALSE,"Working day", IF(G937=TRUE,"Holiday"))</f>
        <v>Working day</v>
      </c>
    </row>
    <row r="938" spans="1:24" x14ac:dyDescent="0.25">
      <c r="A938" s="32">
        <v>937</v>
      </c>
      <c r="B938" s="33">
        <v>40585</v>
      </c>
      <c r="C938" s="26">
        <v>1</v>
      </c>
      <c r="D938" s="26">
        <v>0</v>
      </c>
      <c r="E938" s="26">
        <v>2</v>
      </c>
      <c r="F938" s="26">
        <v>15</v>
      </c>
      <c r="G938" s="26" t="b">
        <v>0</v>
      </c>
      <c r="H938" s="26">
        <v>5</v>
      </c>
      <c r="I938" s="26">
        <v>1</v>
      </c>
      <c r="J938" s="26">
        <v>0.32</v>
      </c>
      <c r="K938" s="26">
        <v>0.31819999999999998</v>
      </c>
      <c r="L938" s="26">
        <v>0.21</v>
      </c>
      <c r="M938">
        <v>0.16420000000000001</v>
      </c>
      <c r="N938" s="26">
        <v>12</v>
      </c>
      <c r="O938" s="26">
        <v>62</v>
      </c>
      <c r="P938" s="26">
        <v>74</v>
      </c>
      <c r="Q938" s="34" t="str">
        <f t="shared" si="42"/>
        <v>Clear</v>
      </c>
      <c r="R938" s="41" t="str">
        <f>IF(I938=1,"Normal",IF(I938=2,"Yellow Alert",IF(I938=3,"Orange Alert",IF(I938=4,"Red Alert"))))</f>
        <v>Normal</v>
      </c>
      <c r="S938" s="60">
        <f t="shared" si="43"/>
        <v>11</v>
      </c>
      <c r="T938" s="61">
        <f>MONTH(dataset_1!B:B)</f>
        <v>1</v>
      </c>
      <c r="U938" s="61">
        <f t="shared" si="44"/>
        <v>2011</v>
      </c>
      <c r="V938" s="59" t="str">
        <f>TEXT(F938/24,"H AM/PM")</f>
        <v>3 PM</v>
      </c>
      <c r="W938" s="59" t="str">
        <f>IF(H938=6,"Saturday",IF(H938=0,"Sunday",IF(H938=1,"Monday",IF(H938=2,"Tuesday",IF(H938=3,"Wednesday",IF(H938=4,"Thursday",IF(H938=5,"Friday")))))))</f>
        <v>Friday</v>
      </c>
      <c r="X938" s="59" t="str">
        <f>IF(G938=FALSE,"Working day", IF(G938=TRUE,"Holiday"))</f>
        <v>Working day</v>
      </c>
    </row>
    <row r="939" spans="1:24" x14ac:dyDescent="0.25">
      <c r="A939" s="32">
        <v>938</v>
      </c>
      <c r="B939" s="33">
        <v>40585</v>
      </c>
      <c r="C939" s="26">
        <v>1</v>
      </c>
      <c r="D939" s="26">
        <v>0</v>
      </c>
      <c r="E939" s="26">
        <v>2</v>
      </c>
      <c r="F939" s="26">
        <v>16</v>
      </c>
      <c r="G939" s="26" t="b">
        <v>0</v>
      </c>
      <c r="H939" s="26">
        <v>5</v>
      </c>
      <c r="I939" s="26">
        <v>1</v>
      </c>
      <c r="J939" s="26">
        <v>0.3</v>
      </c>
      <c r="K939" s="26">
        <v>0.28789999999999999</v>
      </c>
      <c r="L939" s="26">
        <v>0.28000000000000003</v>
      </c>
      <c r="M939">
        <v>0.19400000000000001</v>
      </c>
      <c r="N939" s="26">
        <v>14</v>
      </c>
      <c r="O939" s="26">
        <v>111</v>
      </c>
      <c r="P939" s="26">
        <v>125</v>
      </c>
      <c r="Q939" s="34" t="str">
        <f t="shared" si="42"/>
        <v>Clear</v>
      </c>
      <c r="R939" s="41" t="str">
        <f>IF(I939=1,"Normal",IF(I939=2,"Yellow Alert",IF(I939=3,"Orange Alert",IF(I939=4,"Red Alert"))))</f>
        <v>Normal</v>
      </c>
      <c r="S939" s="60">
        <f t="shared" si="43"/>
        <v>11</v>
      </c>
      <c r="T939" s="61">
        <f>MONTH(dataset_1!B:B)</f>
        <v>1</v>
      </c>
      <c r="U939" s="61">
        <f t="shared" si="44"/>
        <v>2011</v>
      </c>
      <c r="V939" s="59" t="str">
        <f>TEXT(F939/24,"H AM/PM")</f>
        <v>4 PM</v>
      </c>
      <c r="W939" s="59" t="str">
        <f>IF(H939=6,"Saturday",IF(H939=0,"Sunday",IF(H939=1,"Monday",IF(H939=2,"Tuesday",IF(H939=3,"Wednesday",IF(H939=4,"Thursday",IF(H939=5,"Friday")))))))</f>
        <v>Friday</v>
      </c>
      <c r="X939" s="59" t="str">
        <f>IF(G939=FALSE,"Working day", IF(G939=TRUE,"Holiday"))</f>
        <v>Working day</v>
      </c>
    </row>
    <row r="940" spans="1:24" x14ac:dyDescent="0.25">
      <c r="A940" s="32">
        <v>939</v>
      </c>
      <c r="B940" s="33">
        <v>40585</v>
      </c>
      <c r="C940" s="26">
        <v>1</v>
      </c>
      <c r="D940" s="26">
        <v>0</v>
      </c>
      <c r="E940" s="26">
        <v>2</v>
      </c>
      <c r="F940" s="26">
        <v>17</v>
      </c>
      <c r="G940" s="26" t="b">
        <v>0</v>
      </c>
      <c r="H940" s="26">
        <v>5</v>
      </c>
      <c r="I940" s="26">
        <v>1</v>
      </c>
      <c r="J940" s="26">
        <v>0.3</v>
      </c>
      <c r="K940" s="26">
        <v>0.33329999999999999</v>
      </c>
      <c r="L940" s="26">
        <v>0.24</v>
      </c>
      <c r="M940">
        <v>0</v>
      </c>
      <c r="N940" s="26">
        <v>18</v>
      </c>
      <c r="O940" s="26">
        <v>193</v>
      </c>
      <c r="P940" s="26">
        <v>211</v>
      </c>
      <c r="Q940" s="34" t="str">
        <f t="shared" si="42"/>
        <v>Clear</v>
      </c>
      <c r="R940" s="41" t="str">
        <f>IF(I940=1,"Normal",IF(I940=2,"Yellow Alert",IF(I940=3,"Orange Alert",IF(I940=4,"Red Alert"))))</f>
        <v>Normal</v>
      </c>
      <c r="S940" s="60">
        <f t="shared" si="43"/>
        <v>11</v>
      </c>
      <c r="T940" s="61">
        <f>MONTH(dataset_1!B:B)</f>
        <v>1</v>
      </c>
      <c r="U940" s="61">
        <f t="shared" si="44"/>
        <v>2011</v>
      </c>
      <c r="V940" s="59" t="str">
        <f>TEXT(F940/24,"H AM/PM")</f>
        <v>5 PM</v>
      </c>
      <c r="W940" s="59" t="str">
        <f>IF(H940=6,"Saturday",IF(H940=0,"Sunday",IF(H940=1,"Monday",IF(H940=2,"Tuesday",IF(H940=3,"Wednesday",IF(H940=4,"Thursday",IF(H940=5,"Friday")))))))</f>
        <v>Friday</v>
      </c>
      <c r="X940" s="59" t="str">
        <f>IF(G940=FALSE,"Working day", IF(G940=TRUE,"Holiday"))</f>
        <v>Working day</v>
      </c>
    </row>
    <row r="941" spans="1:24" x14ac:dyDescent="0.25">
      <c r="A941" s="32">
        <v>940</v>
      </c>
      <c r="B941" s="33">
        <v>40585</v>
      </c>
      <c r="C941" s="26">
        <v>1</v>
      </c>
      <c r="D941" s="26">
        <v>0</v>
      </c>
      <c r="E941" s="26">
        <v>2</v>
      </c>
      <c r="F941" s="26">
        <v>18</v>
      </c>
      <c r="G941" s="26" t="b">
        <v>0</v>
      </c>
      <c r="H941" s="26">
        <v>5</v>
      </c>
      <c r="I941" s="26">
        <v>1</v>
      </c>
      <c r="J941" s="26">
        <v>0.28000000000000003</v>
      </c>
      <c r="K941" s="26">
        <v>0.31819999999999998</v>
      </c>
      <c r="L941" s="26">
        <v>0.28000000000000003</v>
      </c>
      <c r="M941">
        <v>0</v>
      </c>
      <c r="N941" s="26">
        <v>9</v>
      </c>
      <c r="O941" s="26">
        <v>165</v>
      </c>
      <c r="P941" s="26">
        <v>174</v>
      </c>
      <c r="Q941" s="34" t="str">
        <f t="shared" si="42"/>
        <v>Clear</v>
      </c>
      <c r="R941" s="41" t="str">
        <f>IF(I941=1,"Normal",IF(I941=2,"Yellow Alert",IF(I941=3,"Orange Alert",IF(I941=4,"Red Alert"))))</f>
        <v>Normal</v>
      </c>
      <c r="S941" s="60">
        <f t="shared" si="43"/>
        <v>11</v>
      </c>
      <c r="T941" s="61">
        <f>MONTH(dataset_1!B:B)</f>
        <v>1</v>
      </c>
      <c r="U941" s="61">
        <f t="shared" si="44"/>
        <v>2011</v>
      </c>
      <c r="V941" s="59" t="str">
        <f>TEXT(F941/24,"H AM/PM")</f>
        <v>6 PM</v>
      </c>
      <c r="W941" s="59" t="str">
        <f>IF(H941=6,"Saturday",IF(H941=0,"Sunday",IF(H941=1,"Monday",IF(H941=2,"Tuesday",IF(H941=3,"Wednesday",IF(H941=4,"Thursday",IF(H941=5,"Friday")))))))</f>
        <v>Friday</v>
      </c>
      <c r="X941" s="59" t="str">
        <f>IF(G941=FALSE,"Working day", IF(G941=TRUE,"Holiday"))</f>
        <v>Working day</v>
      </c>
    </row>
    <row r="942" spans="1:24" x14ac:dyDescent="0.25">
      <c r="A942" s="32">
        <v>941</v>
      </c>
      <c r="B942" s="33">
        <v>40585</v>
      </c>
      <c r="C942" s="26">
        <v>1</v>
      </c>
      <c r="D942" s="26">
        <v>0</v>
      </c>
      <c r="E942" s="26">
        <v>2</v>
      </c>
      <c r="F942" s="26">
        <v>19</v>
      </c>
      <c r="G942" s="26" t="b">
        <v>0</v>
      </c>
      <c r="H942" s="26">
        <v>5</v>
      </c>
      <c r="I942" s="26">
        <v>1</v>
      </c>
      <c r="J942" s="26">
        <v>0.26</v>
      </c>
      <c r="K942" s="26">
        <v>0.30299999999999999</v>
      </c>
      <c r="L942" s="26">
        <v>0.33</v>
      </c>
      <c r="M942">
        <v>0</v>
      </c>
      <c r="N942" s="26">
        <v>7</v>
      </c>
      <c r="O942" s="26">
        <v>94</v>
      </c>
      <c r="P942" s="26">
        <v>101</v>
      </c>
      <c r="Q942" s="34" t="str">
        <f t="shared" si="42"/>
        <v>Clear</v>
      </c>
      <c r="R942" s="41" t="str">
        <f>IF(I942=1,"Normal",IF(I942=2,"Yellow Alert",IF(I942=3,"Orange Alert",IF(I942=4,"Red Alert"))))</f>
        <v>Normal</v>
      </c>
      <c r="S942" s="60">
        <f t="shared" si="43"/>
        <v>11</v>
      </c>
      <c r="T942" s="61">
        <f>MONTH(dataset_1!B:B)</f>
        <v>1</v>
      </c>
      <c r="U942" s="61">
        <f t="shared" si="44"/>
        <v>2011</v>
      </c>
      <c r="V942" s="59" t="str">
        <f>TEXT(F942/24,"H AM/PM")</f>
        <v>7 PM</v>
      </c>
      <c r="W942" s="59" t="str">
        <f>IF(H942=6,"Saturday",IF(H942=0,"Sunday",IF(H942=1,"Monday",IF(H942=2,"Tuesday",IF(H942=3,"Wednesday",IF(H942=4,"Thursday",IF(H942=5,"Friday")))))))</f>
        <v>Friday</v>
      </c>
      <c r="X942" s="59" t="str">
        <f>IF(G942=FALSE,"Working day", IF(G942=TRUE,"Holiday"))</f>
        <v>Working day</v>
      </c>
    </row>
    <row r="943" spans="1:24" x14ac:dyDescent="0.25">
      <c r="A943" s="32">
        <v>942</v>
      </c>
      <c r="B943" s="33">
        <v>40585</v>
      </c>
      <c r="C943" s="26">
        <v>1</v>
      </c>
      <c r="D943" s="26">
        <v>0</v>
      </c>
      <c r="E943" s="26">
        <v>2</v>
      </c>
      <c r="F943" s="26">
        <v>20</v>
      </c>
      <c r="G943" s="26" t="b">
        <v>0</v>
      </c>
      <c r="H943" s="26">
        <v>5</v>
      </c>
      <c r="I943" s="26">
        <v>1</v>
      </c>
      <c r="J943" s="26">
        <v>0.22</v>
      </c>
      <c r="K943" s="26">
        <v>0.2273</v>
      </c>
      <c r="L943" s="26">
        <v>0.55000000000000004</v>
      </c>
      <c r="M943">
        <v>0.1343</v>
      </c>
      <c r="N943" s="26">
        <v>2</v>
      </c>
      <c r="O943" s="26">
        <v>61</v>
      </c>
      <c r="P943" s="26">
        <v>63</v>
      </c>
      <c r="Q943" s="34" t="str">
        <f t="shared" si="42"/>
        <v>Clear</v>
      </c>
      <c r="R943" s="41" t="str">
        <f>IF(I943=1,"Normal",IF(I943=2,"Yellow Alert",IF(I943=3,"Orange Alert",IF(I943=4,"Red Alert"))))</f>
        <v>Normal</v>
      </c>
      <c r="S943" s="60">
        <f t="shared" si="43"/>
        <v>11</v>
      </c>
      <c r="T943" s="61">
        <f>MONTH(dataset_1!B:B)</f>
        <v>1</v>
      </c>
      <c r="U943" s="61">
        <f t="shared" si="44"/>
        <v>2011</v>
      </c>
      <c r="V943" s="59" t="str">
        <f>TEXT(F943/24,"H AM/PM")</f>
        <v>8 PM</v>
      </c>
      <c r="W943" s="59" t="str">
        <f>IF(H943=6,"Saturday",IF(H943=0,"Sunday",IF(H943=1,"Monday",IF(H943=2,"Tuesday",IF(H943=3,"Wednesday",IF(H943=4,"Thursday",IF(H943=5,"Friday")))))))</f>
        <v>Friday</v>
      </c>
      <c r="X943" s="59" t="str">
        <f>IF(G943=FALSE,"Working day", IF(G943=TRUE,"Holiday"))</f>
        <v>Working day</v>
      </c>
    </row>
    <row r="944" spans="1:24" x14ac:dyDescent="0.25">
      <c r="A944" s="32">
        <v>943</v>
      </c>
      <c r="B944" s="33">
        <v>40585</v>
      </c>
      <c r="C944" s="26">
        <v>1</v>
      </c>
      <c r="D944" s="26">
        <v>0</v>
      </c>
      <c r="E944" s="26">
        <v>2</v>
      </c>
      <c r="F944" s="26">
        <v>21</v>
      </c>
      <c r="G944" s="26" t="b">
        <v>0</v>
      </c>
      <c r="H944" s="26">
        <v>5</v>
      </c>
      <c r="I944" s="26">
        <v>1</v>
      </c>
      <c r="J944" s="26">
        <v>0.2</v>
      </c>
      <c r="K944" s="26">
        <v>0.21210000000000001</v>
      </c>
      <c r="L944" s="26">
        <v>0.59</v>
      </c>
      <c r="M944">
        <v>0.1343</v>
      </c>
      <c r="N944" s="26">
        <v>1</v>
      </c>
      <c r="O944" s="26">
        <v>46</v>
      </c>
      <c r="P944" s="26">
        <v>47</v>
      </c>
      <c r="Q944" s="34" t="str">
        <f t="shared" si="42"/>
        <v>Clear</v>
      </c>
      <c r="R944" s="41" t="str">
        <f>IF(I944=1,"Normal",IF(I944=2,"Yellow Alert",IF(I944=3,"Orange Alert",IF(I944=4,"Red Alert"))))</f>
        <v>Normal</v>
      </c>
      <c r="S944" s="60">
        <f t="shared" si="43"/>
        <v>11</v>
      </c>
      <c r="T944" s="61">
        <f>MONTH(dataset_1!B:B)</f>
        <v>1</v>
      </c>
      <c r="U944" s="61">
        <f t="shared" si="44"/>
        <v>2011</v>
      </c>
      <c r="V944" s="59" t="str">
        <f>TEXT(F944/24,"H AM/PM")</f>
        <v>9 PM</v>
      </c>
      <c r="W944" s="59" t="str">
        <f>IF(H944=6,"Saturday",IF(H944=0,"Sunday",IF(H944=1,"Monday",IF(H944=2,"Tuesday",IF(H944=3,"Wednesday",IF(H944=4,"Thursday",IF(H944=5,"Friday")))))))</f>
        <v>Friday</v>
      </c>
      <c r="X944" s="59" t="str">
        <f>IF(G944=FALSE,"Working day", IF(G944=TRUE,"Holiday"))</f>
        <v>Working day</v>
      </c>
    </row>
    <row r="945" spans="1:24" x14ac:dyDescent="0.25">
      <c r="A945" s="32">
        <v>944</v>
      </c>
      <c r="B945" s="33">
        <v>40585</v>
      </c>
      <c r="C945" s="26">
        <v>1</v>
      </c>
      <c r="D945" s="26">
        <v>0</v>
      </c>
      <c r="E945" s="26">
        <v>2</v>
      </c>
      <c r="F945" s="26">
        <v>22</v>
      </c>
      <c r="G945" s="26" t="b">
        <v>0</v>
      </c>
      <c r="H945" s="26">
        <v>5</v>
      </c>
      <c r="I945" s="26">
        <v>1</v>
      </c>
      <c r="J945" s="26">
        <v>0.2</v>
      </c>
      <c r="K945" s="26">
        <v>0.2273</v>
      </c>
      <c r="L945" s="26">
        <v>0.64</v>
      </c>
      <c r="M945">
        <v>8.9599999999999999E-2</v>
      </c>
      <c r="N945" s="26">
        <v>2</v>
      </c>
      <c r="O945" s="26">
        <v>41</v>
      </c>
      <c r="P945" s="26">
        <v>43</v>
      </c>
      <c r="Q945" s="34" t="str">
        <f t="shared" si="42"/>
        <v>Clear</v>
      </c>
      <c r="R945" s="41" t="str">
        <f>IF(I945=1,"Normal",IF(I945=2,"Yellow Alert",IF(I945=3,"Orange Alert",IF(I945=4,"Red Alert"))))</f>
        <v>Normal</v>
      </c>
      <c r="S945" s="60">
        <f t="shared" si="43"/>
        <v>11</v>
      </c>
      <c r="T945" s="61">
        <f>MONTH(dataset_1!B:B)</f>
        <v>1</v>
      </c>
      <c r="U945" s="61">
        <f t="shared" si="44"/>
        <v>2011</v>
      </c>
      <c r="V945" s="59" t="str">
        <f>TEXT(F945/24,"H AM/PM")</f>
        <v>10 PM</v>
      </c>
      <c r="W945" s="59" t="str">
        <f>IF(H945=6,"Saturday",IF(H945=0,"Sunday",IF(H945=1,"Monday",IF(H945=2,"Tuesday",IF(H945=3,"Wednesday",IF(H945=4,"Thursday",IF(H945=5,"Friday")))))))</f>
        <v>Friday</v>
      </c>
      <c r="X945" s="59" t="str">
        <f>IF(G945=FALSE,"Working day", IF(G945=TRUE,"Holiday"))</f>
        <v>Working day</v>
      </c>
    </row>
    <row r="946" spans="1:24" x14ac:dyDescent="0.25">
      <c r="A946" s="32">
        <v>945</v>
      </c>
      <c r="B946" s="33">
        <v>40585</v>
      </c>
      <c r="C946" s="26">
        <v>1</v>
      </c>
      <c r="D946" s="26">
        <v>0</v>
      </c>
      <c r="E946" s="26">
        <v>2</v>
      </c>
      <c r="F946" s="26">
        <v>23</v>
      </c>
      <c r="G946" s="26" t="b">
        <v>0</v>
      </c>
      <c r="H946" s="26">
        <v>5</v>
      </c>
      <c r="I946" s="26">
        <v>1</v>
      </c>
      <c r="J946" s="26">
        <v>0.18</v>
      </c>
      <c r="K946" s="26">
        <v>0.2424</v>
      </c>
      <c r="L946" s="26">
        <v>0.69</v>
      </c>
      <c r="M946">
        <v>0</v>
      </c>
      <c r="N946" s="26">
        <v>5</v>
      </c>
      <c r="O946" s="26">
        <v>48</v>
      </c>
      <c r="P946" s="26">
        <v>53</v>
      </c>
      <c r="Q946" s="34" t="str">
        <f t="shared" si="42"/>
        <v>Clear</v>
      </c>
      <c r="R946" s="41" t="str">
        <f>IF(I946=1,"Normal",IF(I946=2,"Yellow Alert",IF(I946=3,"Orange Alert",IF(I946=4,"Red Alert"))))</f>
        <v>Normal</v>
      </c>
      <c r="S946" s="60">
        <f t="shared" si="43"/>
        <v>11</v>
      </c>
      <c r="T946" s="61">
        <f>MONTH(dataset_1!B:B)</f>
        <v>1</v>
      </c>
      <c r="U946" s="61">
        <f t="shared" si="44"/>
        <v>2011</v>
      </c>
      <c r="V946" s="59" t="str">
        <f>TEXT(F946/24,"H AM/PM")</f>
        <v>11 PM</v>
      </c>
      <c r="W946" s="59" t="str">
        <f>IF(H946=6,"Saturday",IF(H946=0,"Sunday",IF(H946=1,"Monday",IF(H946=2,"Tuesday",IF(H946=3,"Wednesday",IF(H946=4,"Thursday",IF(H946=5,"Friday")))))))</f>
        <v>Friday</v>
      </c>
      <c r="X946" s="59" t="str">
        <f>IF(G946=FALSE,"Working day", IF(G946=TRUE,"Holiday"))</f>
        <v>Working day</v>
      </c>
    </row>
    <row r="947" spans="1:24" x14ac:dyDescent="0.25">
      <c r="A947" s="32">
        <v>946</v>
      </c>
      <c r="B947" s="33">
        <v>40586</v>
      </c>
      <c r="C947" s="26">
        <v>1</v>
      </c>
      <c r="D947" s="26">
        <v>0</v>
      </c>
      <c r="E947" s="26">
        <v>2</v>
      </c>
      <c r="F947" s="26">
        <v>0</v>
      </c>
      <c r="G947" s="26" t="b">
        <v>0</v>
      </c>
      <c r="H947" s="26">
        <v>6</v>
      </c>
      <c r="I947" s="26">
        <v>1</v>
      </c>
      <c r="J947" s="26">
        <v>0.16</v>
      </c>
      <c r="K947" s="26">
        <v>0.19700000000000001</v>
      </c>
      <c r="L947" s="26">
        <v>0.69</v>
      </c>
      <c r="M947">
        <v>8.9599999999999999E-2</v>
      </c>
      <c r="N947" s="26">
        <v>3</v>
      </c>
      <c r="O947" s="26">
        <v>27</v>
      </c>
      <c r="P947" s="26">
        <v>30</v>
      </c>
      <c r="Q947" s="34" t="str">
        <f t="shared" si="42"/>
        <v>Clear</v>
      </c>
      <c r="R947" s="41" t="str">
        <f>IF(I947=1,"Normal",IF(I947=2,"Yellow Alert",IF(I947=3,"Orange Alert",IF(I947=4,"Red Alert"))))</f>
        <v>Normal</v>
      </c>
      <c r="S947" s="60">
        <f t="shared" si="43"/>
        <v>12</v>
      </c>
      <c r="T947" s="61">
        <f>MONTH(dataset_1!B:B)</f>
        <v>1</v>
      </c>
      <c r="U947" s="61">
        <f t="shared" si="44"/>
        <v>2011</v>
      </c>
      <c r="V947" s="59" t="str">
        <f>TEXT(F947/24,"H AM/PM")</f>
        <v>12 AM</v>
      </c>
      <c r="W947" s="59" t="str">
        <f>IF(H947=6,"Saturday",IF(H947=0,"Sunday",IF(H947=1,"Monday",IF(H947=2,"Tuesday",IF(H947=3,"Wednesday",IF(H947=4,"Thursday",IF(H947=5,"Friday")))))))</f>
        <v>Saturday</v>
      </c>
      <c r="X947" s="59" t="str">
        <f>IF(G947=FALSE,"Working day", IF(G947=TRUE,"Holiday"))</f>
        <v>Working day</v>
      </c>
    </row>
    <row r="948" spans="1:24" x14ac:dyDescent="0.25">
      <c r="A948" s="32">
        <v>947</v>
      </c>
      <c r="B948" s="33">
        <v>40586</v>
      </c>
      <c r="C948" s="26">
        <v>1</v>
      </c>
      <c r="D948" s="26">
        <v>0</v>
      </c>
      <c r="E948" s="26">
        <v>2</v>
      </c>
      <c r="F948" s="26">
        <v>1</v>
      </c>
      <c r="G948" s="26" t="b">
        <v>0</v>
      </c>
      <c r="H948" s="26">
        <v>6</v>
      </c>
      <c r="I948" s="26">
        <v>1</v>
      </c>
      <c r="J948" s="26">
        <v>0.14000000000000001</v>
      </c>
      <c r="K948" s="26">
        <v>0.21210000000000001</v>
      </c>
      <c r="L948" s="26">
        <v>0.86</v>
      </c>
      <c r="M948">
        <v>0</v>
      </c>
      <c r="N948" s="26">
        <v>2</v>
      </c>
      <c r="O948" s="26">
        <v>22</v>
      </c>
      <c r="P948" s="26">
        <v>24</v>
      </c>
      <c r="Q948" s="34" t="str">
        <f t="shared" si="42"/>
        <v>Clear</v>
      </c>
      <c r="R948" s="41" t="str">
        <f>IF(I948=1,"Normal",IF(I948=2,"Yellow Alert",IF(I948=3,"Orange Alert",IF(I948=4,"Red Alert"))))</f>
        <v>Normal</v>
      </c>
      <c r="S948" s="60">
        <f t="shared" si="43"/>
        <v>12</v>
      </c>
      <c r="T948" s="61">
        <f>MONTH(dataset_1!B:B)</f>
        <v>1</v>
      </c>
      <c r="U948" s="61">
        <f t="shared" si="44"/>
        <v>2011</v>
      </c>
      <c r="V948" s="59" t="str">
        <f>TEXT(F948/24,"H AM/PM")</f>
        <v>1 AM</v>
      </c>
      <c r="W948" s="59" t="str">
        <f>IF(H948=6,"Saturday",IF(H948=0,"Sunday",IF(H948=1,"Monday",IF(H948=2,"Tuesday",IF(H948=3,"Wednesday",IF(H948=4,"Thursday",IF(H948=5,"Friday")))))))</f>
        <v>Saturday</v>
      </c>
      <c r="X948" s="59" t="str">
        <f>IF(G948=FALSE,"Working day", IF(G948=TRUE,"Holiday"))</f>
        <v>Working day</v>
      </c>
    </row>
    <row r="949" spans="1:24" x14ac:dyDescent="0.25">
      <c r="A949" s="32">
        <v>948</v>
      </c>
      <c r="B949" s="33">
        <v>40586</v>
      </c>
      <c r="C949" s="26">
        <v>1</v>
      </c>
      <c r="D949" s="26">
        <v>0</v>
      </c>
      <c r="E949" s="26">
        <v>2</v>
      </c>
      <c r="F949" s="26">
        <v>2</v>
      </c>
      <c r="G949" s="26" t="b">
        <v>0</v>
      </c>
      <c r="H949" s="26">
        <v>6</v>
      </c>
      <c r="I949" s="26">
        <v>1</v>
      </c>
      <c r="J949" s="26">
        <v>0.14000000000000001</v>
      </c>
      <c r="K949" s="26">
        <v>0.21210000000000001</v>
      </c>
      <c r="L949" s="26">
        <v>0.8</v>
      </c>
      <c r="M949">
        <v>0</v>
      </c>
      <c r="N949" s="26">
        <v>2</v>
      </c>
      <c r="O949" s="26">
        <v>13</v>
      </c>
      <c r="P949" s="26">
        <v>15</v>
      </c>
      <c r="Q949" s="34" t="str">
        <f t="shared" si="42"/>
        <v>Clear</v>
      </c>
      <c r="R949" s="41" t="str">
        <f>IF(I949=1,"Normal",IF(I949=2,"Yellow Alert",IF(I949=3,"Orange Alert",IF(I949=4,"Red Alert"))))</f>
        <v>Normal</v>
      </c>
      <c r="S949" s="60">
        <f t="shared" si="43"/>
        <v>12</v>
      </c>
      <c r="T949" s="61">
        <f>MONTH(dataset_1!B:B)</f>
        <v>1</v>
      </c>
      <c r="U949" s="61">
        <f t="shared" si="44"/>
        <v>2011</v>
      </c>
      <c r="V949" s="59" t="str">
        <f>TEXT(F949/24,"H AM/PM")</f>
        <v>2 AM</v>
      </c>
      <c r="W949" s="59" t="str">
        <f>IF(H949=6,"Saturday",IF(H949=0,"Sunday",IF(H949=1,"Monday",IF(H949=2,"Tuesday",IF(H949=3,"Wednesday",IF(H949=4,"Thursday",IF(H949=5,"Friday")))))))</f>
        <v>Saturday</v>
      </c>
      <c r="X949" s="59" t="str">
        <f>IF(G949=FALSE,"Working day", IF(G949=TRUE,"Holiday"))</f>
        <v>Working day</v>
      </c>
    </row>
    <row r="950" spans="1:24" x14ac:dyDescent="0.25">
      <c r="A950" s="32">
        <v>949</v>
      </c>
      <c r="B950" s="33">
        <v>40586</v>
      </c>
      <c r="C950" s="26">
        <v>1</v>
      </c>
      <c r="D950" s="26">
        <v>0</v>
      </c>
      <c r="E950" s="26">
        <v>2</v>
      </c>
      <c r="F950" s="26">
        <v>3</v>
      </c>
      <c r="G950" s="26" t="b">
        <v>0</v>
      </c>
      <c r="H950" s="26">
        <v>6</v>
      </c>
      <c r="I950" s="26">
        <v>1</v>
      </c>
      <c r="J950" s="26">
        <v>0.12</v>
      </c>
      <c r="K950" s="26">
        <v>0.19700000000000001</v>
      </c>
      <c r="L950" s="26">
        <v>0.8</v>
      </c>
      <c r="M950">
        <v>0</v>
      </c>
      <c r="N950" s="26">
        <v>3</v>
      </c>
      <c r="O950" s="26">
        <v>7</v>
      </c>
      <c r="P950" s="26">
        <v>10</v>
      </c>
      <c r="Q950" s="34" t="str">
        <f t="shared" si="42"/>
        <v>Clear</v>
      </c>
      <c r="R950" s="41" t="str">
        <f>IF(I950=1,"Normal",IF(I950=2,"Yellow Alert",IF(I950=3,"Orange Alert",IF(I950=4,"Red Alert"))))</f>
        <v>Normal</v>
      </c>
      <c r="S950" s="60">
        <f t="shared" si="43"/>
        <v>12</v>
      </c>
      <c r="T950" s="61">
        <f>MONTH(dataset_1!B:B)</f>
        <v>1</v>
      </c>
      <c r="U950" s="61">
        <f t="shared" si="44"/>
        <v>2011</v>
      </c>
      <c r="V950" s="59" t="str">
        <f>TEXT(F950/24,"H AM/PM")</f>
        <v>3 AM</v>
      </c>
      <c r="W950" s="59" t="str">
        <f>IF(H950=6,"Saturday",IF(H950=0,"Sunday",IF(H950=1,"Monday",IF(H950=2,"Tuesday",IF(H950=3,"Wednesday",IF(H950=4,"Thursday",IF(H950=5,"Friday")))))))</f>
        <v>Saturday</v>
      </c>
      <c r="X950" s="59" t="str">
        <f>IF(G950=FALSE,"Working day", IF(G950=TRUE,"Holiday"))</f>
        <v>Working day</v>
      </c>
    </row>
    <row r="951" spans="1:24" x14ac:dyDescent="0.25">
      <c r="A951" s="32">
        <v>950</v>
      </c>
      <c r="B951" s="33">
        <v>40586</v>
      </c>
      <c r="C951" s="26">
        <v>1</v>
      </c>
      <c r="D951" s="26">
        <v>0</v>
      </c>
      <c r="E951" s="26">
        <v>2</v>
      </c>
      <c r="F951" s="26">
        <v>4</v>
      </c>
      <c r="G951" s="26" t="b">
        <v>0</v>
      </c>
      <c r="H951" s="26">
        <v>6</v>
      </c>
      <c r="I951" s="26">
        <v>1</v>
      </c>
      <c r="J951" s="26">
        <v>0.12</v>
      </c>
      <c r="K951" s="26">
        <v>0.16669999999999999</v>
      </c>
      <c r="L951" s="26">
        <v>0.74</v>
      </c>
      <c r="M951">
        <v>8.9599999999999999E-2</v>
      </c>
      <c r="N951" s="26">
        <v>0</v>
      </c>
      <c r="O951" s="26">
        <v>4</v>
      </c>
      <c r="P951" s="26">
        <v>4</v>
      </c>
      <c r="Q951" s="34" t="str">
        <f t="shared" si="42"/>
        <v>Clear</v>
      </c>
      <c r="R951" s="41" t="str">
        <f>IF(I951=1,"Normal",IF(I951=2,"Yellow Alert",IF(I951=3,"Orange Alert",IF(I951=4,"Red Alert"))))</f>
        <v>Normal</v>
      </c>
      <c r="S951" s="60">
        <f t="shared" si="43"/>
        <v>12</v>
      </c>
      <c r="T951" s="61">
        <f>MONTH(dataset_1!B:B)</f>
        <v>1</v>
      </c>
      <c r="U951" s="61">
        <f t="shared" si="44"/>
        <v>2011</v>
      </c>
      <c r="V951" s="59" t="str">
        <f>TEXT(F951/24,"H AM/PM")</f>
        <v>4 AM</v>
      </c>
      <c r="W951" s="59" t="str">
        <f>IF(H951=6,"Saturday",IF(H951=0,"Sunday",IF(H951=1,"Monday",IF(H951=2,"Tuesday",IF(H951=3,"Wednesday",IF(H951=4,"Thursday",IF(H951=5,"Friday")))))))</f>
        <v>Saturday</v>
      </c>
      <c r="X951" s="59" t="str">
        <f>IF(G951=FALSE,"Working day", IF(G951=TRUE,"Holiday"))</f>
        <v>Working day</v>
      </c>
    </row>
    <row r="952" spans="1:24" x14ac:dyDescent="0.25">
      <c r="A952" s="32">
        <v>951</v>
      </c>
      <c r="B952" s="33">
        <v>40586</v>
      </c>
      <c r="C952" s="26">
        <v>1</v>
      </c>
      <c r="D952" s="26">
        <v>0</v>
      </c>
      <c r="E952" s="26">
        <v>2</v>
      </c>
      <c r="F952" s="26">
        <v>5</v>
      </c>
      <c r="G952" s="26" t="b">
        <v>0</v>
      </c>
      <c r="H952" s="26">
        <v>6</v>
      </c>
      <c r="I952" s="26">
        <v>1</v>
      </c>
      <c r="J952" s="26">
        <v>0.12</v>
      </c>
      <c r="K952" s="26">
        <v>0.16669999999999999</v>
      </c>
      <c r="L952" s="26">
        <v>0.74</v>
      </c>
      <c r="M952">
        <v>8.9599999999999999E-2</v>
      </c>
      <c r="N952" s="26">
        <v>0</v>
      </c>
      <c r="O952" s="26">
        <v>1</v>
      </c>
      <c r="P952" s="26">
        <v>1</v>
      </c>
      <c r="Q952" s="34" t="str">
        <f t="shared" si="42"/>
        <v>Clear</v>
      </c>
      <c r="R952" s="41" t="str">
        <f>IF(I952=1,"Normal",IF(I952=2,"Yellow Alert",IF(I952=3,"Orange Alert",IF(I952=4,"Red Alert"))))</f>
        <v>Normal</v>
      </c>
      <c r="S952" s="60">
        <f t="shared" si="43"/>
        <v>12</v>
      </c>
      <c r="T952" s="61">
        <f>MONTH(dataset_1!B:B)</f>
        <v>1</v>
      </c>
      <c r="U952" s="61">
        <f t="shared" si="44"/>
        <v>2011</v>
      </c>
      <c r="V952" s="59" t="str">
        <f>TEXT(F952/24,"H AM/PM")</f>
        <v>5 AM</v>
      </c>
      <c r="W952" s="59" t="str">
        <f>IF(H952=6,"Saturday",IF(H952=0,"Sunday",IF(H952=1,"Monday",IF(H952=2,"Tuesday",IF(H952=3,"Wednesday",IF(H952=4,"Thursday",IF(H952=5,"Friday")))))))</f>
        <v>Saturday</v>
      </c>
      <c r="X952" s="59" t="str">
        <f>IF(G952=FALSE,"Working day", IF(G952=TRUE,"Holiday"))</f>
        <v>Working day</v>
      </c>
    </row>
    <row r="953" spans="1:24" x14ac:dyDescent="0.25">
      <c r="A953" s="32">
        <v>952</v>
      </c>
      <c r="B953" s="33">
        <v>40586</v>
      </c>
      <c r="C953" s="26">
        <v>1</v>
      </c>
      <c r="D953" s="26">
        <v>0</v>
      </c>
      <c r="E953" s="26">
        <v>2</v>
      </c>
      <c r="F953" s="26">
        <v>6</v>
      </c>
      <c r="G953" s="26" t="b">
        <v>0</v>
      </c>
      <c r="H953" s="26">
        <v>6</v>
      </c>
      <c r="I953" s="26">
        <v>1</v>
      </c>
      <c r="J953" s="26">
        <v>0.12</v>
      </c>
      <c r="K953" s="26">
        <v>0.13639999999999999</v>
      </c>
      <c r="L953" s="26">
        <v>0.93</v>
      </c>
      <c r="M953">
        <v>0.19400000000000001</v>
      </c>
      <c r="N953" s="26">
        <v>1</v>
      </c>
      <c r="O953" s="26">
        <v>1</v>
      </c>
      <c r="P953" s="26">
        <v>2</v>
      </c>
      <c r="Q953" s="34" t="str">
        <f t="shared" si="42"/>
        <v>Clear</v>
      </c>
      <c r="R953" s="41" t="str">
        <f>IF(I953=1,"Normal",IF(I953=2,"Yellow Alert",IF(I953=3,"Orange Alert",IF(I953=4,"Red Alert"))))</f>
        <v>Normal</v>
      </c>
      <c r="S953" s="60">
        <f t="shared" si="43"/>
        <v>12</v>
      </c>
      <c r="T953" s="61">
        <f>MONTH(dataset_1!B:B)</f>
        <v>1</v>
      </c>
      <c r="U953" s="61">
        <f t="shared" si="44"/>
        <v>2011</v>
      </c>
      <c r="V953" s="59" t="str">
        <f>TEXT(F953/24,"H AM/PM")</f>
        <v>6 AM</v>
      </c>
      <c r="W953" s="59" t="str">
        <f>IF(H953=6,"Saturday",IF(H953=0,"Sunday",IF(H953=1,"Monday",IF(H953=2,"Tuesday",IF(H953=3,"Wednesday",IF(H953=4,"Thursday",IF(H953=5,"Friday")))))))</f>
        <v>Saturday</v>
      </c>
      <c r="X953" s="59" t="str">
        <f>IF(G953=FALSE,"Working day", IF(G953=TRUE,"Holiday"))</f>
        <v>Working day</v>
      </c>
    </row>
    <row r="954" spans="1:24" x14ac:dyDescent="0.25">
      <c r="A954" s="32">
        <v>953</v>
      </c>
      <c r="B954" s="33">
        <v>40586</v>
      </c>
      <c r="C954" s="26">
        <v>1</v>
      </c>
      <c r="D954" s="26">
        <v>0</v>
      </c>
      <c r="E954" s="26">
        <v>2</v>
      </c>
      <c r="F954" s="26">
        <v>7</v>
      </c>
      <c r="G954" s="26" t="b">
        <v>0</v>
      </c>
      <c r="H954" s="26">
        <v>6</v>
      </c>
      <c r="I954" s="26">
        <v>1</v>
      </c>
      <c r="J954" s="26">
        <v>0.12</v>
      </c>
      <c r="K954" s="26">
        <v>0.1515</v>
      </c>
      <c r="L954" s="26">
        <v>0.8</v>
      </c>
      <c r="M954">
        <v>0.1045</v>
      </c>
      <c r="N954" s="26">
        <v>2</v>
      </c>
      <c r="O954" s="26">
        <v>9</v>
      </c>
      <c r="P954" s="26">
        <v>11</v>
      </c>
      <c r="Q954" s="34" t="str">
        <f t="shared" si="42"/>
        <v>Clear</v>
      </c>
      <c r="R954" s="41" t="str">
        <f>IF(I954=1,"Normal",IF(I954=2,"Yellow Alert",IF(I954=3,"Orange Alert",IF(I954=4,"Red Alert"))))</f>
        <v>Normal</v>
      </c>
      <c r="S954" s="60">
        <f t="shared" si="43"/>
        <v>12</v>
      </c>
      <c r="T954" s="61">
        <f>MONTH(dataset_1!B:B)</f>
        <v>1</v>
      </c>
      <c r="U954" s="61">
        <f t="shared" si="44"/>
        <v>2011</v>
      </c>
      <c r="V954" s="59" t="str">
        <f>TEXT(F954/24,"H AM/PM")</f>
        <v>7 AM</v>
      </c>
      <c r="W954" s="59" t="str">
        <f>IF(H954=6,"Saturday",IF(H954=0,"Sunday",IF(H954=1,"Monday",IF(H954=2,"Tuesday",IF(H954=3,"Wednesday",IF(H954=4,"Thursday",IF(H954=5,"Friday")))))))</f>
        <v>Saturday</v>
      </c>
      <c r="X954" s="59" t="str">
        <f>IF(G954=FALSE,"Working day", IF(G954=TRUE,"Holiday"))</f>
        <v>Working day</v>
      </c>
    </row>
    <row r="955" spans="1:24" x14ac:dyDescent="0.25">
      <c r="A955" s="32">
        <v>954</v>
      </c>
      <c r="B955" s="33">
        <v>40586</v>
      </c>
      <c r="C955" s="26">
        <v>1</v>
      </c>
      <c r="D955" s="26">
        <v>0</v>
      </c>
      <c r="E955" s="26">
        <v>2</v>
      </c>
      <c r="F955" s="26">
        <v>8</v>
      </c>
      <c r="G955" s="26" t="b">
        <v>0</v>
      </c>
      <c r="H955" s="26">
        <v>6</v>
      </c>
      <c r="I955" s="26">
        <v>1</v>
      </c>
      <c r="J955" s="26">
        <v>0.14000000000000001</v>
      </c>
      <c r="K955" s="26">
        <v>0.1515</v>
      </c>
      <c r="L955" s="26">
        <v>0.86</v>
      </c>
      <c r="M955">
        <v>0.1343</v>
      </c>
      <c r="N955" s="26">
        <v>2</v>
      </c>
      <c r="O955" s="26">
        <v>28</v>
      </c>
      <c r="P955" s="26">
        <v>30</v>
      </c>
      <c r="Q955" s="34" t="str">
        <f t="shared" si="42"/>
        <v>Clear</v>
      </c>
      <c r="R955" s="41" t="str">
        <f>IF(I955=1,"Normal",IF(I955=2,"Yellow Alert",IF(I955=3,"Orange Alert",IF(I955=4,"Red Alert"))))</f>
        <v>Normal</v>
      </c>
      <c r="S955" s="60">
        <f t="shared" si="43"/>
        <v>12</v>
      </c>
      <c r="T955" s="61">
        <f>MONTH(dataset_1!B:B)</f>
        <v>1</v>
      </c>
      <c r="U955" s="61">
        <f t="shared" si="44"/>
        <v>2011</v>
      </c>
      <c r="V955" s="59" t="str">
        <f>TEXT(F955/24,"H AM/PM")</f>
        <v>8 AM</v>
      </c>
      <c r="W955" s="59" t="str">
        <f>IF(H955=6,"Saturday",IF(H955=0,"Sunday",IF(H955=1,"Monday",IF(H955=2,"Tuesday",IF(H955=3,"Wednesday",IF(H955=4,"Thursday",IF(H955=5,"Friday")))))))</f>
        <v>Saturday</v>
      </c>
      <c r="X955" s="59" t="str">
        <f>IF(G955=FALSE,"Working day", IF(G955=TRUE,"Holiday"))</f>
        <v>Working day</v>
      </c>
    </row>
    <row r="956" spans="1:24" x14ac:dyDescent="0.25">
      <c r="A956" s="32">
        <v>955</v>
      </c>
      <c r="B956" s="33">
        <v>40586</v>
      </c>
      <c r="C956" s="26">
        <v>1</v>
      </c>
      <c r="D956" s="26">
        <v>0</v>
      </c>
      <c r="E956" s="26">
        <v>2</v>
      </c>
      <c r="F956" s="26">
        <v>9</v>
      </c>
      <c r="G956" s="26" t="b">
        <v>0</v>
      </c>
      <c r="H956" s="26">
        <v>6</v>
      </c>
      <c r="I956" s="26">
        <v>1</v>
      </c>
      <c r="J956" s="26">
        <v>0.16</v>
      </c>
      <c r="K956" s="26">
        <v>0.18179999999999999</v>
      </c>
      <c r="L956" s="26">
        <v>0.64</v>
      </c>
      <c r="M956">
        <v>0.1343</v>
      </c>
      <c r="N956" s="26">
        <v>5</v>
      </c>
      <c r="O956" s="26">
        <v>38</v>
      </c>
      <c r="P956" s="26">
        <v>43</v>
      </c>
      <c r="Q956" s="34" t="str">
        <f t="shared" si="42"/>
        <v>Clear</v>
      </c>
      <c r="R956" s="41" t="str">
        <f>IF(I956=1,"Normal",IF(I956=2,"Yellow Alert",IF(I956=3,"Orange Alert",IF(I956=4,"Red Alert"))))</f>
        <v>Normal</v>
      </c>
      <c r="S956" s="60">
        <f t="shared" si="43"/>
        <v>12</v>
      </c>
      <c r="T956" s="61">
        <f>MONTH(dataset_1!B:B)</f>
        <v>1</v>
      </c>
      <c r="U956" s="61">
        <f t="shared" si="44"/>
        <v>2011</v>
      </c>
      <c r="V956" s="59" t="str">
        <f>TEXT(F956/24,"H AM/PM")</f>
        <v>9 AM</v>
      </c>
      <c r="W956" s="59" t="str">
        <f>IF(H956=6,"Saturday",IF(H956=0,"Sunday",IF(H956=1,"Monday",IF(H956=2,"Tuesday",IF(H956=3,"Wednesday",IF(H956=4,"Thursday",IF(H956=5,"Friday")))))))</f>
        <v>Saturday</v>
      </c>
      <c r="X956" s="59" t="str">
        <f>IF(G956=FALSE,"Working day", IF(G956=TRUE,"Holiday"))</f>
        <v>Working day</v>
      </c>
    </row>
    <row r="957" spans="1:24" x14ac:dyDescent="0.25">
      <c r="A957" s="32">
        <v>956</v>
      </c>
      <c r="B957" s="33">
        <v>40586</v>
      </c>
      <c r="C957" s="26">
        <v>1</v>
      </c>
      <c r="D957" s="26">
        <v>0</v>
      </c>
      <c r="E957" s="26">
        <v>2</v>
      </c>
      <c r="F957" s="26">
        <v>10</v>
      </c>
      <c r="G957" s="26" t="b">
        <v>0</v>
      </c>
      <c r="H957" s="26">
        <v>6</v>
      </c>
      <c r="I957" s="26">
        <v>1</v>
      </c>
      <c r="J957" s="26">
        <v>0.22</v>
      </c>
      <c r="K957" s="26">
        <v>0.21210000000000001</v>
      </c>
      <c r="L957" s="26">
        <v>0.41</v>
      </c>
      <c r="M957">
        <v>0.25369999999999998</v>
      </c>
      <c r="N957" s="26">
        <v>13</v>
      </c>
      <c r="O957" s="26">
        <v>71</v>
      </c>
      <c r="P957" s="26">
        <v>84</v>
      </c>
      <c r="Q957" s="34" t="str">
        <f t="shared" si="42"/>
        <v>Clear</v>
      </c>
      <c r="R957" s="41" t="str">
        <f>IF(I957=1,"Normal",IF(I957=2,"Yellow Alert",IF(I957=3,"Orange Alert",IF(I957=4,"Red Alert"))))</f>
        <v>Normal</v>
      </c>
      <c r="S957" s="60">
        <f t="shared" si="43"/>
        <v>12</v>
      </c>
      <c r="T957" s="61">
        <f>MONTH(dataset_1!B:B)</f>
        <v>1</v>
      </c>
      <c r="U957" s="61">
        <f t="shared" si="44"/>
        <v>2011</v>
      </c>
      <c r="V957" s="59" t="str">
        <f>TEXT(F957/24,"H AM/PM")</f>
        <v>10 AM</v>
      </c>
      <c r="W957" s="59" t="str">
        <f>IF(H957=6,"Saturday",IF(H957=0,"Sunday",IF(H957=1,"Monday",IF(H957=2,"Tuesday",IF(H957=3,"Wednesday",IF(H957=4,"Thursday",IF(H957=5,"Friday")))))))</f>
        <v>Saturday</v>
      </c>
      <c r="X957" s="59" t="str">
        <f>IF(G957=FALSE,"Working day", IF(G957=TRUE,"Holiday"))</f>
        <v>Working day</v>
      </c>
    </row>
    <row r="958" spans="1:24" x14ac:dyDescent="0.25">
      <c r="A958" s="32">
        <v>957</v>
      </c>
      <c r="B958" s="33">
        <v>40586</v>
      </c>
      <c r="C958" s="26">
        <v>1</v>
      </c>
      <c r="D958" s="26">
        <v>0</v>
      </c>
      <c r="E958" s="26">
        <v>2</v>
      </c>
      <c r="F958" s="26">
        <v>11</v>
      </c>
      <c r="G958" s="26" t="b">
        <v>0</v>
      </c>
      <c r="H958" s="26">
        <v>6</v>
      </c>
      <c r="I958" s="26">
        <v>1</v>
      </c>
      <c r="J958" s="26">
        <v>0.3</v>
      </c>
      <c r="K958" s="26">
        <v>0.2727</v>
      </c>
      <c r="L958" s="26">
        <v>0.28000000000000003</v>
      </c>
      <c r="M958">
        <v>0.32840000000000003</v>
      </c>
      <c r="N958" s="26">
        <v>30</v>
      </c>
      <c r="O958" s="26">
        <v>84</v>
      </c>
      <c r="P958" s="26">
        <v>114</v>
      </c>
      <c r="Q958" s="34" t="str">
        <f t="shared" si="42"/>
        <v>Clear</v>
      </c>
      <c r="R958" s="41" t="str">
        <f>IF(I958=1,"Normal",IF(I958=2,"Yellow Alert",IF(I958=3,"Orange Alert",IF(I958=4,"Red Alert"))))</f>
        <v>Normal</v>
      </c>
      <c r="S958" s="60">
        <f t="shared" si="43"/>
        <v>12</v>
      </c>
      <c r="T958" s="61">
        <f>MONTH(dataset_1!B:B)</f>
        <v>1</v>
      </c>
      <c r="U958" s="61">
        <f t="shared" si="44"/>
        <v>2011</v>
      </c>
      <c r="V958" s="59" t="str">
        <f>TEXT(F958/24,"H AM/PM")</f>
        <v>11 AM</v>
      </c>
      <c r="W958" s="59" t="str">
        <f>IF(H958=6,"Saturday",IF(H958=0,"Sunday",IF(H958=1,"Monday",IF(H958=2,"Tuesday",IF(H958=3,"Wednesday",IF(H958=4,"Thursday",IF(H958=5,"Friday")))))))</f>
        <v>Saturday</v>
      </c>
      <c r="X958" s="59" t="str">
        <f>IF(G958=FALSE,"Working day", IF(G958=TRUE,"Holiday"))</f>
        <v>Working day</v>
      </c>
    </row>
    <row r="959" spans="1:24" x14ac:dyDescent="0.25">
      <c r="A959" s="32">
        <v>958</v>
      </c>
      <c r="B959" s="33">
        <v>40586</v>
      </c>
      <c r="C959" s="26">
        <v>1</v>
      </c>
      <c r="D959" s="26">
        <v>0</v>
      </c>
      <c r="E959" s="26">
        <v>2</v>
      </c>
      <c r="F959" s="26">
        <v>12</v>
      </c>
      <c r="G959" s="26" t="b">
        <v>0</v>
      </c>
      <c r="H959" s="26">
        <v>6</v>
      </c>
      <c r="I959" s="26">
        <v>1</v>
      </c>
      <c r="J959" s="26">
        <v>0.3</v>
      </c>
      <c r="K959" s="26">
        <v>0.2727</v>
      </c>
      <c r="L959" s="26">
        <v>0.39</v>
      </c>
      <c r="M959">
        <v>0.4627</v>
      </c>
      <c r="N959" s="26">
        <v>27</v>
      </c>
      <c r="O959" s="26">
        <v>93</v>
      </c>
      <c r="P959" s="26">
        <v>120</v>
      </c>
      <c r="Q959" s="34" t="str">
        <f t="shared" si="42"/>
        <v>Clear</v>
      </c>
      <c r="R959" s="41" t="str">
        <f>IF(I959=1,"Normal",IF(I959=2,"Yellow Alert",IF(I959=3,"Orange Alert",IF(I959=4,"Red Alert"))))</f>
        <v>Normal</v>
      </c>
      <c r="S959" s="60">
        <f t="shared" si="43"/>
        <v>12</v>
      </c>
      <c r="T959" s="61">
        <f>MONTH(dataset_1!B:B)</f>
        <v>1</v>
      </c>
      <c r="U959" s="61">
        <f t="shared" si="44"/>
        <v>2011</v>
      </c>
      <c r="V959" s="59" t="str">
        <f>TEXT(F959/24,"H AM/PM")</f>
        <v>12 PM</v>
      </c>
      <c r="W959" s="59" t="str">
        <f>IF(H959=6,"Saturday",IF(H959=0,"Sunday",IF(H959=1,"Monday",IF(H959=2,"Tuesday",IF(H959=3,"Wednesday",IF(H959=4,"Thursday",IF(H959=5,"Friday")))))))</f>
        <v>Saturday</v>
      </c>
      <c r="X959" s="59" t="str">
        <f>IF(G959=FALSE,"Working day", IF(G959=TRUE,"Holiday"))</f>
        <v>Working day</v>
      </c>
    </row>
    <row r="960" spans="1:24" x14ac:dyDescent="0.25">
      <c r="A960" s="32">
        <v>959</v>
      </c>
      <c r="B960" s="33">
        <v>40586</v>
      </c>
      <c r="C960" s="26">
        <v>1</v>
      </c>
      <c r="D960" s="26">
        <v>0</v>
      </c>
      <c r="E960" s="26">
        <v>2</v>
      </c>
      <c r="F960" s="26">
        <v>13</v>
      </c>
      <c r="G960" s="26" t="b">
        <v>0</v>
      </c>
      <c r="H960" s="26">
        <v>6</v>
      </c>
      <c r="I960" s="26">
        <v>1</v>
      </c>
      <c r="J960" s="26">
        <v>0.3</v>
      </c>
      <c r="K960" s="26">
        <v>0.2727</v>
      </c>
      <c r="L960" s="26">
        <v>0.39</v>
      </c>
      <c r="M960">
        <v>0.41789999999999999</v>
      </c>
      <c r="N960" s="26">
        <v>32</v>
      </c>
      <c r="O960" s="26">
        <v>103</v>
      </c>
      <c r="P960" s="26">
        <v>135</v>
      </c>
      <c r="Q960" s="34" t="str">
        <f t="shared" si="42"/>
        <v>Clear</v>
      </c>
      <c r="R960" s="41" t="str">
        <f>IF(I960=1,"Normal",IF(I960=2,"Yellow Alert",IF(I960=3,"Orange Alert",IF(I960=4,"Red Alert"))))</f>
        <v>Normal</v>
      </c>
      <c r="S960" s="60">
        <f t="shared" si="43"/>
        <v>12</v>
      </c>
      <c r="T960" s="61">
        <f>MONTH(dataset_1!B:B)</f>
        <v>1</v>
      </c>
      <c r="U960" s="61">
        <f t="shared" si="44"/>
        <v>2011</v>
      </c>
      <c r="V960" s="59" t="str">
        <f>TEXT(F960/24,"H AM/PM")</f>
        <v>1 PM</v>
      </c>
      <c r="W960" s="59" t="str">
        <f>IF(H960=6,"Saturday",IF(H960=0,"Sunday",IF(H960=1,"Monday",IF(H960=2,"Tuesday",IF(H960=3,"Wednesday",IF(H960=4,"Thursday",IF(H960=5,"Friday")))))))</f>
        <v>Saturday</v>
      </c>
      <c r="X960" s="59" t="str">
        <f>IF(G960=FALSE,"Working day", IF(G960=TRUE,"Holiday"))</f>
        <v>Working day</v>
      </c>
    </row>
    <row r="961" spans="1:24" x14ac:dyDescent="0.25">
      <c r="A961" s="32">
        <v>960</v>
      </c>
      <c r="B961" s="33">
        <v>40586</v>
      </c>
      <c r="C961" s="26">
        <v>1</v>
      </c>
      <c r="D961" s="26">
        <v>0</v>
      </c>
      <c r="E961" s="26">
        <v>2</v>
      </c>
      <c r="F961" s="26">
        <v>14</v>
      </c>
      <c r="G961" s="26" t="b">
        <v>0</v>
      </c>
      <c r="H961" s="26">
        <v>6</v>
      </c>
      <c r="I961" s="26">
        <v>1</v>
      </c>
      <c r="J961" s="26">
        <v>0.34</v>
      </c>
      <c r="K961" s="26">
        <v>0.31819999999999998</v>
      </c>
      <c r="L961" s="26">
        <v>0.31</v>
      </c>
      <c r="M961">
        <v>0.28360000000000002</v>
      </c>
      <c r="N961" s="26">
        <v>30</v>
      </c>
      <c r="O961" s="26">
        <v>90</v>
      </c>
      <c r="P961" s="26">
        <v>120</v>
      </c>
      <c r="Q961" s="34" t="str">
        <f t="shared" si="42"/>
        <v>Clear</v>
      </c>
      <c r="R961" s="41" t="str">
        <f>IF(I961=1,"Normal",IF(I961=2,"Yellow Alert",IF(I961=3,"Orange Alert",IF(I961=4,"Red Alert"))))</f>
        <v>Normal</v>
      </c>
      <c r="S961" s="60">
        <f t="shared" si="43"/>
        <v>12</v>
      </c>
      <c r="T961" s="61">
        <f>MONTH(dataset_1!B:B)</f>
        <v>1</v>
      </c>
      <c r="U961" s="61">
        <f t="shared" si="44"/>
        <v>2011</v>
      </c>
      <c r="V961" s="59" t="str">
        <f>TEXT(F961/24,"H AM/PM")</f>
        <v>2 PM</v>
      </c>
      <c r="W961" s="59" t="str">
        <f>IF(H961=6,"Saturday",IF(H961=0,"Sunday",IF(H961=1,"Monday",IF(H961=2,"Tuesday",IF(H961=3,"Wednesday",IF(H961=4,"Thursday",IF(H961=5,"Friday")))))))</f>
        <v>Saturday</v>
      </c>
      <c r="X961" s="59" t="str">
        <f>IF(G961=FALSE,"Working day", IF(G961=TRUE,"Holiday"))</f>
        <v>Working day</v>
      </c>
    </row>
    <row r="962" spans="1:24" x14ac:dyDescent="0.25">
      <c r="A962" s="32">
        <v>961</v>
      </c>
      <c r="B962" s="33">
        <v>40586</v>
      </c>
      <c r="C962" s="26">
        <v>1</v>
      </c>
      <c r="D962" s="26">
        <v>0</v>
      </c>
      <c r="E962" s="26">
        <v>2</v>
      </c>
      <c r="F962" s="26">
        <v>15</v>
      </c>
      <c r="G962" s="26" t="b">
        <v>0</v>
      </c>
      <c r="H962" s="26">
        <v>6</v>
      </c>
      <c r="I962" s="26">
        <v>1</v>
      </c>
      <c r="J962" s="26">
        <v>0.34</v>
      </c>
      <c r="K962" s="26">
        <v>0.30299999999999999</v>
      </c>
      <c r="L962" s="26">
        <v>0.28999999999999998</v>
      </c>
      <c r="M962">
        <v>0.41789999999999999</v>
      </c>
      <c r="N962" s="26">
        <v>47</v>
      </c>
      <c r="O962" s="26">
        <v>127</v>
      </c>
      <c r="P962" s="26">
        <v>174</v>
      </c>
      <c r="Q962" s="34" t="str">
        <f t="shared" ref="Q962:Q1001" si="45">IF(I962=1,"Clear",IF(I962=2,"Cloudy",IF(I962=3,"Light Rain",IF(I962=4,"Heavy Rain"))))</f>
        <v>Clear</v>
      </c>
      <c r="R962" s="41" t="str">
        <f>IF(I962=1,"Normal",IF(I962=2,"Yellow Alert",IF(I962=3,"Orange Alert",IF(I962=4,"Red Alert"))))</f>
        <v>Normal</v>
      </c>
      <c r="S962" s="60">
        <f t="shared" ref="S962:S1001" si="46">DAY(B:B)</f>
        <v>12</v>
      </c>
      <c r="T962" s="61">
        <f>MONTH(dataset_1!B:B)</f>
        <v>1</v>
      </c>
      <c r="U962" s="61">
        <f t="shared" ref="U962:U1001" si="47">YEAR(B:B)</f>
        <v>2011</v>
      </c>
      <c r="V962" s="59" t="str">
        <f>TEXT(F962/24,"H AM/PM")</f>
        <v>3 PM</v>
      </c>
      <c r="W962" s="59" t="str">
        <f t="shared" ref="W962:W1001" si="48">IF(H962=6,"Saturday",IF(H962=0,"Sunday",IF(H962=1,"Monday",IF(H962=2,"Tuesday",IF(H962=3,"Wednesday",IF(H962=4,"Thursday",IF(H962=5,"Friday")))))))</f>
        <v>Saturday</v>
      </c>
      <c r="X962" s="59" t="str">
        <f t="shared" ref="X962:X1001" si="49">IF(G962=FALSE,"Working day", IF(G962=TRUE,"Holiday"))</f>
        <v>Working day</v>
      </c>
    </row>
    <row r="963" spans="1:24" x14ac:dyDescent="0.25">
      <c r="A963" s="32">
        <v>962</v>
      </c>
      <c r="B963" s="33">
        <v>40586</v>
      </c>
      <c r="C963" s="26">
        <v>1</v>
      </c>
      <c r="D963" s="26">
        <v>0</v>
      </c>
      <c r="E963" s="26">
        <v>2</v>
      </c>
      <c r="F963" s="26">
        <v>16</v>
      </c>
      <c r="G963" s="26" t="b">
        <v>0</v>
      </c>
      <c r="H963" s="26">
        <v>6</v>
      </c>
      <c r="I963" s="26">
        <v>1</v>
      </c>
      <c r="J963" s="26">
        <v>0.34</v>
      </c>
      <c r="K963" s="26">
        <v>0.30299999999999999</v>
      </c>
      <c r="L963" s="26">
        <v>0.28999999999999998</v>
      </c>
      <c r="M963">
        <v>0.41789999999999999</v>
      </c>
      <c r="N963" s="26">
        <v>42</v>
      </c>
      <c r="O963" s="26">
        <v>103</v>
      </c>
      <c r="P963" s="26">
        <v>145</v>
      </c>
      <c r="Q963" s="34" t="str">
        <f t="shared" si="45"/>
        <v>Clear</v>
      </c>
      <c r="R963" s="41" t="str">
        <f>IF(I963=1,"Normal",IF(I963=2,"Yellow Alert",IF(I963=3,"Orange Alert",IF(I963=4,"Red Alert"))))</f>
        <v>Normal</v>
      </c>
      <c r="S963" s="60">
        <f t="shared" si="46"/>
        <v>12</v>
      </c>
      <c r="T963" s="61">
        <f>MONTH(dataset_1!B:B)</f>
        <v>1</v>
      </c>
      <c r="U963" s="61">
        <f t="shared" si="47"/>
        <v>2011</v>
      </c>
      <c r="V963" s="59" t="str">
        <f t="shared" ref="V963:V1001" si="50">TEXT(F963/24,"H AM/PM")</f>
        <v>4 PM</v>
      </c>
      <c r="W963" s="59" t="str">
        <f t="shared" si="48"/>
        <v>Saturday</v>
      </c>
      <c r="X963" s="59" t="str">
        <f t="shared" si="49"/>
        <v>Working day</v>
      </c>
    </row>
    <row r="964" spans="1:24" x14ac:dyDescent="0.25">
      <c r="A964" s="32">
        <v>963</v>
      </c>
      <c r="B964" s="33">
        <v>40586</v>
      </c>
      <c r="C964" s="26">
        <v>1</v>
      </c>
      <c r="D964" s="26">
        <v>0</v>
      </c>
      <c r="E964" s="26">
        <v>2</v>
      </c>
      <c r="F964" s="26">
        <v>17</v>
      </c>
      <c r="G964" s="26" t="b">
        <v>0</v>
      </c>
      <c r="H964" s="26">
        <v>6</v>
      </c>
      <c r="I964" s="26">
        <v>1</v>
      </c>
      <c r="J964" s="26">
        <v>0.32</v>
      </c>
      <c r="K964" s="26">
        <v>0.28789999999999999</v>
      </c>
      <c r="L964" s="26">
        <v>0.31</v>
      </c>
      <c r="M964">
        <v>0.52239999999999998</v>
      </c>
      <c r="N964" s="26">
        <v>24</v>
      </c>
      <c r="O964" s="26">
        <v>113</v>
      </c>
      <c r="P964" s="26">
        <v>137</v>
      </c>
      <c r="Q964" s="34" t="str">
        <f t="shared" si="45"/>
        <v>Clear</v>
      </c>
      <c r="R964" s="41" t="str">
        <f>IF(I964=1,"Normal",IF(I964=2,"Yellow Alert",IF(I964=3,"Orange Alert",IF(I964=4,"Red Alert"))))</f>
        <v>Normal</v>
      </c>
      <c r="S964" s="60">
        <f t="shared" si="46"/>
        <v>12</v>
      </c>
      <c r="T964" s="61">
        <f>MONTH(dataset_1!B:B)</f>
        <v>1</v>
      </c>
      <c r="U964" s="61">
        <f t="shared" si="47"/>
        <v>2011</v>
      </c>
      <c r="V964" s="59" t="str">
        <f t="shared" si="50"/>
        <v>5 PM</v>
      </c>
      <c r="W964" s="59" t="str">
        <f t="shared" si="48"/>
        <v>Saturday</v>
      </c>
      <c r="X964" s="59" t="str">
        <f t="shared" si="49"/>
        <v>Working day</v>
      </c>
    </row>
    <row r="965" spans="1:24" x14ac:dyDescent="0.25">
      <c r="A965" s="32">
        <v>964</v>
      </c>
      <c r="B965" s="33">
        <v>40586</v>
      </c>
      <c r="C965" s="26">
        <v>1</v>
      </c>
      <c r="D965" s="26">
        <v>0</v>
      </c>
      <c r="E965" s="26">
        <v>2</v>
      </c>
      <c r="F965" s="26">
        <v>18</v>
      </c>
      <c r="G965" s="26" t="b">
        <v>0</v>
      </c>
      <c r="H965" s="26">
        <v>6</v>
      </c>
      <c r="I965" s="26">
        <v>1</v>
      </c>
      <c r="J965" s="26">
        <v>0.28000000000000003</v>
      </c>
      <c r="K965" s="26">
        <v>0.2576</v>
      </c>
      <c r="L965" s="26">
        <v>0.38</v>
      </c>
      <c r="M965">
        <v>0.32840000000000003</v>
      </c>
      <c r="N965" s="26">
        <v>4</v>
      </c>
      <c r="O965" s="26">
        <v>60</v>
      </c>
      <c r="P965" s="26">
        <v>64</v>
      </c>
      <c r="Q965" s="34" t="str">
        <f t="shared" si="45"/>
        <v>Clear</v>
      </c>
      <c r="R965" s="41" t="str">
        <f>IF(I965=1,"Normal",IF(I965=2,"Yellow Alert",IF(I965=3,"Orange Alert",IF(I965=4,"Red Alert"))))</f>
        <v>Normal</v>
      </c>
      <c r="S965" s="60">
        <f t="shared" si="46"/>
        <v>12</v>
      </c>
      <c r="T965" s="61">
        <f>MONTH(dataset_1!B:B)</f>
        <v>1</v>
      </c>
      <c r="U965" s="61">
        <f t="shared" si="47"/>
        <v>2011</v>
      </c>
      <c r="V965" s="59" t="str">
        <f t="shared" si="50"/>
        <v>6 PM</v>
      </c>
      <c r="W965" s="59" t="str">
        <f t="shared" si="48"/>
        <v>Saturday</v>
      </c>
      <c r="X965" s="59" t="str">
        <f t="shared" si="49"/>
        <v>Working day</v>
      </c>
    </row>
    <row r="966" spans="1:24" x14ac:dyDescent="0.25">
      <c r="A966" s="32">
        <v>965</v>
      </c>
      <c r="B966" s="33">
        <v>40586</v>
      </c>
      <c r="C966" s="26">
        <v>1</v>
      </c>
      <c r="D966" s="26">
        <v>0</v>
      </c>
      <c r="E966" s="26">
        <v>2</v>
      </c>
      <c r="F966" s="26">
        <v>19</v>
      </c>
      <c r="G966" s="26" t="b">
        <v>0</v>
      </c>
      <c r="H966" s="26">
        <v>6</v>
      </c>
      <c r="I966" s="26">
        <v>1</v>
      </c>
      <c r="J966" s="26">
        <v>0.28000000000000003</v>
      </c>
      <c r="K966" s="26">
        <v>0.2727</v>
      </c>
      <c r="L966" s="26">
        <v>0.38</v>
      </c>
      <c r="M966">
        <v>0.16420000000000001</v>
      </c>
      <c r="N966" s="26">
        <v>2</v>
      </c>
      <c r="O966" s="26">
        <v>39</v>
      </c>
      <c r="P966" s="26">
        <v>41</v>
      </c>
      <c r="Q966" s="34" t="str">
        <f t="shared" si="45"/>
        <v>Clear</v>
      </c>
      <c r="R966" s="41" t="str">
        <f>IF(I966=1,"Normal",IF(I966=2,"Yellow Alert",IF(I966=3,"Orange Alert",IF(I966=4,"Red Alert"))))</f>
        <v>Normal</v>
      </c>
      <c r="S966" s="60">
        <f t="shared" si="46"/>
        <v>12</v>
      </c>
      <c r="T966" s="61">
        <f>MONTH(dataset_1!B:B)</f>
        <v>1</v>
      </c>
      <c r="U966" s="61">
        <f t="shared" si="47"/>
        <v>2011</v>
      </c>
      <c r="V966" s="59" t="str">
        <f t="shared" si="50"/>
        <v>7 PM</v>
      </c>
      <c r="W966" s="59" t="str">
        <f t="shared" si="48"/>
        <v>Saturday</v>
      </c>
      <c r="X966" s="59" t="str">
        <f t="shared" si="49"/>
        <v>Working day</v>
      </c>
    </row>
    <row r="967" spans="1:24" x14ac:dyDescent="0.25">
      <c r="A967" s="32">
        <v>966</v>
      </c>
      <c r="B967" s="33">
        <v>40586</v>
      </c>
      <c r="C967" s="26">
        <v>1</v>
      </c>
      <c r="D967" s="26">
        <v>0</v>
      </c>
      <c r="E967" s="26">
        <v>2</v>
      </c>
      <c r="F967" s="26">
        <v>20</v>
      </c>
      <c r="G967" s="26" t="b">
        <v>0</v>
      </c>
      <c r="H967" s="26">
        <v>6</v>
      </c>
      <c r="I967" s="26">
        <v>1</v>
      </c>
      <c r="J967" s="26">
        <v>0.26</v>
      </c>
      <c r="K967" s="26">
        <v>0.2576</v>
      </c>
      <c r="L967" s="26">
        <v>0.41</v>
      </c>
      <c r="M967">
        <v>0.22389999999999999</v>
      </c>
      <c r="N967" s="26">
        <v>1</v>
      </c>
      <c r="O967" s="26">
        <v>39</v>
      </c>
      <c r="P967" s="26">
        <v>40</v>
      </c>
      <c r="Q967" s="34" t="str">
        <f t="shared" si="45"/>
        <v>Clear</v>
      </c>
      <c r="R967" s="41" t="str">
        <f>IF(I967=1,"Normal",IF(I967=2,"Yellow Alert",IF(I967=3,"Orange Alert",IF(I967=4,"Red Alert"))))</f>
        <v>Normal</v>
      </c>
      <c r="S967" s="60">
        <f t="shared" si="46"/>
        <v>12</v>
      </c>
      <c r="T967" s="61">
        <f>MONTH(dataset_1!B:B)</f>
        <v>1</v>
      </c>
      <c r="U967" s="61">
        <f t="shared" si="47"/>
        <v>2011</v>
      </c>
      <c r="V967" s="59" t="str">
        <f t="shared" si="50"/>
        <v>8 PM</v>
      </c>
      <c r="W967" s="59" t="str">
        <f t="shared" si="48"/>
        <v>Saturday</v>
      </c>
      <c r="X967" s="59" t="str">
        <f t="shared" si="49"/>
        <v>Working day</v>
      </c>
    </row>
    <row r="968" spans="1:24" x14ac:dyDescent="0.25">
      <c r="A968" s="32">
        <v>967</v>
      </c>
      <c r="B968" s="33">
        <v>40586</v>
      </c>
      <c r="C968" s="26">
        <v>1</v>
      </c>
      <c r="D968" s="26">
        <v>0</v>
      </c>
      <c r="E968" s="26">
        <v>2</v>
      </c>
      <c r="F968" s="26">
        <v>21</v>
      </c>
      <c r="G968" s="26" t="b">
        <v>0</v>
      </c>
      <c r="H968" s="26">
        <v>6</v>
      </c>
      <c r="I968" s="26">
        <v>1</v>
      </c>
      <c r="J968" s="26">
        <v>0.26</v>
      </c>
      <c r="K968" s="26">
        <v>0.30299999999999999</v>
      </c>
      <c r="L968" s="26">
        <v>0.41</v>
      </c>
      <c r="M968">
        <v>0</v>
      </c>
      <c r="N968" s="26">
        <v>9</v>
      </c>
      <c r="O968" s="26">
        <v>42</v>
      </c>
      <c r="P968" s="26">
        <v>51</v>
      </c>
      <c r="Q968" s="34" t="str">
        <f t="shared" si="45"/>
        <v>Clear</v>
      </c>
      <c r="R968" s="41" t="str">
        <f>IF(I968=1,"Normal",IF(I968=2,"Yellow Alert",IF(I968=3,"Orange Alert",IF(I968=4,"Red Alert"))))</f>
        <v>Normal</v>
      </c>
      <c r="S968" s="60">
        <f t="shared" si="46"/>
        <v>12</v>
      </c>
      <c r="T968" s="61">
        <f>MONTH(dataset_1!B:B)</f>
        <v>1</v>
      </c>
      <c r="U968" s="61">
        <f t="shared" si="47"/>
        <v>2011</v>
      </c>
      <c r="V968" s="59" t="str">
        <f t="shared" si="50"/>
        <v>9 PM</v>
      </c>
      <c r="W968" s="59" t="str">
        <f t="shared" si="48"/>
        <v>Saturday</v>
      </c>
      <c r="X968" s="59" t="str">
        <f t="shared" si="49"/>
        <v>Working day</v>
      </c>
    </row>
    <row r="969" spans="1:24" x14ac:dyDescent="0.25">
      <c r="A969" s="32">
        <v>968</v>
      </c>
      <c r="B969" s="33">
        <v>40586</v>
      </c>
      <c r="C969" s="26">
        <v>1</v>
      </c>
      <c r="D969" s="26">
        <v>0</v>
      </c>
      <c r="E969" s="26">
        <v>2</v>
      </c>
      <c r="F969" s="26">
        <v>22</v>
      </c>
      <c r="G969" s="26" t="b">
        <v>0</v>
      </c>
      <c r="H969" s="26">
        <v>6</v>
      </c>
      <c r="I969" s="26">
        <v>1</v>
      </c>
      <c r="J969" s="26">
        <v>0.24</v>
      </c>
      <c r="K969" s="26">
        <v>0.2576</v>
      </c>
      <c r="L969" s="26">
        <v>0.44</v>
      </c>
      <c r="M969">
        <v>8.9599999999999999E-2</v>
      </c>
      <c r="N969" s="26">
        <v>6</v>
      </c>
      <c r="O969" s="26">
        <v>39</v>
      </c>
      <c r="P969" s="26">
        <v>45</v>
      </c>
      <c r="Q969" s="34" t="str">
        <f t="shared" si="45"/>
        <v>Clear</v>
      </c>
      <c r="R969" s="41" t="str">
        <f>IF(I969=1,"Normal",IF(I969=2,"Yellow Alert",IF(I969=3,"Orange Alert",IF(I969=4,"Red Alert"))))</f>
        <v>Normal</v>
      </c>
      <c r="S969" s="60">
        <f t="shared" si="46"/>
        <v>12</v>
      </c>
      <c r="T969" s="61">
        <f>MONTH(dataset_1!B:B)</f>
        <v>1</v>
      </c>
      <c r="U969" s="61">
        <f t="shared" si="47"/>
        <v>2011</v>
      </c>
      <c r="V969" s="59" t="str">
        <f t="shared" si="50"/>
        <v>10 PM</v>
      </c>
      <c r="W969" s="59" t="str">
        <f t="shared" si="48"/>
        <v>Saturday</v>
      </c>
      <c r="X969" s="59" t="str">
        <f t="shared" si="49"/>
        <v>Working day</v>
      </c>
    </row>
    <row r="970" spans="1:24" x14ac:dyDescent="0.25">
      <c r="A970" s="32">
        <v>969</v>
      </c>
      <c r="B970" s="33">
        <v>40586</v>
      </c>
      <c r="C970" s="26">
        <v>1</v>
      </c>
      <c r="D970" s="26">
        <v>0</v>
      </c>
      <c r="E970" s="26">
        <v>2</v>
      </c>
      <c r="F970" s="26">
        <v>23</v>
      </c>
      <c r="G970" s="26" t="b">
        <v>0</v>
      </c>
      <c r="H970" s="26">
        <v>6</v>
      </c>
      <c r="I970" s="26">
        <v>1</v>
      </c>
      <c r="J970" s="26">
        <v>0.22</v>
      </c>
      <c r="K970" s="26">
        <v>0.2273</v>
      </c>
      <c r="L970" s="26">
        <v>0.51</v>
      </c>
      <c r="M970">
        <v>0.1343</v>
      </c>
      <c r="N970" s="26">
        <v>1</v>
      </c>
      <c r="O970" s="26">
        <v>31</v>
      </c>
      <c r="P970" s="26">
        <v>32</v>
      </c>
      <c r="Q970" s="34" t="str">
        <f t="shared" si="45"/>
        <v>Clear</v>
      </c>
      <c r="R970" s="41" t="str">
        <f>IF(I970=1,"Normal",IF(I970=2,"Yellow Alert",IF(I970=3,"Orange Alert",IF(I970=4,"Red Alert"))))</f>
        <v>Normal</v>
      </c>
      <c r="S970" s="60">
        <f t="shared" si="46"/>
        <v>12</v>
      </c>
      <c r="T970" s="61">
        <f>MONTH(dataset_1!B:B)</f>
        <v>1</v>
      </c>
      <c r="U970" s="61">
        <f t="shared" si="47"/>
        <v>2011</v>
      </c>
      <c r="V970" s="59" t="str">
        <f t="shared" si="50"/>
        <v>11 PM</v>
      </c>
      <c r="W970" s="59" t="str">
        <f t="shared" si="48"/>
        <v>Saturday</v>
      </c>
      <c r="X970" s="59" t="str">
        <f t="shared" si="49"/>
        <v>Working day</v>
      </c>
    </row>
    <row r="971" spans="1:24" x14ac:dyDescent="0.25">
      <c r="A971" s="32">
        <v>970</v>
      </c>
      <c r="B971" s="33">
        <v>40587</v>
      </c>
      <c r="C971" s="26">
        <v>1</v>
      </c>
      <c r="D971" s="26">
        <v>0</v>
      </c>
      <c r="E971" s="26">
        <v>2</v>
      </c>
      <c r="F971" s="26">
        <v>0</v>
      </c>
      <c r="G971" s="26" t="b">
        <v>0</v>
      </c>
      <c r="H971" s="26">
        <v>0</v>
      </c>
      <c r="I971" s="26">
        <v>1</v>
      </c>
      <c r="J971" s="26">
        <v>0.2</v>
      </c>
      <c r="K971" s="26">
        <v>0.2273</v>
      </c>
      <c r="L971" s="26">
        <v>0.64</v>
      </c>
      <c r="M971">
        <v>0.1045</v>
      </c>
      <c r="N971" s="26">
        <v>5</v>
      </c>
      <c r="O971" s="26">
        <v>34</v>
      </c>
      <c r="P971" s="26">
        <v>39</v>
      </c>
      <c r="Q971" s="34" t="str">
        <f t="shared" si="45"/>
        <v>Clear</v>
      </c>
      <c r="R971" s="41" t="str">
        <f>IF(I971=1,"Normal",IF(I971=2,"Yellow Alert",IF(I971=3,"Orange Alert",IF(I971=4,"Red Alert"))))</f>
        <v>Normal</v>
      </c>
      <c r="S971" s="60">
        <f t="shared" si="46"/>
        <v>13</v>
      </c>
      <c r="T971" s="61">
        <f>MONTH(dataset_1!B:B)</f>
        <v>1</v>
      </c>
      <c r="U971" s="61">
        <f t="shared" si="47"/>
        <v>2011</v>
      </c>
      <c r="V971" s="59" t="str">
        <f t="shared" si="50"/>
        <v>12 AM</v>
      </c>
      <c r="W971" s="59" t="str">
        <f t="shared" si="48"/>
        <v>Sunday</v>
      </c>
      <c r="X971" s="59" t="str">
        <f t="shared" si="49"/>
        <v>Working day</v>
      </c>
    </row>
    <row r="972" spans="1:24" x14ac:dyDescent="0.25">
      <c r="A972" s="32">
        <v>971</v>
      </c>
      <c r="B972" s="33">
        <v>40587</v>
      </c>
      <c r="C972" s="26">
        <v>1</v>
      </c>
      <c r="D972" s="26">
        <v>0</v>
      </c>
      <c r="E972" s="26">
        <v>2</v>
      </c>
      <c r="F972" s="26">
        <v>1</v>
      </c>
      <c r="G972" s="26" t="b">
        <v>0</v>
      </c>
      <c r="H972" s="26">
        <v>0</v>
      </c>
      <c r="I972" s="26">
        <v>1</v>
      </c>
      <c r="J972" s="26">
        <v>0.2</v>
      </c>
      <c r="K972" s="26">
        <v>0.2273</v>
      </c>
      <c r="L972" s="26">
        <v>0.59</v>
      </c>
      <c r="M972">
        <v>8.9599999999999999E-2</v>
      </c>
      <c r="N972" s="26">
        <v>1</v>
      </c>
      <c r="O972" s="26">
        <v>23</v>
      </c>
      <c r="P972" s="26">
        <v>24</v>
      </c>
      <c r="Q972" s="34" t="str">
        <f t="shared" si="45"/>
        <v>Clear</v>
      </c>
      <c r="R972" s="41" t="str">
        <f>IF(I972=1,"Normal",IF(I972=2,"Yellow Alert",IF(I972=3,"Orange Alert",IF(I972=4,"Red Alert"))))</f>
        <v>Normal</v>
      </c>
      <c r="S972" s="60">
        <f t="shared" si="46"/>
        <v>13</v>
      </c>
      <c r="T972" s="61">
        <f>MONTH(dataset_1!B:B)</f>
        <v>1</v>
      </c>
      <c r="U972" s="61">
        <f t="shared" si="47"/>
        <v>2011</v>
      </c>
      <c r="V972" s="59" t="str">
        <f t="shared" si="50"/>
        <v>1 AM</v>
      </c>
      <c r="W972" s="59" t="str">
        <f t="shared" si="48"/>
        <v>Sunday</v>
      </c>
      <c r="X972" s="59" t="str">
        <f t="shared" si="49"/>
        <v>Working day</v>
      </c>
    </row>
    <row r="973" spans="1:24" x14ac:dyDescent="0.25">
      <c r="A973" s="32">
        <v>972</v>
      </c>
      <c r="B973" s="33">
        <v>40587</v>
      </c>
      <c r="C973" s="26">
        <v>1</v>
      </c>
      <c r="D973" s="26">
        <v>0</v>
      </c>
      <c r="E973" s="26">
        <v>2</v>
      </c>
      <c r="F973" s="26">
        <v>2</v>
      </c>
      <c r="G973" s="26" t="b">
        <v>0</v>
      </c>
      <c r="H973" s="26">
        <v>0</v>
      </c>
      <c r="I973" s="26">
        <v>2</v>
      </c>
      <c r="J973" s="26">
        <v>0.2</v>
      </c>
      <c r="K973" s="26">
        <v>0.2273</v>
      </c>
      <c r="L973" s="26">
        <v>0.75</v>
      </c>
      <c r="M973">
        <v>8.9599999999999999E-2</v>
      </c>
      <c r="N973" s="26">
        <v>1</v>
      </c>
      <c r="O973" s="26">
        <v>19</v>
      </c>
      <c r="P973" s="26">
        <v>20</v>
      </c>
      <c r="Q973" s="34" t="str">
        <f t="shared" si="45"/>
        <v>Cloudy</v>
      </c>
      <c r="R973" s="41" t="str">
        <f>IF(I973=1,"Normal",IF(I973=2,"Yellow Alert",IF(I973=3,"Orange Alert",IF(I973=4,"Red Alert"))))</f>
        <v>Yellow Alert</v>
      </c>
      <c r="S973" s="60">
        <f t="shared" si="46"/>
        <v>13</v>
      </c>
      <c r="T973" s="61">
        <f>MONTH(dataset_1!B:B)</f>
        <v>1</v>
      </c>
      <c r="U973" s="61">
        <f t="shared" si="47"/>
        <v>2011</v>
      </c>
      <c r="V973" s="59" t="str">
        <f t="shared" si="50"/>
        <v>2 AM</v>
      </c>
      <c r="W973" s="59" t="str">
        <f t="shared" si="48"/>
        <v>Sunday</v>
      </c>
      <c r="X973" s="59" t="str">
        <f t="shared" si="49"/>
        <v>Working day</v>
      </c>
    </row>
    <row r="974" spans="1:24" x14ac:dyDescent="0.25">
      <c r="A974" s="32">
        <v>973</v>
      </c>
      <c r="B974" s="33">
        <v>40587</v>
      </c>
      <c r="C974" s="26">
        <v>1</v>
      </c>
      <c r="D974" s="26">
        <v>0</v>
      </c>
      <c r="E974" s="26">
        <v>2</v>
      </c>
      <c r="F974" s="26">
        <v>3</v>
      </c>
      <c r="G974" s="26" t="b">
        <v>0</v>
      </c>
      <c r="H974" s="26">
        <v>0</v>
      </c>
      <c r="I974" s="26">
        <v>2</v>
      </c>
      <c r="J974" s="26">
        <v>0.2</v>
      </c>
      <c r="K974" s="26">
        <v>0.2273</v>
      </c>
      <c r="L974" s="26">
        <v>0.69</v>
      </c>
      <c r="M974">
        <v>0.1045</v>
      </c>
      <c r="N974" s="26">
        <v>4</v>
      </c>
      <c r="O974" s="26">
        <v>8</v>
      </c>
      <c r="P974" s="26">
        <v>12</v>
      </c>
      <c r="Q974" s="34" t="str">
        <f t="shared" si="45"/>
        <v>Cloudy</v>
      </c>
      <c r="R974" s="41" t="str">
        <f>IF(I974=1,"Normal",IF(I974=2,"Yellow Alert",IF(I974=3,"Orange Alert",IF(I974=4,"Red Alert"))))</f>
        <v>Yellow Alert</v>
      </c>
      <c r="S974" s="60">
        <f t="shared" si="46"/>
        <v>13</v>
      </c>
      <c r="T974" s="61">
        <f>MONTH(dataset_1!B:B)</f>
        <v>1</v>
      </c>
      <c r="U974" s="61">
        <f t="shared" si="47"/>
        <v>2011</v>
      </c>
      <c r="V974" s="59" t="str">
        <f t="shared" si="50"/>
        <v>3 AM</v>
      </c>
      <c r="W974" s="59" t="str">
        <f t="shared" si="48"/>
        <v>Sunday</v>
      </c>
      <c r="X974" s="59" t="str">
        <f t="shared" si="49"/>
        <v>Working day</v>
      </c>
    </row>
    <row r="975" spans="1:24" x14ac:dyDescent="0.25">
      <c r="A975" s="32">
        <v>974</v>
      </c>
      <c r="B975" s="33">
        <v>40587</v>
      </c>
      <c r="C975" s="26">
        <v>1</v>
      </c>
      <c r="D975" s="26">
        <v>0</v>
      </c>
      <c r="E975" s="26">
        <v>2</v>
      </c>
      <c r="F975" s="26">
        <v>4</v>
      </c>
      <c r="G975" s="26" t="b">
        <v>0</v>
      </c>
      <c r="H975" s="26">
        <v>0</v>
      </c>
      <c r="I975" s="26">
        <v>2</v>
      </c>
      <c r="J975" s="26">
        <v>0.2</v>
      </c>
      <c r="K975" s="26">
        <v>0.21210000000000001</v>
      </c>
      <c r="L975" s="26">
        <v>0.69</v>
      </c>
      <c r="M975">
        <v>0.16420000000000001</v>
      </c>
      <c r="N975" s="26">
        <v>0</v>
      </c>
      <c r="O975" s="26">
        <v>2</v>
      </c>
      <c r="P975" s="26">
        <v>2</v>
      </c>
      <c r="Q975" s="34" t="str">
        <f t="shared" si="45"/>
        <v>Cloudy</v>
      </c>
      <c r="R975" s="41" t="str">
        <f>IF(I975=1,"Normal",IF(I975=2,"Yellow Alert",IF(I975=3,"Orange Alert",IF(I975=4,"Red Alert"))))</f>
        <v>Yellow Alert</v>
      </c>
      <c r="S975" s="60">
        <f t="shared" si="46"/>
        <v>13</v>
      </c>
      <c r="T975" s="61">
        <f>MONTH(dataset_1!B:B)</f>
        <v>1</v>
      </c>
      <c r="U975" s="61">
        <f t="shared" si="47"/>
        <v>2011</v>
      </c>
      <c r="V975" s="59" t="str">
        <f t="shared" si="50"/>
        <v>4 AM</v>
      </c>
      <c r="W975" s="59" t="str">
        <f t="shared" si="48"/>
        <v>Sunday</v>
      </c>
      <c r="X975" s="59" t="str">
        <f t="shared" si="49"/>
        <v>Working day</v>
      </c>
    </row>
    <row r="976" spans="1:24" x14ac:dyDescent="0.25">
      <c r="A976" s="32">
        <v>975</v>
      </c>
      <c r="B976" s="33">
        <v>40587</v>
      </c>
      <c r="C976" s="26">
        <v>1</v>
      </c>
      <c r="D976" s="26">
        <v>0</v>
      </c>
      <c r="E976" s="26">
        <v>2</v>
      </c>
      <c r="F976" s="26">
        <v>6</v>
      </c>
      <c r="G976" s="26" t="b">
        <v>0</v>
      </c>
      <c r="H976" s="26">
        <v>0</v>
      </c>
      <c r="I976" s="26">
        <v>2</v>
      </c>
      <c r="J976" s="26">
        <v>0.2</v>
      </c>
      <c r="K976" s="26">
        <v>0.21210000000000001</v>
      </c>
      <c r="L976" s="26">
        <v>0.69</v>
      </c>
      <c r="M976">
        <v>0.1343</v>
      </c>
      <c r="N976" s="26">
        <v>2</v>
      </c>
      <c r="O976" s="26">
        <v>3</v>
      </c>
      <c r="P976" s="26">
        <v>5</v>
      </c>
      <c r="Q976" s="34" t="str">
        <f t="shared" si="45"/>
        <v>Cloudy</v>
      </c>
      <c r="R976" s="41" t="str">
        <f>IF(I976=1,"Normal",IF(I976=2,"Yellow Alert",IF(I976=3,"Orange Alert",IF(I976=4,"Red Alert"))))</f>
        <v>Yellow Alert</v>
      </c>
      <c r="S976" s="60">
        <f t="shared" si="46"/>
        <v>13</v>
      </c>
      <c r="T976" s="61">
        <f>MONTH(dataset_1!B:B)</f>
        <v>1</v>
      </c>
      <c r="U976" s="61">
        <f t="shared" si="47"/>
        <v>2011</v>
      </c>
      <c r="V976" s="59" t="str">
        <f t="shared" si="50"/>
        <v>6 AM</v>
      </c>
      <c r="W976" s="59" t="str">
        <f t="shared" si="48"/>
        <v>Sunday</v>
      </c>
      <c r="X976" s="59" t="str">
        <f t="shared" si="49"/>
        <v>Working day</v>
      </c>
    </row>
    <row r="977" spans="1:24" x14ac:dyDescent="0.25">
      <c r="A977" s="32">
        <v>976</v>
      </c>
      <c r="B977" s="33">
        <v>40587</v>
      </c>
      <c r="C977" s="26">
        <v>1</v>
      </c>
      <c r="D977" s="26">
        <v>0</v>
      </c>
      <c r="E977" s="26">
        <v>2</v>
      </c>
      <c r="F977" s="26">
        <v>7</v>
      </c>
      <c r="G977" s="26" t="b">
        <v>0</v>
      </c>
      <c r="H977" s="26">
        <v>0</v>
      </c>
      <c r="I977" s="26">
        <v>2</v>
      </c>
      <c r="J977" s="26">
        <v>0.22</v>
      </c>
      <c r="K977" s="26">
        <v>0.2727</v>
      </c>
      <c r="L977" s="26">
        <v>0.55000000000000004</v>
      </c>
      <c r="M977">
        <v>0</v>
      </c>
      <c r="N977" s="26">
        <v>0</v>
      </c>
      <c r="O977" s="26">
        <v>3</v>
      </c>
      <c r="P977" s="26">
        <v>3</v>
      </c>
      <c r="Q977" s="34" t="str">
        <f t="shared" si="45"/>
        <v>Cloudy</v>
      </c>
      <c r="R977" s="41" t="str">
        <f>IF(I977=1,"Normal",IF(I977=2,"Yellow Alert",IF(I977=3,"Orange Alert",IF(I977=4,"Red Alert"))))</f>
        <v>Yellow Alert</v>
      </c>
      <c r="S977" s="60">
        <f t="shared" si="46"/>
        <v>13</v>
      </c>
      <c r="T977" s="61">
        <f>MONTH(dataset_1!B:B)</f>
        <v>1</v>
      </c>
      <c r="U977" s="61">
        <f t="shared" si="47"/>
        <v>2011</v>
      </c>
      <c r="V977" s="59" t="str">
        <f t="shared" si="50"/>
        <v>7 AM</v>
      </c>
      <c r="W977" s="59" t="str">
        <f t="shared" si="48"/>
        <v>Sunday</v>
      </c>
      <c r="X977" s="59" t="str">
        <f t="shared" si="49"/>
        <v>Working day</v>
      </c>
    </row>
    <row r="978" spans="1:24" x14ac:dyDescent="0.25">
      <c r="A978" s="32">
        <v>977</v>
      </c>
      <c r="B978" s="33">
        <v>40587</v>
      </c>
      <c r="C978" s="26">
        <v>1</v>
      </c>
      <c r="D978" s="26">
        <v>0</v>
      </c>
      <c r="E978" s="26">
        <v>2</v>
      </c>
      <c r="F978" s="26">
        <v>8</v>
      </c>
      <c r="G978" s="26" t="b">
        <v>0</v>
      </c>
      <c r="H978" s="26">
        <v>0</v>
      </c>
      <c r="I978" s="26">
        <v>2</v>
      </c>
      <c r="J978" s="26">
        <v>0.22</v>
      </c>
      <c r="K978" s="26">
        <v>0.2273</v>
      </c>
      <c r="L978" s="26">
        <v>0.64</v>
      </c>
      <c r="M978">
        <v>0.19400000000000001</v>
      </c>
      <c r="N978" s="26">
        <v>1</v>
      </c>
      <c r="O978" s="26">
        <v>11</v>
      </c>
      <c r="P978" s="26">
        <v>12</v>
      </c>
      <c r="Q978" s="34" t="str">
        <f t="shared" si="45"/>
        <v>Cloudy</v>
      </c>
      <c r="R978" s="41" t="str">
        <f>IF(I978=1,"Normal",IF(I978=2,"Yellow Alert",IF(I978=3,"Orange Alert",IF(I978=4,"Red Alert"))))</f>
        <v>Yellow Alert</v>
      </c>
      <c r="S978" s="60">
        <f t="shared" si="46"/>
        <v>13</v>
      </c>
      <c r="T978" s="61">
        <f>MONTH(dataset_1!B:B)</f>
        <v>1</v>
      </c>
      <c r="U978" s="61">
        <f t="shared" si="47"/>
        <v>2011</v>
      </c>
      <c r="V978" s="59" t="str">
        <f t="shared" si="50"/>
        <v>8 AM</v>
      </c>
      <c r="W978" s="59" t="str">
        <f t="shared" si="48"/>
        <v>Sunday</v>
      </c>
      <c r="X978" s="59" t="str">
        <f t="shared" si="49"/>
        <v>Working day</v>
      </c>
    </row>
    <row r="979" spans="1:24" x14ac:dyDescent="0.25">
      <c r="A979" s="32">
        <v>978</v>
      </c>
      <c r="B979" s="33">
        <v>40587</v>
      </c>
      <c r="C979" s="26">
        <v>1</v>
      </c>
      <c r="D979" s="26">
        <v>0</v>
      </c>
      <c r="E979" s="26">
        <v>2</v>
      </c>
      <c r="F979" s="26">
        <v>9</v>
      </c>
      <c r="G979" s="26" t="b">
        <v>0</v>
      </c>
      <c r="H979" s="26">
        <v>0</v>
      </c>
      <c r="I979" s="26">
        <v>2</v>
      </c>
      <c r="J979" s="26">
        <v>0.24</v>
      </c>
      <c r="K979" s="26">
        <v>0.2273</v>
      </c>
      <c r="L979" s="26">
        <v>0.6</v>
      </c>
      <c r="M979">
        <v>0.22389999999999999</v>
      </c>
      <c r="N979" s="26">
        <v>12</v>
      </c>
      <c r="O979" s="26">
        <v>35</v>
      </c>
      <c r="P979" s="26">
        <v>47</v>
      </c>
      <c r="Q979" s="34" t="str">
        <f t="shared" si="45"/>
        <v>Cloudy</v>
      </c>
      <c r="R979" s="41" t="str">
        <f>IF(I979=1,"Normal",IF(I979=2,"Yellow Alert",IF(I979=3,"Orange Alert",IF(I979=4,"Red Alert"))))</f>
        <v>Yellow Alert</v>
      </c>
      <c r="S979" s="60">
        <f t="shared" si="46"/>
        <v>13</v>
      </c>
      <c r="T979" s="61">
        <f>MONTH(dataset_1!B:B)</f>
        <v>1</v>
      </c>
      <c r="U979" s="61">
        <f t="shared" si="47"/>
        <v>2011</v>
      </c>
      <c r="V979" s="59" t="str">
        <f t="shared" si="50"/>
        <v>9 AM</v>
      </c>
      <c r="W979" s="59" t="str">
        <f t="shared" si="48"/>
        <v>Sunday</v>
      </c>
      <c r="X979" s="59" t="str">
        <f t="shared" si="49"/>
        <v>Working day</v>
      </c>
    </row>
    <row r="980" spans="1:24" x14ac:dyDescent="0.25">
      <c r="A980" s="32">
        <v>979</v>
      </c>
      <c r="B980" s="33">
        <v>40587</v>
      </c>
      <c r="C980" s="26">
        <v>1</v>
      </c>
      <c r="D980" s="26">
        <v>0</v>
      </c>
      <c r="E980" s="26">
        <v>2</v>
      </c>
      <c r="F980" s="26">
        <v>10</v>
      </c>
      <c r="G980" s="26" t="b">
        <v>0</v>
      </c>
      <c r="H980" s="26">
        <v>0</v>
      </c>
      <c r="I980" s="26">
        <v>1</v>
      </c>
      <c r="J980" s="26">
        <v>0.3</v>
      </c>
      <c r="K980" s="26">
        <v>0.2727</v>
      </c>
      <c r="L980" s="26">
        <v>0.45</v>
      </c>
      <c r="M980">
        <v>0.32840000000000003</v>
      </c>
      <c r="N980" s="26">
        <v>19</v>
      </c>
      <c r="O980" s="26">
        <v>86</v>
      </c>
      <c r="P980" s="26">
        <v>105</v>
      </c>
      <c r="Q980" s="34" t="str">
        <f t="shared" si="45"/>
        <v>Clear</v>
      </c>
      <c r="R980" s="41" t="str">
        <f>IF(I980=1,"Normal",IF(I980=2,"Yellow Alert",IF(I980=3,"Orange Alert",IF(I980=4,"Red Alert"))))</f>
        <v>Normal</v>
      </c>
      <c r="S980" s="60">
        <f t="shared" si="46"/>
        <v>13</v>
      </c>
      <c r="T980" s="61">
        <f>MONTH(dataset_1!B:B)</f>
        <v>1</v>
      </c>
      <c r="U980" s="61">
        <f t="shared" si="47"/>
        <v>2011</v>
      </c>
      <c r="V980" s="59" t="str">
        <f t="shared" si="50"/>
        <v>10 AM</v>
      </c>
      <c r="W980" s="59" t="str">
        <f t="shared" si="48"/>
        <v>Sunday</v>
      </c>
      <c r="X980" s="59" t="str">
        <f t="shared" si="49"/>
        <v>Working day</v>
      </c>
    </row>
    <row r="981" spans="1:24" x14ac:dyDescent="0.25">
      <c r="A981" s="32">
        <v>980</v>
      </c>
      <c r="B981" s="33">
        <v>40587</v>
      </c>
      <c r="C981" s="26">
        <v>1</v>
      </c>
      <c r="D981" s="26">
        <v>0</v>
      </c>
      <c r="E981" s="26">
        <v>2</v>
      </c>
      <c r="F981" s="26">
        <v>11</v>
      </c>
      <c r="G981" s="26" t="b">
        <v>0</v>
      </c>
      <c r="H981" s="26">
        <v>0</v>
      </c>
      <c r="I981" s="26">
        <v>1</v>
      </c>
      <c r="J981" s="26">
        <v>0.32</v>
      </c>
      <c r="K981" s="26">
        <v>0.28789999999999999</v>
      </c>
      <c r="L981" s="26">
        <v>0.39</v>
      </c>
      <c r="M981">
        <v>0.44779999999999998</v>
      </c>
      <c r="N981" s="26">
        <v>26</v>
      </c>
      <c r="O981" s="26">
        <v>86</v>
      </c>
      <c r="P981" s="26">
        <v>112</v>
      </c>
      <c r="Q981" s="34" t="str">
        <f t="shared" si="45"/>
        <v>Clear</v>
      </c>
      <c r="R981" s="41" t="str">
        <f>IF(I981=1,"Normal",IF(I981=2,"Yellow Alert",IF(I981=3,"Orange Alert",IF(I981=4,"Red Alert"))))</f>
        <v>Normal</v>
      </c>
      <c r="S981" s="60">
        <f t="shared" si="46"/>
        <v>13</v>
      </c>
      <c r="T981" s="61">
        <f>MONTH(dataset_1!B:B)</f>
        <v>1</v>
      </c>
      <c r="U981" s="61">
        <f t="shared" si="47"/>
        <v>2011</v>
      </c>
      <c r="V981" s="59" t="str">
        <f t="shared" si="50"/>
        <v>11 AM</v>
      </c>
      <c r="W981" s="59" t="str">
        <f t="shared" si="48"/>
        <v>Sunday</v>
      </c>
      <c r="X981" s="59" t="str">
        <f t="shared" si="49"/>
        <v>Working day</v>
      </c>
    </row>
    <row r="982" spans="1:24" x14ac:dyDescent="0.25">
      <c r="A982" s="32">
        <v>981</v>
      </c>
      <c r="B982" s="33">
        <v>40587</v>
      </c>
      <c r="C982" s="26">
        <v>1</v>
      </c>
      <c r="D982" s="26">
        <v>0</v>
      </c>
      <c r="E982" s="26">
        <v>2</v>
      </c>
      <c r="F982" s="26">
        <v>12</v>
      </c>
      <c r="G982" s="26" t="b">
        <v>0</v>
      </c>
      <c r="H982" s="26">
        <v>0</v>
      </c>
      <c r="I982" s="26">
        <v>1</v>
      </c>
      <c r="J982" s="26">
        <v>0.36</v>
      </c>
      <c r="K982" s="26">
        <v>0.31819999999999998</v>
      </c>
      <c r="L982" s="26">
        <v>0.32</v>
      </c>
      <c r="M982">
        <v>0.4627</v>
      </c>
      <c r="N982" s="26">
        <v>58</v>
      </c>
      <c r="O982" s="26">
        <v>94</v>
      </c>
      <c r="P982" s="26">
        <v>152</v>
      </c>
      <c r="Q982" s="34" t="str">
        <f t="shared" si="45"/>
        <v>Clear</v>
      </c>
      <c r="R982" s="41" t="str">
        <f>IF(I982=1,"Normal",IF(I982=2,"Yellow Alert",IF(I982=3,"Orange Alert",IF(I982=4,"Red Alert"))))</f>
        <v>Normal</v>
      </c>
      <c r="S982" s="60">
        <f t="shared" si="46"/>
        <v>13</v>
      </c>
      <c r="T982" s="61">
        <f>MONTH(dataset_1!B:B)</f>
        <v>1</v>
      </c>
      <c r="U982" s="61">
        <f t="shared" si="47"/>
        <v>2011</v>
      </c>
      <c r="V982" s="59" t="str">
        <f t="shared" si="50"/>
        <v>12 PM</v>
      </c>
      <c r="W982" s="59" t="str">
        <f t="shared" si="48"/>
        <v>Sunday</v>
      </c>
      <c r="X982" s="59" t="str">
        <f t="shared" si="49"/>
        <v>Working day</v>
      </c>
    </row>
    <row r="983" spans="1:24" x14ac:dyDescent="0.25">
      <c r="A983" s="32">
        <v>982</v>
      </c>
      <c r="B983" s="33">
        <v>40587</v>
      </c>
      <c r="C983" s="26">
        <v>1</v>
      </c>
      <c r="D983" s="26">
        <v>0</v>
      </c>
      <c r="E983" s="26">
        <v>2</v>
      </c>
      <c r="F983" s="26">
        <v>13</v>
      </c>
      <c r="G983" s="26" t="b">
        <v>0</v>
      </c>
      <c r="H983" s="26">
        <v>0</v>
      </c>
      <c r="I983" s="26">
        <v>1</v>
      </c>
      <c r="J983" s="26">
        <v>0.38</v>
      </c>
      <c r="K983" s="26">
        <v>0.39389999999999997</v>
      </c>
      <c r="L983" s="26">
        <v>0.28999999999999998</v>
      </c>
      <c r="M983">
        <v>0.35820000000000002</v>
      </c>
      <c r="N983" s="26">
        <v>62</v>
      </c>
      <c r="O983" s="26">
        <v>92</v>
      </c>
      <c r="P983" s="26">
        <v>154</v>
      </c>
      <c r="Q983" s="34" t="str">
        <f t="shared" si="45"/>
        <v>Clear</v>
      </c>
      <c r="R983" s="41" t="str">
        <f>IF(I983=1,"Normal",IF(I983=2,"Yellow Alert",IF(I983=3,"Orange Alert",IF(I983=4,"Red Alert"))))</f>
        <v>Normal</v>
      </c>
      <c r="S983" s="60">
        <f t="shared" si="46"/>
        <v>13</v>
      </c>
      <c r="T983" s="61">
        <f>MONTH(dataset_1!B:B)</f>
        <v>1</v>
      </c>
      <c r="U983" s="61">
        <f t="shared" si="47"/>
        <v>2011</v>
      </c>
      <c r="V983" s="59" t="str">
        <f t="shared" si="50"/>
        <v>1 PM</v>
      </c>
      <c r="W983" s="59" t="str">
        <f t="shared" si="48"/>
        <v>Sunday</v>
      </c>
      <c r="X983" s="59" t="str">
        <f t="shared" si="49"/>
        <v>Working day</v>
      </c>
    </row>
    <row r="984" spans="1:24" x14ac:dyDescent="0.25">
      <c r="A984" s="32">
        <v>983</v>
      </c>
      <c r="B984" s="33">
        <v>40587</v>
      </c>
      <c r="C984" s="26">
        <v>1</v>
      </c>
      <c r="D984" s="26">
        <v>0</v>
      </c>
      <c r="E984" s="26">
        <v>2</v>
      </c>
      <c r="F984" s="26">
        <v>14</v>
      </c>
      <c r="G984" s="26" t="b">
        <v>0</v>
      </c>
      <c r="H984" s="26">
        <v>0</v>
      </c>
      <c r="I984" s="26">
        <v>2</v>
      </c>
      <c r="J984" s="26">
        <v>0.4</v>
      </c>
      <c r="K984" s="26">
        <v>0.40910000000000002</v>
      </c>
      <c r="L984" s="26">
        <v>0.3</v>
      </c>
      <c r="M984">
        <v>0.41789999999999999</v>
      </c>
      <c r="N984" s="26">
        <v>51</v>
      </c>
      <c r="O984" s="26">
        <v>110</v>
      </c>
      <c r="P984" s="26">
        <v>161</v>
      </c>
      <c r="Q984" s="34" t="str">
        <f t="shared" si="45"/>
        <v>Cloudy</v>
      </c>
      <c r="R984" s="41" t="str">
        <f>IF(I984=1,"Normal",IF(I984=2,"Yellow Alert",IF(I984=3,"Orange Alert",IF(I984=4,"Red Alert"))))</f>
        <v>Yellow Alert</v>
      </c>
      <c r="S984" s="60">
        <f t="shared" si="46"/>
        <v>13</v>
      </c>
      <c r="T984" s="61">
        <f>MONTH(dataset_1!B:B)</f>
        <v>1</v>
      </c>
      <c r="U984" s="61">
        <f t="shared" si="47"/>
        <v>2011</v>
      </c>
      <c r="V984" s="59" t="str">
        <f t="shared" si="50"/>
        <v>2 PM</v>
      </c>
      <c r="W984" s="59" t="str">
        <f t="shared" si="48"/>
        <v>Sunday</v>
      </c>
      <c r="X984" s="59" t="str">
        <f t="shared" si="49"/>
        <v>Working day</v>
      </c>
    </row>
    <row r="985" spans="1:24" x14ac:dyDescent="0.25">
      <c r="A985" s="32">
        <v>984</v>
      </c>
      <c r="B985" s="33">
        <v>40587</v>
      </c>
      <c r="C985" s="26">
        <v>1</v>
      </c>
      <c r="D985" s="26">
        <v>0</v>
      </c>
      <c r="E985" s="26">
        <v>2</v>
      </c>
      <c r="F985" s="26">
        <v>15</v>
      </c>
      <c r="G985" s="26" t="b">
        <v>0</v>
      </c>
      <c r="H985" s="26">
        <v>0</v>
      </c>
      <c r="I985" s="26">
        <v>2</v>
      </c>
      <c r="J985" s="26">
        <v>0.4</v>
      </c>
      <c r="K985" s="26">
        <v>0.40910000000000002</v>
      </c>
      <c r="L985" s="26">
        <v>0.3</v>
      </c>
      <c r="M985">
        <v>0.29849999999999999</v>
      </c>
      <c r="N985" s="26">
        <v>40</v>
      </c>
      <c r="O985" s="26">
        <v>122</v>
      </c>
      <c r="P985" s="26">
        <v>162</v>
      </c>
      <c r="Q985" s="34" t="str">
        <f t="shared" si="45"/>
        <v>Cloudy</v>
      </c>
      <c r="R985" s="41" t="str">
        <f>IF(I985=1,"Normal",IF(I985=2,"Yellow Alert",IF(I985=3,"Orange Alert",IF(I985=4,"Red Alert"))))</f>
        <v>Yellow Alert</v>
      </c>
      <c r="S985" s="60">
        <f t="shared" si="46"/>
        <v>13</v>
      </c>
      <c r="T985" s="61">
        <f>MONTH(dataset_1!B:B)</f>
        <v>1</v>
      </c>
      <c r="U985" s="61">
        <f t="shared" si="47"/>
        <v>2011</v>
      </c>
      <c r="V985" s="59" t="str">
        <f t="shared" si="50"/>
        <v>3 PM</v>
      </c>
      <c r="W985" s="59" t="str">
        <f t="shared" si="48"/>
        <v>Sunday</v>
      </c>
      <c r="X985" s="59" t="str">
        <f t="shared" si="49"/>
        <v>Working day</v>
      </c>
    </row>
    <row r="986" spans="1:24" x14ac:dyDescent="0.25">
      <c r="A986" s="32">
        <v>985</v>
      </c>
      <c r="B986" s="33">
        <v>40587</v>
      </c>
      <c r="C986" s="26">
        <v>1</v>
      </c>
      <c r="D986" s="26">
        <v>0</v>
      </c>
      <c r="E986" s="26">
        <v>2</v>
      </c>
      <c r="F986" s="26">
        <v>16</v>
      </c>
      <c r="G986" s="26" t="b">
        <v>0</v>
      </c>
      <c r="H986" s="26">
        <v>0</v>
      </c>
      <c r="I986" s="26">
        <v>2</v>
      </c>
      <c r="J986" s="26">
        <v>0.42</v>
      </c>
      <c r="K986" s="26">
        <v>0.42420000000000002</v>
      </c>
      <c r="L986" s="26">
        <v>0.28000000000000003</v>
      </c>
      <c r="M986">
        <v>0.32840000000000003</v>
      </c>
      <c r="N986" s="26">
        <v>28</v>
      </c>
      <c r="O986" s="26">
        <v>106</v>
      </c>
      <c r="P986" s="26">
        <v>134</v>
      </c>
      <c r="Q986" s="34" t="str">
        <f t="shared" si="45"/>
        <v>Cloudy</v>
      </c>
      <c r="R986" s="41" t="str">
        <f>IF(I986=1,"Normal",IF(I986=2,"Yellow Alert",IF(I986=3,"Orange Alert",IF(I986=4,"Red Alert"))))</f>
        <v>Yellow Alert</v>
      </c>
      <c r="S986" s="60">
        <f t="shared" si="46"/>
        <v>13</v>
      </c>
      <c r="T986" s="61">
        <f>MONTH(dataset_1!B:B)</f>
        <v>1</v>
      </c>
      <c r="U986" s="61">
        <f t="shared" si="47"/>
        <v>2011</v>
      </c>
      <c r="V986" s="59" t="str">
        <f t="shared" si="50"/>
        <v>4 PM</v>
      </c>
      <c r="W986" s="59" t="str">
        <f t="shared" si="48"/>
        <v>Sunday</v>
      </c>
      <c r="X986" s="59" t="str">
        <f t="shared" si="49"/>
        <v>Working day</v>
      </c>
    </row>
    <row r="987" spans="1:24" x14ac:dyDescent="0.25">
      <c r="A987" s="32">
        <v>986</v>
      </c>
      <c r="B987" s="33">
        <v>40587</v>
      </c>
      <c r="C987" s="26">
        <v>1</v>
      </c>
      <c r="D987" s="26">
        <v>0</v>
      </c>
      <c r="E987" s="26">
        <v>2</v>
      </c>
      <c r="F987" s="26">
        <v>17</v>
      </c>
      <c r="G987" s="26" t="b">
        <v>0</v>
      </c>
      <c r="H987" s="26">
        <v>0</v>
      </c>
      <c r="I987" s="26">
        <v>1</v>
      </c>
      <c r="J987" s="26">
        <v>0.42</v>
      </c>
      <c r="K987" s="26">
        <v>0.42420000000000002</v>
      </c>
      <c r="L987" s="26">
        <v>0.28000000000000003</v>
      </c>
      <c r="M987">
        <v>0.32840000000000003</v>
      </c>
      <c r="N987" s="26">
        <v>30</v>
      </c>
      <c r="O987" s="26">
        <v>95</v>
      </c>
      <c r="P987" s="26">
        <v>125</v>
      </c>
      <c r="Q987" s="34" t="str">
        <f t="shared" si="45"/>
        <v>Clear</v>
      </c>
      <c r="R987" s="41" t="str">
        <f>IF(I987=1,"Normal",IF(I987=2,"Yellow Alert",IF(I987=3,"Orange Alert",IF(I987=4,"Red Alert"))))</f>
        <v>Normal</v>
      </c>
      <c r="S987" s="60">
        <f t="shared" si="46"/>
        <v>13</v>
      </c>
      <c r="T987" s="61">
        <f>MONTH(dataset_1!B:B)</f>
        <v>1</v>
      </c>
      <c r="U987" s="61">
        <f t="shared" si="47"/>
        <v>2011</v>
      </c>
      <c r="V987" s="59" t="str">
        <f t="shared" si="50"/>
        <v>5 PM</v>
      </c>
      <c r="W987" s="59" t="str">
        <f t="shared" si="48"/>
        <v>Sunday</v>
      </c>
      <c r="X987" s="59" t="str">
        <f t="shared" si="49"/>
        <v>Working day</v>
      </c>
    </row>
    <row r="988" spans="1:24" x14ac:dyDescent="0.25">
      <c r="A988" s="32">
        <v>987</v>
      </c>
      <c r="B988" s="33">
        <v>40587</v>
      </c>
      <c r="C988" s="26">
        <v>1</v>
      </c>
      <c r="D988" s="26">
        <v>0</v>
      </c>
      <c r="E988" s="26">
        <v>2</v>
      </c>
      <c r="F988" s="26">
        <v>18</v>
      </c>
      <c r="G988" s="26" t="b">
        <v>0</v>
      </c>
      <c r="H988" s="26">
        <v>0</v>
      </c>
      <c r="I988" s="26">
        <v>1</v>
      </c>
      <c r="J988" s="26">
        <v>0.4</v>
      </c>
      <c r="K988" s="26">
        <v>0.40910000000000002</v>
      </c>
      <c r="L988" s="26">
        <v>0.32</v>
      </c>
      <c r="M988">
        <v>0.29849999999999999</v>
      </c>
      <c r="N988" s="26">
        <v>17</v>
      </c>
      <c r="O988" s="26">
        <v>78</v>
      </c>
      <c r="P988" s="26">
        <v>95</v>
      </c>
      <c r="Q988" s="34" t="str">
        <f t="shared" si="45"/>
        <v>Clear</v>
      </c>
      <c r="R988" s="41" t="str">
        <f>IF(I988=1,"Normal",IF(I988=2,"Yellow Alert",IF(I988=3,"Orange Alert",IF(I988=4,"Red Alert"))))</f>
        <v>Normal</v>
      </c>
      <c r="S988" s="60">
        <f t="shared" si="46"/>
        <v>13</v>
      </c>
      <c r="T988" s="61">
        <f>MONTH(dataset_1!B:B)</f>
        <v>1</v>
      </c>
      <c r="U988" s="61">
        <f t="shared" si="47"/>
        <v>2011</v>
      </c>
      <c r="V988" s="59" t="str">
        <f t="shared" si="50"/>
        <v>6 PM</v>
      </c>
      <c r="W988" s="59" t="str">
        <f t="shared" si="48"/>
        <v>Sunday</v>
      </c>
      <c r="X988" s="59" t="str">
        <f t="shared" si="49"/>
        <v>Working day</v>
      </c>
    </row>
    <row r="989" spans="1:24" x14ac:dyDescent="0.25">
      <c r="A989" s="32">
        <v>988</v>
      </c>
      <c r="B989" s="33">
        <v>40587</v>
      </c>
      <c r="C989" s="26">
        <v>1</v>
      </c>
      <c r="D989" s="26">
        <v>0</v>
      </c>
      <c r="E989" s="26">
        <v>2</v>
      </c>
      <c r="F989" s="26">
        <v>19</v>
      </c>
      <c r="G989" s="26" t="b">
        <v>0</v>
      </c>
      <c r="H989" s="26">
        <v>0</v>
      </c>
      <c r="I989" s="26">
        <v>1</v>
      </c>
      <c r="J989" s="26">
        <v>0.4</v>
      </c>
      <c r="K989" s="26">
        <v>0.40910000000000002</v>
      </c>
      <c r="L989" s="26">
        <v>0.35</v>
      </c>
      <c r="M989">
        <v>0.28360000000000002</v>
      </c>
      <c r="N989" s="26">
        <v>11</v>
      </c>
      <c r="O989" s="26">
        <v>50</v>
      </c>
      <c r="P989" s="26">
        <v>61</v>
      </c>
      <c r="Q989" s="34" t="str">
        <f t="shared" si="45"/>
        <v>Clear</v>
      </c>
      <c r="R989" s="41" t="str">
        <f>IF(I989=1,"Normal",IF(I989=2,"Yellow Alert",IF(I989=3,"Orange Alert",IF(I989=4,"Red Alert"))))</f>
        <v>Normal</v>
      </c>
      <c r="S989" s="60">
        <f t="shared" si="46"/>
        <v>13</v>
      </c>
      <c r="T989" s="61">
        <f>MONTH(dataset_1!B:B)</f>
        <v>1</v>
      </c>
      <c r="U989" s="61">
        <f t="shared" si="47"/>
        <v>2011</v>
      </c>
      <c r="V989" s="59" t="str">
        <f t="shared" si="50"/>
        <v>7 PM</v>
      </c>
      <c r="W989" s="59" t="str">
        <f t="shared" si="48"/>
        <v>Sunday</v>
      </c>
      <c r="X989" s="59" t="str">
        <f t="shared" si="49"/>
        <v>Working day</v>
      </c>
    </row>
    <row r="990" spans="1:24" x14ac:dyDescent="0.25">
      <c r="A990" s="32">
        <v>989</v>
      </c>
      <c r="B990" s="33">
        <v>40587</v>
      </c>
      <c r="C990" s="26">
        <v>1</v>
      </c>
      <c r="D990" s="26">
        <v>0</v>
      </c>
      <c r="E990" s="26">
        <v>2</v>
      </c>
      <c r="F990" s="26">
        <v>20</v>
      </c>
      <c r="G990" s="26" t="b">
        <v>0</v>
      </c>
      <c r="H990" s="26">
        <v>0</v>
      </c>
      <c r="I990" s="26">
        <v>1</v>
      </c>
      <c r="J990" s="26">
        <v>0.4</v>
      </c>
      <c r="K990" s="26">
        <v>0.40910000000000002</v>
      </c>
      <c r="L990" s="26">
        <v>0.35</v>
      </c>
      <c r="M990">
        <v>0.32840000000000003</v>
      </c>
      <c r="N990" s="26">
        <v>15</v>
      </c>
      <c r="O990" s="26">
        <v>32</v>
      </c>
      <c r="P990" s="26">
        <v>47</v>
      </c>
      <c r="Q990" s="34" t="str">
        <f t="shared" si="45"/>
        <v>Clear</v>
      </c>
      <c r="R990" s="41" t="str">
        <f>IF(I990=1,"Normal",IF(I990=2,"Yellow Alert",IF(I990=3,"Orange Alert",IF(I990=4,"Red Alert"))))</f>
        <v>Normal</v>
      </c>
      <c r="S990" s="60">
        <f t="shared" si="46"/>
        <v>13</v>
      </c>
      <c r="T990" s="61">
        <f>MONTH(dataset_1!B:B)</f>
        <v>1</v>
      </c>
      <c r="U990" s="61">
        <f t="shared" si="47"/>
        <v>2011</v>
      </c>
      <c r="V990" s="59" t="str">
        <f t="shared" si="50"/>
        <v>8 PM</v>
      </c>
      <c r="W990" s="59" t="str">
        <f t="shared" si="48"/>
        <v>Sunday</v>
      </c>
      <c r="X990" s="59" t="str">
        <f t="shared" si="49"/>
        <v>Working day</v>
      </c>
    </row>
    <row r="991" spans="1:24" x14ac:dyDescent="0.25">
      <c r="A991" s="32">
        <v>990</v>
      </c>
      <c r="B991" s="33">
        <v>40587</v>
      </c>
      <c r="C991" s="26">
        <v>1</v>
      </c>
      <c r="D991" s="26">
        <v>0</v>
      </c>
      <c r="E991" s="26">
        <v>2</v>
      </c>
      <c r="F991" s="26">
        <v>21</v>
      </c>
      <c r="G991" s="26" t="b">
        <v>0</v>
      </c>
      <c r="H991" s="26">
        <v>0</v>
      </c>
      <c r="I991" s="26">
        <v>1</v>
      </c>
      <c r="J991" s="26">
        <v>0.4</v>
      </c>
      <c r="K991" s="26">
        <v>0.40910000000000002</v>
      </c>
      <c r="L991" s="26">
        <v>0.35</v>
      </c>
      <c r="M991">
        <v>0.35820000000000002</v>
      </c>
      <c r="N991" s="26">
        <v>6</v>
      </c>
      <c r="O991" s="26">
        <v>45</v>
      </c>
      <c r="P991" s="26">
        <v>51</v>
      </c>
      <c r="Q991" s="34" t="str">
        <f t="shared" si="45"/>
        <v>Clear</v>
      </c>
      <c r="R991" s="41" t="str">
        <f>IF(I991=1,"Normal",IF(I991=2,"Yellow Alert",IF(I991=3,"Orange Alert",IF(I991=4,"Red Alert"))))</f>
        <v>Normal</v>
      </c>
      <c r="S991" s="60">
        <f t="shared" si="46"/>
        <v>13</v>
      </c>
      <c r="T991" s="61">
        <f>MONTH(dataset_1!B:B)</f>
        <v>1</v>
      </c>
      <c r="U991" s="61">
        <f t="shared" si="47"/>
        <v>2011</v>
      </c>
      <c r="V991" s="59" t="str">
        <f t="shared" si="50"/>
        <v>9 PM</v>
      </c>
      <c r="W991" s="59" t="str">
        <f t="shared" si="48"/>
        <v>Sunday</v>
      </c>
      <c r="X991" s="59" t="str">
        <f t="shared" si="49"/>
        <v>Working day</v>
      </c>
    </row>
    <row r="992" spans="1:24" x14ac:dyDescent="0.25">
      <c r="A992" s="32">
        <v>991</v>
      </c>
      <c r="B992" s="33">
        <v>40587</v>
      </c>
      <c r="C992" s="26">
        <v>1</v>
      </c>
      <c r="D992" s="26">
        <v>0</v>
      </c>
      <c r="E992" s="26">
        <v>2</v>
      </c>
      <c r="F992" s="26">
        <v>22</v>
      </c>
      <c r="G992" s="26" t="b">
        <v>0</v>
      </c>
      <c r="H992" s="26">
        <v>0</v>
      </c>
      <c r="I992" s="26">
        <v>1</v>
      </c>
      <c r="J992" s="26">
        <v>0.4</v>
      </c>
      <c r="K992" s="26">
        <v>0.40910000000000002</v>
      </c>
      <c r="L992" s="26">
        <v>0.35</v>
      </c>
      <c r="M992">
        <v>0.29849999999999999</v>
      </c>
      <c r="N992" s="26">
        <v>5</v>
      </c>
      <c r="O992" s="26">
        <v>31</v>
      </c>
      <c r="P992" s="26">
        <v>36</v>
      </c>
      <c r="Q992" s="34" t="str">
        <f t="shared" si="45"/>
        <v>Clear</v>
      </c>
      <c r="R992" s="41" t="str">
        <f>IF(I992=1,"Normal",IF(I992=2,"Yellow Alert",IF(I992=3,"Orange Alert",IF(I992=4,"Red Alert"))))</f>
        <v>Normal</v>
      </c>
      <c r="S992" s="60">
        <f t="shared" si="46"/>
        <v>13</v>
      </c>
      <c r="T992" s="61">
        <f>MONTH(dataset_1!B:B)</f>
        <v>1</v>
      </c>
      <c r="U992" s="61">
        <f t="shared" si="47"/>
        <v>2011</v>
      </c>
      <c r="V992" s="59" t="str">
        <f t="shared" si="50"/>
        <v>10 PM</v>
      </c>
      <c r="W992" s="59" t="str">
        <f t="shared" si="48"/>
        <v>Sunday</v>
      </c>
      <c r="X992" s="59" t="str">
        <f t="shared" si="49"/>
        <v>Working day</v>
      </c>
    </row>
    <row r="993" spans="1:24" x14ac:dyDescent="0.25">
      <c r="A993" s="32">
        <v>992</v>
      </c>
      <c r="B993" s="33">
        <v>40587</v>
      </c>
      <c r="C993" s="26">
        <v>1</v>
      </c>
      <c r="D993" s="26">
        <v>0</v>
      </c>
      <c r="E993" s="26">
        <v>2</v>
      </c>
      <c r="F993" s="26">
        <v>23</v>
      </c>
      <c r="G993" s="26" t="b">
        <v>0</v>
      </c>
      <c r="H993" s="26">
        <v>0</v>
      </c>
      <c r="I993" s="26">
        <v>1</v>
      </c>
      <c r="J993" s="26">
        <v>0.4</v>
      </c>
      <c r="K993" s="26">
        <v>0.40910000000000002</v>
      </c>
      <c r="L993" s="26">
        <v>0.35</v>
      </c>
      <c r="M993">
        <v>0.35820000000000002</v>
      </c>
      <c r="N993" s="26">
        <v>3</v>
      </c>
      <c r="O993" s="26">
        <v>27</v>
      </c>
      <c r="P993" s="26">
        <v>30</v>
      </c>
      <c r="Q993" s="34" t="str">
        <f t="shared" si="45"/>
        <v>Clear</v>
      </c>
      <c r="R993" s="41" t="str">
        <f>IF(I993=1,"Normal",IF(I993=2,"Yellow Alert",IF(I993=3,"Orange Alert",IF(I993=4,"Red Alert"))))</f>
        <v>Normal</v>
      </c>
      <c r="S993" s="60">
        <f t="shared" si="46"/>
        <v>13</v>
      </c>
      <c r="T993" s="61">
        <f>MONTH(dataset_1!B:B)</f>
        <v>1</v>
      </c>
      <c r="U993" s="61">
        <f t="shared" si="47"/>
        <v>2011</v>
      </c>
      <c r="V993" s="59" t="str">
        <f t="shared" si="50"/>
        <v>11 PM</v>
      </c>
      <c r="W993" s="59" t="str">
        <f t="shared" si="48"/>
        <v>Sunday</v>
      </c>
      <c r="X993" s="59" t="str">
        <f t="shared" si="49"/>
        <v>Working day</v>
      </c>
    </row>
    <row r="994" spans="1:24" x14ac:dyDescent="0.25">
      <c r="A994" s="32">
        <v>993</v>
      </c>
      <c r="B994" s="33">
        <v>40588</v>
      </c>
      <c r="C994" s="26">
        <v>1</v>
      </c>
      <c r="D994" s="26">
        <v>0</v>
      </c>
      <c r="E994" s="26">
        <v>2</v>
      </c>
      <c r="F994" s="26">
        <v>0</v>
      </c>
      <c r="G994" s="26" t="b">
        <v>0</v>
      </c>
      <c r="H994" s="26">
        <v>1</v>
      </c>
      <c r="I994" s="26">
        <v>1</v>
      </c>
      <c r="J994" s="26">
        <v>0.38</v>
      </c>
      <c r="K994" s="26">
        <v>0.39389999999999997</v>
      </c>
      <c r="L994" s="26">
        <v>0.37</v>
      </c>
      <c r="M994">
        <v>0.35820000000000002</v>
      </c>
      <c r="N994" s="26">
        <v>3</v>
      </c>
      <c r="O994" s="26">
        <v>8</v>
      </c>
      <c r="P994" s="26">
        <v>11</v>
      </c>
      <c r="Q994" s="34" t="str">
        <f t="shared" si="45"/>
        <v>Clear</v>
      </c>
      <c r="R994" s="41" t="str">
        <f>IF(I994=1,"Normal",IF(I994=2,"Yellow Alert",IF(I994=3,"Orange Alert",IF(I994=4,"Red Alert"))))</f>
        <v>Normal</v>
      </c>
      <c r="S994" s="60">
        <f t="shared" si="46"/>
        <v>14</v>
      </c>
      <c r="T994" s="61">
        <f>MONTH(dataset_1!B:B)</f>
        <v>1</v>
      </c>
      <c r="U994" s="61">
        <f t="shared" si="47"/>
        <v>2011</v>
      </c>
      <c r="V994" s="59" t="str">
        <f t="shared" si="50"/>
        <v>12 AM</v>
      </c>
      <c r="W994" s="59" t="str">
        <f t="shared" si="48"/>
        <v>Monday</v>
      </c>
      <c r="X994" s="59" t="str">
        <f t="shared" si="49"/>
        <v>Working day</v>
      </c>
    </row>
    <row r="995" spans="1:24" x14ac:dyDescent="0.25">
      <c r="A995" s="32">
        <v>994</v>
      </c>
      <c r="B995" s="33">
        <v>40588</v>
      </c>
      <c r="C995" s="26">
        <v>1</v>
      </c>
      <c r="D995" s="26">
        <v>0</v>
      </c>
      <c r="E995" s="26">
        <v>2</v>
      </c>
      <c r="F995" s="26">
        <v>1</v>
      </c>
      <c r="G995" s="26" t="b">
        <v>0</v>
      </c>
      <c r="H995" s="26">
        <v>1</v>
      </c>
      <c r="I995" s="26">
        <v>1</v>
      </c>
      <c r="J995" s="26">
        <v>0.38</v>
      </c>
      <c r="K995" s="26">
        <v>0.39389999999999997</v>
      </c>
      <c r="L995" s="26">
        <v>0.37</v>
      </c>
      <c r="M995">
        <v>0.35820000000000002</v>
      </c>
      <c r="N995" s="26">
        <v>1</v>
      </c>
      <c r="O995" s="26">
        <v>6</v>
      </c>
      <c r="P995" s="26">
        <v>7</v>
      </c>
      <c r="Q995" s="34" t="str">
        <f t="shared" si="45"/>
        <v>Clear</v>
      </c>
      <c r="R995" s="41" t="str">
        <f>IF(I995=1,"Normal",IF(I995=2,"Yellow Alert",IF(I995=3,"Orange Alert",IF(I995=4,"Red Alert"))))</f>
        <v>Normal</v>
      </c>
      <c r="S995" s="60">
        <f t="shared" si="46"/>
        <v>14</v>
      </c>
      <c r="T995" s="61">
        <f>MONTH(dataset_1!B:B)</f>
        <v>1</v>
      </c>
      <c r="U995" s="61">
        <f t="shared" si="47"/>
        <v>2011</v>
      </c>
      <c r="V995" s="59" t="str">
        <f t="shared" si="50"/>
        <v>1 AM</v>
      </c>
      <c r="W995" s="59" t="str">
        <f t="shared" si="48"/>
        <v>Monday</v>
      </c>
      <c r="X995" s="59" t="str">
        <f t="shared" si="49"/>
        <v>Working day</v>
      </c>
    </row>
    <row r="996" spans="1:24" x14ac:dyDescent="0.25">
      <c r="A996" s="32">
        <v>995</v>
      </c>
      <c r="B996" s="33">
        <v>40588</v>
      </c>
      <c r="C996" s="26">
        <v>1</v>
      </c>
      <c r="D996" s="26">
        <v>0</v>
      </c>
      <c r="E996" s="26">
        <v>2</v>
      </c>
      <c r="F996" s="26">
        <v>2</v>
      </c>
      <c r="G996" s="26" t="b">
        <v>0</v>
      </c>
      <c r="H996" s="26">
        <v>1</v>
      </c>
      <c r="I996" s="26">
        <v>1</v>
      </c>
      <c r="J996" s="26">
        <v>0.36</v>
      </c>
      <c r="K996" s="26">
        <v>0.33329999999999999</v>
      </c>
      <c r="L996" s="26">
        <v>0.4</v>
      </c>
      <c r="M996">
        <v>0.29849999999999999</v>
      </c>
      <c r="N996" s="26">
        <v>0</v>
      </c>
      <c r="O996" s="26">
        <v>2</v>
      </c>
      <c r="P996" s="26">
        <v>2</v>
      </c>
      <c r="Q996" s="34" t="str">
        <f t="shared" si="45"/>
        <v>Clear</v>
      </c>
      <c r="R996" s="41" t="str">
        <f>IF(I996=1,"Normal",IF(I996=2,"Yellow Alert",IF(I996=3,"Orange Alert",IF(I996=4,"Red Alert"))))</f>
        <v>Normal</v>
      </c>
      <c r="S996" s="60">
        <f t="shared" si="46"/>
        <v>14</v>
      </c>
      <c r="T996" s="61">
        <f>MONTH(dataset_1!B:B)</f>
        <v>1</v>
      </c>
      <c r="U996" s="61">
        <f t="shared" si="47"/>
        <v>2011</v>
      </c>
      <c r="V996" s="59" t="str">
        <f t="shared" si="50"/>
        <v>2 AM</v>
      </c>
      <c r="W996" s="59" t="str">
        <f t="shared" si="48"/>
        <v>Monday</v>
      </c>
      <c r="X996" s="59" t="str">
        <f t="shared" si="49"/>
        <v>Working day</v>
      </c>
    </row>
    <row r="997" spans="1:24" x14ac:dyDescent="0.25">
      <c r="A997" s="32">
        <v>996</v>
      </c>
      <c r="B997" s="33">
        <v>40588</v>
      </c>
      <c r="C997" s="26">
        <v>1</v>
      </c>
      <c r="D997" s="26">
        <v>0</v>
      </c>
      <c r="E997" s="26">
        <v>2</v>
      </c>
      <c r="F997" s="26">
        <v>3</v>
      </c>
      <c r="G997" s="26" t="b">
        <v>0</v>
      </c>
      <c r="H997" s="26">
        <v>1</v>
      </c>
      <c r="I997" s="26">
        <v>1</v>
      </c>
      <c r="J997" s="26">
        <v>0.34</v>
      </c>
      <c r="K997" s="26">
        <v>0.31819999999999998</v>
      </c>
      <c r="L997" s="26">
        <v>0.46</v>
      </c>
      <c r="M997">
        <v>0.22389999999999999</v>
      </c>
      <c r="N997" s="26">
        <v>1</v>
      </c>
      <c r="O997" s="26">
        <v>1</v>
      </c>
      <c r="P997" s="26">
        <v>2</v>
      </c>
      <c r="Q997" s="34" t="str">
        <f t="shared" si="45"/>
        <v>Clear</v>
      </c>
      <c r="R997" s="41" t="str">
        <f>IF(I997=1,"Normal",IF(I997=2,"Yellow Alert",IF(I997=3,"Orange Alert",IF(I997=4,"Red Alert"))))</f>
        <v>Normal</v>
      </c>
      <c r="S997" s="60">
        <f t="shared" si="46"/>
        <v>14</v>
      </c>
      <c r="T997" s="61">
        <f>MONTH(dataset_1!B:B)</f>
        <v>1</v>
      </c>
      <c r="U997" s="61">
        <f t="shared" si="47"/>
        <v>2011</v>
      </c>
      <c r="V997" s="59" t="str">
        <f t="shared" si="50"/>
        <v>3 AM</v>
      </c>
      <c r="W997" s="59" t="str">
        <f t="shared" si="48"/>
        <v>Monday</v>
      </c>
      <c r="X997" s="59" t="str">
        <f t="shared" si="49"/>
        <v>Working day</v>
      </c>
    </row>
    <row r="998" spans="1:24" x14ac:dyDescent="0.25">
      <c r="A998" s="32">
        <v>997</v>
      </c>
      <c r="B998" s="33">
        <v>40588</v>
      </c>
      <c r="C998" s="26">
        <v>1</v>
      </c>
      <c r="D998" s="26">
        <v>0</v>
      </c>
      <c r="E998" s="26">
        <v>2</v>
      </c>
      <c r="F998" s="26">
        <v>4</v>
      </c>
      <c r="G998" s="26" t="b">
        <v>0</v>
      </c>
      <c r="H998" s="26">
        <v>1</v>
      </c>
      <c r="I998" s="26">
        <v>1</v>
      </c>
      <c r="J998" s="26">
        <v>0.32</v>
      </c>
      <c r="K998" s="26">
        <v>0.30299999999999999</v>
      </c>
      <c r="L998" s="26">
        <v>0.53</v>
      </c>
      <c r="M998">
        <v>0.28360000000000002</v>
      </c>
      <c r="N998" s="26">
        <v>0</v>
      </c>
      <c r="O998" s="26">
        <v>2</v>
      </c>
      <c r="P998" s="26">
        <v>2</v>
      </c>
      <c r="Q998" s="34" t="str">
        <f t="shared" si="45"/>
        <v>Clear</v>
      </c>
      <c r="R998" s="41" t="str">
        <f>IF(I998=1,"Normal",IF(I998=2,"Yellow Alert",IF(I998=3,"Orange Alert",IF(I998=4,"Red Alert"))))</f>
        <v>Normal</v>
      </c>
      <c r="S998" s="60">
        <f t="shared" si="46"/>
        <v>14</v>
      </c>
      <c r="T998" s="61">
        <f>MONTH(dataset_1!B:B)</f>
        <v>1</v>
      </c>
      <c r="U998" s="61">
        <f t="shared" si="47"/>
        <v>2011</v>
      </c>
      <c r="V998" s="59" t="str">
        <f t="shared" si="50"/>
        <v>4 AM</v>
      </c>
      <c r="W998" s="59" t="str">
        <f t="shared" si="48"/>
        <v>Monday</v>
      </c>
      <c r="X998" s="59" t="str">
        <f t="shared" si="49"/>
        <v>Working day</v>
      </c>
    </row>
    <row r="999" spans="1:24" x14ac:dyDescent="0.25">
      <c r="A999" s="32">
        <v>998</v>
      </c>
      <c r="B999" s="33">
        <v>40588</v>
      </c>
      <c r="C999" s="26">
        <v>1</v>
      </c>
      <c r="D999" s="26">
        <v>0</v>
      </c>
      <c r="E999" s="26">
        <v>2</v>
      </c>
      <c r="F999" s="26">
        <v>5</v>
      </c>
      <c r="G999" s="26" t="b">
        <v>0</v>
      </c>
      <c r="H999" s="26">
        <v>1</v>
      </c>
      <c r="I999" s="26">
        <v>1</v>
      </c>
      <c r="J999" s="26">
        <v>0.32</v>
      </c>
      <c r="K999" s="26">
        <v>0.30299999999999999</v>
      </c>
      <c r="L999" s="26">
        <v>0.53</v>
      </c>
      <c r="M999">
        <v>0.28360000000000002</v>
      </c>
      <c r="N999" s="26">
        <v>0</v>
      </c>
      <c r="O999" s="26">
        <v>3</v>
      </c>
      <c r="P999" s="26">
        <v>3</v>
      </c>
      <c r="Q999" s="34" t="str">
        <f t="shared" si="45"/>
        <v>Clear</v>
      </c>
      <c r="R999" s="41" t="str">
        <f>IF(I999=1,"Normal",IF(I999=2,"Yellow Alert",IF(I999=3,"Orange Alert",IF(I999=4,"Red Alert"))))</f>
        <v>Normal</v>
      </c>
      <c r="S999" s="60">
        <f t="shared" si="46"/>
        <v>14</v>
      </c>
      <c r="T999" s="61">
        <f>MONTH(dataset_1!B:B)</f>
        <v>1</v>
      </c>
      <c r="U999" s="61">
        <f t="shared" si="47"/>
        <v>2011</v>
      </c>
      <c r="V999" s="59" t="str">
        <f t="shared" si="50"/>
        <v>5 AM</v>
      </c>
      <c r="W999" s="59" t="str">
        <f t="shared" si="48"/>
        <v>Monday</v>
      </c>
      <c r="X999" s="59" t="str">
        <f t="shared" si="49"/>
        <v>Working day</v>
      </c>
    </row>
    <row r="1000" spans="1:24" x14ac:dyDescent="0.25">
      <c r="A1000" s="32">
        <v>999</v>
      </c>
      <c r="B1000" s="33">
        <v>40588</v>
      </c>
      <c r="C1000" s="26">
        <v>1</v>
      </c>
      <c r="D1000" s="26">
        <v>0</v>
      </c>
      <c r="E1000" s="26">
        <v>2</v>
      </c>
      <c r="F1000" s="26">
        <v>6</v>
      </c>
      <c r="G1000" s="26" t="b">
        <v>0</v>
      </c>
      <c r="H1000" s="26">
        <v>1</v>
      </c>
      <c r="I1000" s="26">
        <v>1</v>
      </c>
      <c r="J1000" s="26">
        <v>0.34</v>
      </c>
      <c r="K1000" s="26">
        <v>0.30299999999999999</v>
      </c>
      <c r="L1000" s="26">
        <v>0.46</v>
      </c>
      <c r="M1000">
        <v>0.29849999999999999</v>
      </c>
      <c r="N1000" s="26">
        <v>1</v>
      </c>
      <c r="O1000" s="26">
        <v>25</v>
      </c>
      <c r="P1000" s="26">
        <v>26</v>
      </c>
      <c r="Q1000" s="34" t="str">
        <f t="shared" si="45"/>
        <v>Clear</v>
      </c>
      <c r="R1000" s="41" t="str">
        <f>IF(I1000=1,"Normal",IF(I1000=2,"Yellow Alert",IF(I1000=3,"Orange Alert",IF(I1000=4,"Red Alert"))))</f>
        <v>Normal</v>
      </c>
      <c r="S1000" s="60">
        <f t="shared" si="46"/>
        <v>14</v>
      </c>
      <c r="T1000" s="61">
        <f>MONTH(dataset_1!B:B)</f>
        <v>1</v>
      </c>
      <c r="U1000" s="61">
        <f t="shared" si="47"/>
        <v>2011</v>
      </c>
      <c r="V1000" s="59" t="str">
        <f t="shared" si="50"/>
        <v>6 AM</v>
      </c>
      <c r="W1000" s="59" t="str">
        <f t="shared" si="48"/>
        <v>Monday</v>
      </c>
      <c r="X1000" s="59" t="str">
        <f t="shared" si="49"/>
        <v>Working day</v>
      </c>
    </row>
    <row r="1001" spans="1:24" x14ac:dyDescent="0.25">
      <c r="A1001" s="35">
        <v>1000</v>
      </c>
      <c r="B1001" s="36">
        <v>40588</v>
      </c>
      <c r="C1001" s="37">
        <v>1</v>
      </c>
      <c r="D1001" s="37">
        <v>0</v>
      </c>
      <c r="E1001" s="37">
        <v>2</v>
      </c>
      <c r="F1001" s="37">
        <v>7</v>
      </c>
      <c r="G1001" s="37" t="b">
        <v>0</v>
      </c>
      <c r="H1001" s="37">
        <v>1</v>
      </c>
      <c r="I1001" s="37">
        <v>1</v>
      </c>
      <c r="J1001" s="37">
        <v>0.34</v>
      </c>
      <c r="K1001" s="37">
        <v>0.30299999999999999</v>
      </c>
      <c r="L1001" s="37">
        <v>0.46</v>
      </c>
      <c r="M1001">
        <v>0.29849999999999999</v>
      </c>
      <c r="N1001" s="37">
        <v>2</v>
      </c>
      <c r="O1001" s="37">
        <v>96</v>
      </c>
      <c r="P1001" s="37">
        <v>98</v>
      </c>
      <c r="Q1001" s="38" t="str">
        <f t="shared" si="45"/>
        <v>Clear</v>
      </c>
      <c r="R1001" s="42" t="str">
        <f>IF(I1001=1,"Normal",IF(I1001=2,"Yellow Alert",IF(I1001=3,"Orange Alert",IF(I1001=4,"Red Alert"))))</f>
        <v>Normal</v>
      </c>
      <c r="S1001" s="60">
        <f t="shared" si="46"/>
        <v>14</v>
      </c>
      <c r="T1001" s="62">
        <f>MONTH(dataset_1!B:B)</f>
        <v>1</v>
      </c>
      <c r="U1001" s="61">
        <f t="shared" si="47"/>
        <v>2011</v>
      </c>
      <c r="V1001" s="59" t="str">
        <f t="shared" si="50"/>
        <v>7 AM</v>
      </c>
      <c r="W1001" s="59" t="str">
        <f t="shared" si="48"/>
        <v>Monday</v>
      </c>
      <c r="X1001" s="59" t="str">
        <f t="shared" si="49"/>
        <v>Working day</v>
      </c>
    </row>
  </sheetData>
  <conditionalFormatting sqref="M1:M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{8CAC29BC-FCFE-420F-9C75-786D9EE5431C}</x14:id>
        </ext>
      </extLst>
    </cfRule>
  </conditionalFormatting>
  <conditionalFormatting sqref="P1:Q1048576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{CD72CF54-71B6-40F0-B0DC-9B3312D43438}</x14:id>
        </ext>
      </extLst>
    </cfRule>
  </conditionalFormatting>
  <conditionalFormatting sqref="R1:R1048576">
    <cfRule type="containsText" dxfId="6" priority="7" operator="containsText" text="Red Alert">
      <formula>NOT(ISERROR(SEARCH("Red Alert",R1)))</formula>
    </cfRule>
    <cfRule type="containsText" dxfId="5" priority="8" operator="containsText" text="Normal">
      <formula>NOT(ISERROR(SEARCH("Normal",R1)))</formula>
    </cfRule>
    <cfRule type="containsText" dxfId="4" priority="9" operator="containsText" text="Normal">
      <formula>NOT(ISERROR(SEARCH("Normal",R1)))</formula>
    </cfRule>
    <cfRule type="containsText" dxfId="3" priority="10" operator="containsText" text="Noermal">
      <formula>NOT(ISERROR(SEARCH("Noermal",R1)))</formula>
    </cfRule>
    <cfRule type="containsText" dxfId="2" priority="11" operator="containsText" text="Orange ALert">
      <formula>NOT(ISERROR(SEARCH("Orange ALert",R1)))</formula>
    </cfRule>
    <cfRule type="containsText" dxfId="1" priority="12" operator="containsText" text="Yellow Alert">
      <formula>NOT(ISERROR(SEARCH("Yellow Alert",R1)))</formula>
    </cfRule>
  </conditionalFormatting>
  <conditionalFormatting sqref="R3">
    <cfRule type="containsText" dxfId="0" priority="13" operator="containsText" text="Normal">
      <formula>NOT(ISERROR(SEARCH("Normal",R3)))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AC29BC-FCFE-420F-9C75-786D9EE543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CD72CF54-71B6-40F0-B0DC-9B3312D4343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P1:Q1048576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F0C9-E57B-490D-B941-1E4549BD7286}">
  <dimension ref="A3:G11"/>
  <sheetViews>
    <sheetView topLeftCell="A2" workbookViewId="0">
      <selection activeCell="C15" sqref="C15"/>
    </sheetView>
  </sheetViews>
  <sheetFormatPr defaultRowHeight="12.5" x14ac:dyDescent="0.25"/>
  <cols>
    <col min="3" max="4" width="23.26953125" bestFit="1" customWidth="1"/>
  </cols>
  <sheetData>
    <row r="3" spans="1:7" ht="20" x14ac:dyDescent="0.4">
      <c r="A3" s="4" t="s">
        <v>32</v>
      </c>
      <c r="B3" s="5"/>
      <c r="C3" s="5"/>
      <c r="D3" s="5"/>
      <c r="E3" s="6"/>
      <c r="F3" s="7"/>
      <c r="G3" s="3"/>
    </row>
    <row r="7" spans="1:7" ht="14" x14ac:dyDescent="0.3">
      <c r="D7" s="8" t="s">
        <v>16</v>
      </c>
      <c r="E7" s="9" t="s">
        <v>17</v>
      </c>
    </row>
    <row r="8" spans="1:7" ht="14" x14ac:dyDescent="0.3">
      <c r="D8" s="10" t="s">
        <v>20</v>
      </c>
      <c r="E8" s="11">
        <f>SUM('final dataset'!P:P)</f>
        <v>58304</v>
      </c>
    </row>
    <row r="9" spans="1:7" ht="14" x14ac:dyDescent="0.3">
      <c r="D9" s="10" t="s">
        <v>23</v>
      </c>
      <c r="E9" s="11">
        <f>AVERAGE('final dataset'!P:P)</f>
        <v>58.304000000000002</v>
      </c>
    </row>
    <row r="10" spans="1:7" ht="14" x14ac:dyDescent="0.3">
      <c r="D10" s="10" t="s">
        <v>22</v>
      </c>
      <c r="E10" s="11">
        <f>COUNT('final dataset'!P:P)</f>
        <v>1000</v>
      </c>
    </row>
    <row r="11" spans="1:7" ht="14" x14ac:dyDescent="0.3">
      <c r="D11" s="12" t="s">
        <v>21</v>
      </c>
      <c r="E11" s="13">
        <f>MAX('final dataset'!P:P)</f>
        <v>249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365C-7FDC-4191-828B-EF230FA00FD5}">
  <dimension ref="A2:E9"/>
  <sheetViews>
    <sheetView workbookViewId="0">
      <selection activeCell="E5" sqref="D5:E9"/>
    </sheetView>
  </sheetViews>
  <sheetFormatPr defaultRowHeight="12.5" x14ac:dyDescent="0.25"/>
  <cols>
    <col min="1" max="1" width="14.7265625" bestFit="1" customWidth="1"/>
    <col min="2" max="2" width="9.6328125" bestFit="1" customWidth="1"/>
    <col min="4" max="4" width="16.6328125" customWidth="1"/>
    <col min="5" max="5" width="11.6328125" customWidth="1"/>
  </cols>
  <sheetData>
    <row r="2" spans="1:5" ht="22" x14ac:dyDescent="0.65">
      <c r="A2" s="54" t="s">
        <v>30</v>
      </c>
      <c r="B2" s="54"/>
      <c r="C2" s="54"/>
      <c r="D2" s="55"/>
    </row>
    <row r="5" spans="1:5" x14ac:dyDescent="0.25">
      <c r="D5" s="56" t="s">
        <v>31</v>
      </c>
      <c r="E5" s="51" t="s">
        <v>28</v>
      </c>
    </row>
    <row r="6" spans="1:5" x14ac:dyDescent="0.25">
      <c r="D6" s="52" t="s">
        <v>54</v>
      </c>
      <c r="E6" s="53">
        <f>SUMIF('final dataset'!R:R,"Normal",'final dataset'!P:P)</f>
        <v>37373</v>
      </c>
    </row>
    <row r="7" spans="1:5" x14ac:dyDescent="0.25">
      <c r="D7" s="52" t="s">
        <v>55</v>
      </c>
      <c r="E7" s="53">
        <f>SUMIF('final dataset'!R:R,"Orange Alert",'final dataset'!P:P)</f>
        <v>2789</v>
      </c>
    </row>
    <row r="8" spans="1:5" x14ac:dyDescent="0.25">
      <c r="D8" s="52" t="s">
        <v>56</v>
      </c>
      <c r="E8" s="53">
        <f>SUMIF('final dataset'!R:R,"Yellow Alert",'final dataset'!P:P)</f>
        <v>18106</v>
      </c>
    </row>
    <row r="9" spans="1:5" x14ac:dyDescent="0.25">
      <c r="D9" s="50" t="s">
        <v>57</v>
      </c>
      <c r="E9" s="49">
        <f>SUMIF('final dataset'!R:R,"Red Alert",'final dataset'!P:P)</f>
        <v>36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64032-20D8-4360-8FC5-47D08D42BFC3}">
  <dimension ref="A2:D9"/>
  <sheetViews>
    <sheetView workbookViewId="0">
      <selection activeCell="B15" sqref="B15"/>
    </sheetView>
  </sheetViews>
  <sheetFormatPr defaultRowHeight="12.5" x14ac:dyDescent="0.25"/>
  <cols>
    <col min="2" max="2" width="21" bestFit="1" customWidth="1"/>
    <col min="3" max="3" width="24.26953125" bestFit="1" customWidth="1"/>
    <col min="4" max="4" width="19.81640625" bestFit="1" customWidth="1"/>
  </cols>
  <sheetData>
    <row r="2" spans="1:4" x14ac:dyDescent="0.25">
      <c r="A2" s="57" t="s">
        <v>37</v>
      </c>
      <c r="B2" s="63" t="s">
        <v>46</v>
      </c>
      <c r="C2" s="63" t="s">
        <v>47</v>
      </c>
      <c r="D2" s="51" t="s">
        <v>48</v>
      </c>
    </row>
    <row r="3" spans="1:4" x14ac:dyDescent="0.25">
      <c r="A3" s="52" t="s">
        <v>39</v>
      </c>
      <c r="B3" s="2">
        <v>1225</v>
      </c>
      <c r="C3" s="2">
        <v>6523</v>
      </c>
      <c r="D3" s="53">
        <v>7748</v>
      </c>
    </row>
    <row r="4" spans="1:4" x14ac:dyDescent="0.25">
      <c r="A4" s="52" t="s">
        <v>45</v>
      </c>
      <c r="B4" s="2">
        <v>1477</v>
      </c>
      <c r="C4" s="2">
        <v>6644</v>
      </c>
      <c r="D4" s="53">
        <v>8121</v>
      </c>
    </row>
    <row r="5" spans="1:4" x14ac:dyDescent="0.25">
      <c r="A5" s="52" t="s">
        <v>40</v>
      </c>
      <c r="B5" s="2">
        <v>534</v>
      </c>
      <c r="C5" s="2">
        <v>7916</v>
      </c>
      <c r="D5" s="53">
        <v>8450</v>
      </c>
    </row>
    <row r="6" spans="1:4" x14ac:dyDescent="0.25">
      <c r="A6" s="52" t="s">
        <v>41</v>
      </c>
      <c r="B6" s="2">
        <v>457</v>
      </c>
      <c r="C6" s="2">
        <v>7926</v>
      </c>
      <c r="D6" s="53">
        <v>8383</v>
      </c>
    </row>
    <row r="7" spans="1:4" x14ac:dyDescent="0.25">
      <c r="A7" s="52" t="s">
        <v>42</v>
      </c>
      <c r="B7" s="2">
        <v>344</v>
      </c>
      <c r="C7" s="2">
        <v>7705</v>
      </c>
      <c r="D7" s="53">
        <v>8049</v>
      </c>
    </row>
    <row r="8" spans="1:4" x14ac:dyDescent="0.25">
      <c r="A8" s="52" t="s">
        <v>43</v>
      </c>
      <c r="B8" s="2">
        <v>332</v>
      </c>
      <c r="C8" s="2">
        <v>8126</v>
      </c>
      <c r="D8" s="53">
        <v>8458</v>
      </c>
    </row>
    <row r="9" spans="1:4" x14ac:dyDescent="0.25">
      <c r="A9" s="50" t="s">
        <v>44</v>
      </c>
      <c r="B9" s="64">
        <v>552</v>
      </c>
      <c r="C9" s="64">
        <v>8543</v>
      </c>
      <c r="D9" s="49">
        <v>9095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42DBB-26B8-408C-92D9-6F87E522ACAB}">
  <dimension ref="A1:L4"/>
  <sheetViews>
    <sheetView workbookViewId="0">
      <selection activeCell="G13" sqref="G13"/>
    </sheetView>
  </sheetViews>
  <sheetFormatPr defaultRowHeight="12.5" x14ac:dyDescent="0.25"/>
  <cols>
    <col min="1" max="2" width="20.453125" bestFit="1" customWidth="1"/>
    <col min="3" max="3" width="12.1796875" customWidth="1"/>
    <col min="6" max="8" width="18.36328125" bestFit="1" customWidth="1"/>
    <col min="9" max="9" width="9.7265625" customWidth="1"/>
  </cols>
  <sheetData>
    <row r="1" spans="1:12" ht="15.5" x14ac:dyDescent="0.35">
      <c r="A1" s="65" t="s">
        <v>16</v>
      </c>
      <c r="B1" s="66" t="s">
        <v>17</v>
      </c>
    </row>
    <row r="2" spans="1:12" ht="15.5" x14ac:dyDescent="0.35">
      <c r="A2" s="67" t="s">
        <v>49</v>
      </c>
      <c r="B2" s="68">
        <f>SUM('final dataset'!O:O)</f>
        <v>53383</v>
      </c>
      <c r="G2" s="72" t="s">
        <v>16</v>
      </c>
      <c r="H2" t="s">
        <v>17</v>
      </c>
      <c r="L2" s="72"/>
    </row>
    <row r="3" spans="1:12" ht="15.5" x14ac:dyDescent="0.35">
      <c r="A3" s="69" t="s">
        <v>50</v>
      </c>
      <c r="B3" s="70">
        <f>SUM('final dataset'!N:N)</f>
        <v>4921</v>
      </c>
      <c r="G3" t="s">
        <v>51</v>
      </c>
      <c r="H3">
        <f>AVERAGE('final dataset'!O:O)</f>
        <v>53.383000000000003</v>
      </c>
    </row>
    <row r="4" spans="1:12" x14ac:dyDescent="0.25">
      <c r="G4" t="s">
        <v>52</v>
      </c>
      <c r="H4">
        <f>AVERAGE('final dataset'!N:N)</f>
        <v>4.9210000000000003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6CD063-0D64-4112-84BD-A8E2213AC3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dataset_1</vt:lpstr>
      <vt:lpstr>dateset_2</vt:lpstr>
      <vt:lpstr>datset_3</vt:lpstr>
      <vt:lpstr>dataset 1+2</vt:lpstr>
      <vt:lpstr>final dataset</vt:lpstr>
      <vt:lpstr>Rider analysis</vt:lpstr>
      <vt:lpstr>Weater impact on rentals</vt:lpstr>
      <vt:lpstr>Ridership by day</vt:lpstr>
      <vt:lpstr>Reg Vs Casual riders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</dc:creator>
  <cp:lastModifiedBy>Ankita Khetan</cp:lastModifiedBy>
  <dcterms:created xsi:type="dcterms:W3CDTF">2026-10-08T03:23:40Z</dcterms:created>
  <dcterms:modified xsi:type="dcterms:W3CDTF">2026-10-14T04:45:18Z</dcterms:modified>
</cp:coreProperties>
</file>